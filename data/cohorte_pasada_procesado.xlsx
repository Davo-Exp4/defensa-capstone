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hidePivotFieldList="1"/>
  <mc:AlternateContent xmlns:mc="http://schemas.openxmlformats.org/markup-compatibility/2006">
    <mc:Choice Requires="x15">
      <x15ac:absPath xmlns:x15ac="http://schemas.microsoft.com/office/spreadsheetml/2010/11/ac" url="/Users/davo/Downloads/Projects/defensa-capstone/data/"/>
    </mc:Choice>
  </mc:AlternateContent>
  <xr:revisionPtr revIDLastSave="0" documentId="13_ncr:1_{A5DF1B58-ED1E-CF43-8ED5-B299A3A3AEA8}" xr6:coauthVersionLast="47" xr6:coauthVersionMax="47" xr10:uidLastSave="{00000000-0000-0000-0000-000000000000}"/>
  <bookViews>
    <workbookView xWindow="0" yWindow="600" windowWidth="34400" windowHeight="26320" firstSheet="3" activeTab="3" xr2:uid="{00000000-000D-0000-FFFF-FFFF00000000}"/>
  </bookViews>
  <sheets>
    <sheet name="Sheet1" sheetId="1" r:id="rId1"/>
    <sheet name="PESOS" sheetId="2" r:id="rId2"/>
    <sheet name="Detalle1" sheetId="17" r:id="rId3"/>
    <sheet name="Calculo" sheetId="5" r:id="rId4"/>
    <sheet name="Seguimiento" sheetId="6" r:id="rId5"/>
    <sheet name="CALIFICACION-DOCENTE" sheetId="11" r:id="rId6"/>
  </sheets>
  <definedNames>
    <definedName name="_xlnm._FilterDatabase" localSheetId="5" hidden="1">'CALIFICACION-DOCENTE'!$A$1:$E$1</definedName>
    <definedName name="_xlnm._FilterDatabase" localSheetId="4" hidden="1">Seguimiento!$A$1:$K$202</definedName>
  </definedNames>
  <calcPr calcId="191028"/>
  <pivotCaches>
    <pivotCache cacheId="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5" l="1" a="1"/>
  <c r="R5" i="5" a="1"/>
  <c r="R5" i="5" s="1"/>
  <c r="R6" i="5" a="1"/>
  <c r="R6" i="5" s="1"/>
  <c r="R7" i="5" a="1"/>
  <c r="R7" i="5" s="1"/>
  <c r="R8" i="5" a="1"/>
  <c r="R8" i="5" s="1"/>
  <c r="R9" i="5" a="1"/>
  <c r="R9" i="5" s="1"/>
  <c r="R10" i="5" a="1"/>
  <c r="R10" i="5" s="1"/>
  <c r="R11" i="5" a="1"/>
  <c r="R11" i="5" s="1"/>
  <c r="R12" i="5" a="1"/>
  <c r="R12" i="5" s="1"/>
  <c r="R13" i="5" a="1"/>
  <c r="R13" i="5" s="1"/>
  <c r="R14" i="5" a="1"/>
  <c r="R14" i="5" s="1"/>
  <c r="R15" i="5" a="1"/>
  <c r="R15" i="5"/>
  <c r="R16" i="5" a="1"/>
  <c r="R16" i="5"/>
  <c r="R17" i="5" a="1"/>
  <c r="R17" i="5"/>
  <c r="R18" i="5" a="1"/>
  <c r="R18" i="5"/>
  <c r="R19" i="5" a="1"/>
  <c r="R19" i="5"/>
  <c r="R20" i="5" a="1"/>
  <c r="R20" i="5"/>
  <c r="R21" i="5" a="1"/>
  <c r="R21" i="5"/>
  <c r="R22" i="5" a="1"/>
  <c r="R22" i="5"/>
  <c r="R23" i="5" a="1"/>
  <c r="R23" i="5"/>
  <c r="R24" i="5" a="1"/>
  <c r="R24" i="5"/>
  <c r="R25" i="5" a="1"/>
  <c r="R25" i="5"/>
  <c r="R26" i="5" a="1"/>
  <c r="R26" i="5"/>
  <c r="R27" i="5" a="1"/>
  <c r="R27" i="5"/>
  <c r="R28" i="5" a="1"/>
  <c r="R28" i="5" s="1"/>
  <c r="R29" i="5" a="1"/>
  <c r="R29" i="5" s="1"/>
  <c r="R30" i="5" a="1"/>
  <c r="R30" i="5" s="1"/>
  <c r="R31" i="5" a="1"/>
  <c r="R31" i="5" s="1"/>
  <c r="R32" i="5" a="1"/>
  <c r="R32" i="5" s="1"/>
  <c r="R33" i="5" a="1"/>
  <c r="R33" i="5" s="1"/>
  <c r="R34" i="5" a="1"/>
  <c r="R34" i="5" s="1"/>
  <c r="R35" i="5" a="1"/>
  <c r="R35" i="5" s="1"/>
  <c r="R36" i="5" a="1"/>
  <c r="R36" i="5" s="1"/>
  <c r="R37" i="5" a="1"/>
  <c r="R37" i="5" s="1"/>
  <c r="R38" i="5" a="1"/>
  <c r="R38" i="5"/>
  <c r="R39" i="5" a="1"/>
  <c r="R39" i="5" s="1"/>
  <c r="R40" i="5" a="1"/>
  <c r="R40" i="5" s="1"/>
  <c r="R41" i="5" a="1"/>
  <c r="R41" i="5" s="1"/>
  <c r="R42" i="5" a="1"/>
  <c r="R42" i="5" s="1"/>
  <c r="R43" i="5" a="1"/>
  <c r="R43" i="5" s="1"/>
  <c r="R44" i="5" a="1"/>
  <c r="R44" i="5" s="1"/>
  <c r="R45" i="5" a="1"/>
  <c r="R45" i="5" s="1"/>
  <c r="R46" i="5" a="1"/>
  <c r="R46" i="5" s="1"/>
  <c r="R47" i="5" a="1"/>
  <c r="R47" i="5" s="1"/>
  <c r="R48" i="5" a="1"/>
  <c r="R48" i="5" s="1"/>
  <c r="R49" i="5" a="1"/>
  <c r="R49" i="5" s="1"/>
  <c r="R50" i="5" a="1"/>
  <c r="R50" i="5" s="1"/>
  <c r="R51" i="5" a="1"/>
  <c r="R51" i="5" s="1"/>
  <c r="R52" i="5" a="1"/>
  <c r="R52" i="5" s="1"/>
  <c r="R53" i="5" a="1"/>
  <c r="R53" i="5" s="1"/>
  <c r="R54" i="5" a="1"/>
  <c r="R54" i="5" s="1"/>
  <c r="R55" i="5" a="1"/>
  <c r="R55" i="5" s="1"/>
  <c r="R56" i="5" a="1"/>
  <c r="R56" i="5" s="1"/>
  <c r="R57" i="5" a="1"/>
  <c r="R57" i="5" s="1"/>
  <c r="R58" i="5" a="1"/>
  <c r="R58" i="5" s="1"/>
  <c r="R59" i="5" a="1"/>
  <c r="R59" i="5" s="1"/>
  <c r="R60" i="5" a="1"/>
  <c r="R60" i="5" s="1"/>
  <c r="R61" i="5" a="1"/>
  <c r="R61" i="5" s="1"/>
  <c r="R62" i="5" a="1"/>
  <c r="R62" i="5" s="1"/>
  <c r="R63" i="5" a="1"/>
  <c r="R63" i="5" s="1"/>
  <c r="R64" i="5" a="1"/>
  <c r="R64" i="5" s="1"/>
  <c r="R65" i="5" a="1"/>
  <c r="R65" i="5" s="1"/>
  <c r="R66" i="5" a="1"/>
  <c r="R66" i="5" s="1"/>
  <c r="R67" i="5" a="1"/>
  <c r="R67" i="5" s="1"/>
  <c r="R68" i="5" a="1"/>
  <c r="R68" i="5" s="1"/>
  <c r="R69" i="5" a="1"/>
  <c r="R69" i="5" s="1"/>
  <c r="R70" i="5" a="1"/>
  <c r="R70" i="5" s="1"/>
  <c r="R71" i="5" a="1"/>
  <c r="R71" i="5" s="1"/>
  <c r="R72" i="5" a="1"/>
  <c r="R72" i="5" s="1"/>
  <c r="R73" i="5" a="1"/>
  <c r="R73" i="5" s="1"/>
  <c r="R74" i="5" a="1"/>
  <c r="R74" i="5" s="1"/>
  <c r="R75" i="5" a="1"/>
  <c r="R75" i="5" s="1"/>
  <c r="R76" i="5" a="1"/>
  <c r="R76" i="5" s="1"/>
  <c r="R77" i="5" a="1"/>
  <c r="R77" i="5" s="1"/>
  <c r="R78" i="5" a="1"/>
  <c r="R78" i="5" s="1"/>
  <c r="R79" i="5" a="1"/>
  <c r="R79" i="5" s="1"/>
  <c r="R80" i="5" a="1"/>
  <c r="R80" i="5" s="1"/>
  <c r="R81" i="5" a="1"/>
  <c r="R81" i="5" s="1"/>
  <c r="R82" i="5" a="1"/>
  <c r="R82" i="5" s="1"/>
  <c r="R83" i="5" a="1"/>
  <c r="R83" i="5" s="1"/>
  <c r="R84" i="5" a="1"/>
  <c r="R84" i="5" s="1"/>
  <c r="R85" i="5" a="1"/>
  <c r="R85" i="5" s="1"/>
  <c r="R86" i="5" a="1"/>
  <c r="R86" i="5" s="1"/>
  <c r="R87" i="5" a="1"/>
  <c r="R87" i="5" s="1"/>
  <c r="R88" i="5" a="1"/>
  <c r="R88" i="5" s="1"/>
  <c r="R89" i="5" a="1"/>
  <c r="R89" i="5" s="1"/>
  <c r="R90" i="5" a="1"/>
  <c r="R90" i="5" s="1"/>
  <c r="R91" i="5" a="1"/>
  <c r="R91" i="5" s="1"/>
  <c r="R92" i="5" a="1"/>
  <c r="R92" i="5" s="1"/>
  <c r="R93" i="5" a="1"/>
  <c r="R93" i="5" s="1"/>
  <c r="R94" i="5" a="1"/>
  <c r="R94" i="5" s="1"/>
  <c r="R95" i="5" a="1"/>
  <c r="R95" i="5" s="1"/>
  <c r="R96" i="5" a="1"/>
  <c r="R96" i="5" s="1"/>
  <c r="R97" i="5" a="1"/>
  <c r="R97" i="5" s="1"/>
  <c r="R98" i="5" a="1"/>
  <c r="R98" i="5" s="1"/>
  <c r="R99" i="5" a="1"/>
  <c r="R99" i="5" s="1"/>
  <c r="R100" i="5" a="1"/>
  <c r="R100" i="5" s="1"/>
  <c r="R101" i="5" a="1"/>
  <c r="R101" i="5" s="1"/>
  <c r="R102" i="5" a="1"/>
  <c r="R102" i="5" s="1"/>
  <c r="R103" i="5" a="1"/>
  <c r="R103" i="5" s="1"/>
  <c r="R104" i="5" a="1"/>
  <c r="R104" i="5" s="1"/>
  <c r="R105" i="5" a="1"/>
  <c r="R105" i="5" s="1"/>
  <c r="R106" i="5" a="1"/>
  <c r="R106" i="5" s="1"/>
  <c r="R107" i="5" a="1"/>
  <c r="R107" i="5" s="1"/>
  <c r="R108" i="5" a="1"/>
  <c r="R108" i="5" s="1"/>
  <c r="R109" i="5" a="1"/>
  <c r="R109" i="5" s="1"/>
  <c r="R110" i="5" a="1"/>
  <c r="R110" i="5" s="1"/>
  <c r="R111" i="5" a="1"/>
  <c r="R111" i="5" s="1"/>
  <c r="R112" i="5" a="1"/>
  <c r="R112" i="5" s="1"/>
  <c r="R113" i="5" a="1"/>
  <c r="R113" i="5" s="1"/>
  <c r="R114" i="5" a="1"/>
  <c r="R114" i="5" s="1"/>
  <c r="R115" i="5" a="1"/>
  <c r="R115" i="5" s="1"/>
  <c r="R116" i="5" a="1"/>
  <c r="R116" i="5" s="1"/>
  <c r="R117" i="5" a="1"/>
  <c r="R117" i="5" s="1"/>
  <c r="R118" i="5" a="1"/>
  <c r="R118" i="5" s="1"/>
  <c r="R119" i="5" a="1"/>
  <c r="R119" i="5" s="1"/>
  <c r="R120" i="5" a="1"/>
  <c r="R120" i="5" s="1"/>
  <c r="R121" i="5" a="1"/>
  <c r="R121" i="5" s="1"/>
  <c r="R122" i="5" a="1"/>
  <c r="R122" i="5" s="1"/>
  <c r="R123" i="5" a="1"/>
  <c r="R123" i="5" s="1"/>
  <c r="R124" i="5" a="1"/>
  <c r="R124" i="5" s="1"/>
  <c r="R125" i="5" a="1"/>
  <c r="R125" i="5" s="1"/>
  <c r="R126" i="5" a="1"/>
  <c r="R126" i="5" s="1"/>
  <c r="R127" i="5" a="1"/>
  <c r="R127" i="5" s="1"/>
  <c r="R128" i="5" a="1"/>
  <c r="R128" i="5" s="1"/>
  <c r="R129" i="5" a="1"/>
  <c r="R129" i="5" s="1"/>
  <c r="R130" i="5" a="1"/>
  <c r="R130" i="5" s="1"/>
  <c r="R131" i="5" a="1"/>
  <c r="R131" i="5" s="1"/>
  <c r="R132" i="5" a="1"/>
  <c r="R132" i="5" s="1"/>
  <c r="R133" i="5" a="1"/>
  <c r="R133" i="5" s="1"/>
  <c r="R134" i="5" a="1"/>
  <c r="R134" i="5" s="1"/>
  <c r="R135" i="5" a="1"/>
  <c r="R135" i="5" s="1"/>
  <c r="R136" i="5" a="1"/>
  <c r="R136" i="5" s="1"/>
  <c r="R137" i="5" a="1"/>
  <c r="R137" i="5" s="1"/>
  <c r="R138" i="5" a="1"/>
  <c r="R138" i="5" s="1"/>
  <c r="R139" i="5" a="1"/>
  <c r="R139" i="5" s="1"/>
  <c r="R140" i="5" a="1"/>
  <c r="R140" i="5" s="1"/>
  <c r="R141" i="5" a="1"/>
  <c r="R141" i="5" s="1"/>
  <c r="R142" i="5" a="1"/>
  <c r="R142" i="5" s="1"/>
  <c r="R143" i="5" a="1"/>
  <c r="R143" i="5" s="1"/>
  <c r="R144" i="5" a="1"/>
  <c r="R144" i="5" s="1"/>
  <c r="R145" i="5" a="1"/>
  <c r="R145" i="5" s="1"/>
  <c r="R146" i="5" a="1"/>
  <c r="R146" i="5" s="1"/>
  <c r="R147" i="5" a="1"/>
  <c r="R147" i="5" s="1"/>
  <c r="R148" i="5" a="1"/>
  <c r="R148" i="5" s="1"/>
  <c r="R149" i="5" a="1"/>
  <c r="R149" i="5" s="1"/>
  <c r="R150" i="5" a="1"/>
  <c r="R150" i="5" s="1"/>
  <c r="R151" i="5" a="1"/>
  <c r="R151" i="5" s="1"/>
  <c r="R152" i="5" a="1"/>
  <c r="R152" i="5" s="1"/>
  <c r="R153" i="5" a="1"/>
  <c r="R153" i="5" s="1"/>
  <c r="R154" i="5" a="1"/>
  <c r="R154" i="5" s="1"/>
  <c r="R155" i="5" a="1"/>
  <c r="R155" i="5" s="1"/>
  <c r="R156" i="5" a="1"/>
  <c r="R156" i="5" s="1"/>
  <c r="R157" i="5" a="1"/>
  <c r="R157" i="5" s="1"/>
  <c r="R158" i="5" a="1"/>
  <c r="R158" i="5" s="1"/>
  <c r="R159" i="5" a="1"/>
  <c r="R159" i="5" s="1"/>
  <c r="R160" i="5" a="1"/>
  <c r="R160" i="5" s="1"/>
  <c r="R161" i="5" a="1"/>
  <c r="R161" i="5" s="1"/>
  <c r="R162" i="5" a="1"/>
  <c r="R162" i="5" s="1"/>
  <c r="R163" i="5" a="1"/>
  <c r="R163" i="5" s="1"/>
  <c r="R164" i="5" a="1"/>
  <c r="R164" i="5" s="1"/>
  <c r="R165" i="5" a="1"/>
  <c r="R165" i="5" s="1"/>
  <c r="R166" i="5" a="1"/>
  <c r="R166" i="5" s="1"/>
  <c r="R167" i="5" a="1"/>
  <c r="R167" i="5" s="1"/>
  <c r="R168" i="5" a="1"/>
  <c r="R168" i="5" s="1"/>
  <c r="R169" i="5" a="1"/>
  <c r="R169" i="5" s="1"/>
  <c r="R170" i="5" a="1"/>
  <c r="R170" i="5" s="1"/>
  <c r="R171" i="5" a="1"/>
  <c r="R171" i="5" s="1"/>
  <c r="R172" i="5" a="1"/>
  <c r="R172" i="5" s="1"/>
  <c r="R173" i="5" a="1"/>
  <c r="R173" i="5" s="1"/>
  <c r="R174" i="5" a="1"/>
  <c r="R174" i="5" s="1"/>
  <c r="R175" i="5" a="1"/>
  <c r="R175" i="5" s="1"/>
  <c r="R176" i="5" a="1"/>
  <c r="R176" i="5" s="1"/>
  <c r="R177" i="5" a="1"/>
  <c r="R177" i="5" s="1"/>
  <c r="R178" i="5" a="1"/>
  <c r="R178" i="5" s="1"/>
  <c r="R179" i="5" a="1"/>
  <c r="R179" i="5" s="1"/>
  <c r="R180" i="5" a="1"/>
  <c r="R180" i="5" s="1"/>
  <c r="R181" i="5" a="1"/>
  <c r="R181" i="5" s="1"/>
  <c r="R182" i="5" a="1"/>
  <c r="R182" i="5" s="1"/>
  <c r="R183" i="5" a="1"/>
  <c r="R183" i="5" s="1"/>
  <c r="R184" i="5" a="1"/>
  <c r="R184" i="5" s="1"/>
  <c r="R185" i="5" a="1"/>
  <c r="R185" i="5" s="1"/>
  <c r="R186" i="5" a="1"/>
  <c r="R186" i="5" s="1"/>
  <c r="R187" i="5" a="1"/>
  <c r="R187" i="5" s="1"/>
  <c r="R188" i="5" a="1"/>
  <c r="R188" i="5" s="1"/>
  <c r="R189" i="5" a="1"/>
  <c r="R189" i="5" s="1"/>
  <c r="R190" i="5" a="1"/>
  <c r="R190" i="5" s="1"/>
  <c r="R191" i="5" a="1"/>
  <c r="R191" i="5" s="1"/>
  <c r="R192" i="5" a="1"/>
  <c r="R192" i="5" s="1"/>
  <c r="R193" i="5" a="1"/>
  <c r="R193" i="5" s="1"/>
  <c r="R194" i="5" a="1"/>
  <c r="R194" i="5" s="1"/>
  <c r="R195" i="5" a="1"/>
  <c r="R195" i="5" s="1"/>
  <c r="R196" i="5" a="1"/>
  <c r="R196" i="5" s="1"/>
  <c r="R197" i="5" a="1"/>
  <c r="R197" i="5" s="1"/>
  <c r="R198" i="5" a="1"/>
  <c r="R198" i="5" s="1"/>
  <c r="R199" i="5" a="1"/>
  <c r="R199" i="5" s="1"/>
  <c r="R200" i="5" a="1"/>
  <c r="R200" i="5" s="1"/>
  <c r="R201" i="5" a="1"/>
  <c r="R201" i="5" s="1"/>
  <c r="R202" i="5" a="1"/>
  <c r="R202" i="5" s="1"/>
  <c r="R203" i="5" a="1"/>
  <c r="R203" i="5" s="1"/>
  <c r="R204" i="5" a="1"/>
  <c r="R204" i="5" s="1"/>
  <c r="R4" i="5" a="1"/>
  <c r="R4" i="5"/>
  <c r="Q4" i="5" a="1"/>
  <c r="Q4" i="5" s="1"/>
  <c r="Q5" i="5" a="1"/>
  <c r="Q5" i="5" s="1"/>
  <c r="Q6" i="5" a="1"/>
  <c r="Q6" i="5" s="1"/>
  <c r="Q7" i="5" a="1"/>
  <c r="Q7" i="5" s="1"/>
  <c r="Q8" i="5" a="1"/>
  <c r="Q8" i="5"/>
  <c r="Q9" i="5" a="1"/>
  <c r="Q9" i="5"/>
  <c r="Q10" i="5" a="1"/>
  <c r="Q10" i="5"/>
  <c r="Q11" i="5" a="1"/>
  <c r="Q11" i="5"/>
  <c r="Q12" i="5" a="1"/>
  <c r="Q12" i="5"/>
  <c r="Q13" i="5" a="1"/>
  <c r="Q13" i="5"/>
  <c r="Q14" i="5" a="1"/>
  <c r="Q14" i="5" s="1"/>
  <c r="Q15" i="5" a="1"/>
  <c r="Q15" i="5" s="1"/>
  <c r="Q16" i="5" a="1"/>
  <c r="Q16" i="5" s="1"/>
  <c r="Q17" i="5" a="1"/>
  <c r="Q17" i="5" s="1"/>
  <c r="Q18" i="5" a="1"/>
  <c r="Q18" i="5" s="1"/>
  <c r="Q19" i="5" a="1"/>
  <c r="Q19" i="5" s="1"/>
  <c r="Q20" i="5" a="1"/>
  <c r="Q20" i="5" s="1"/>
  <c r="Q21" i="5" a="1"/>
  <c r="Q21" i="5" s="1"/>
  <c r="Q22" i="5" a="1"/>
  <c r="Q22" i="5" s="1"/>
  <c r="Q23" i="5" a="1"/>
  <c r="Q23" i="5" s="1"/>
  <c r="Q24" i="5" a="1"/>
  <c r="Q24" i="5" s="1"/>
  <c r="Q25" i="5" a="1"/>
  <c r="Q25" i="5" s="1"/>
  <c r="Q26" i="5" a="1"/>
  <c r="Q26" i="5" s="1"/>
  <c r="Q27" i="5" a="1"/>
  <c r="Q27" i="5"/>
  <c r="Q28" i="5" a="1"/>
  <c r="Q28" i="5" s="1"/>
  <c r="Q29" i="5" a="1"/>
  <c r="Q29" i="5" s="1"/>
  <c r="Q30" i="5" a="1"/>
  <c r="Q30" i="5" s="1"/>
  <c r="Q31" i="5" a="1"/>
  <c r="Q31" i="5" s="1"/>
  <c r="Q32" i="5" a="1"/>
  <c r="Q32" i="5" s="1"/>
  <c r="Q33" i="5" a="1"/>
  <c r="Q33" i="5" s="1"/>
  <c r="Q34" i="5" a="1"/>
  <c r="Q34" i="5" s="1"/>
  <c r="Q35" i="5" a="1"/>
  <c r="Q35" i="5" s="1"/>
  <c r="Q36" i="5" a="1"/>
  <c r="Q36" i="5"/>
  <c r="Q37" i="5" a="1"/>
  <c r="Q37" i="5" s="1"/>
  <c r="Q38" i="5" a="1"/>
  <c r="Q38" i="5" s="1"/>
  <c r="Q39" i="5" a="1"/>
  <c r="Q39" i="5" s="1"/>
  <c r="Q40" i="5" a="1"/>
  <c r="Q40" i="5" s="1"/>
  <c r="Q41" i="5" a="1"/>
  <c r="Q41" i="5" s="1"/>
  <c r="Q42" i="5" a="1"/>
  <c r="Q42" i="5" s="1"/>
  <c r="Q43" i="5" a="1"/>
  <c r="Q43" i="5" s="1"/>
  <c r="Q44" i="5" a="1"/>
  <c r="Q44" i="5" s="1"/>
  <c r="Q45" i="5" a="1"/>
  <c r="Q45" i="5" s="1"/>
  <c r="Q46" i="5" a="1"/>
  <c r="Q46" i="5" s="1"/>
  <c r="Q47" i="5" a="1"/>
  <c r="Q47" i="5" s="1"/>
  <c r="Q48" i="5" a="1"/>
  <c r="Q48" i="5" s="1"/>
  <c r="Q49" i="5" a="1"/>
  <c r="Q49" i="5" s="1"/>
  <c r="Q50" i="5" a="1"/>
  <c r="Q50" i="5" s="1"/>
  <c r="Q51" i="5" a="1"/>
  <c r="Q51" i="5" s="1"/>
  <c r="Q52" i="5" a="1"/>
  <c r="Q52" i="5" s="1"/>
  <c r="Q53" i="5" a="1"/>
  <c r="Q53" i="5" s="1"/>
  <c r="Q54" i="5" a="1"/>
  <c r="Q54" i="5" s="1"/>
  <c r="Q55" i="5" a="1"/>
  <c r="Q55" i="5" s="1"/>
  <c r="Q56" i="5" a="1"/>
  <c r="Q56" i="5" s="1"/>
  <c r="Q57" i="5" a="1"/>
  <c r="Q57" i="5" s="1"/>
  <c r="Q58" i="5" a="1"/>
  <c r="Q58" i="5" s="1"/>
  <c r="Q59" i="5" a="1"/>
  <c r="Q59" i="5" s="1"/>
  <c r="Q60" i="5" a="1"/>
  <c r="Q60" i="5" s="1"/>
  <c r="Q61" i="5" a="1"/>
  <c r="Q61" i="5" s="1"/>
  <c r="Q62" i="5" a="1"/>
  <c r="Q62" i="5" s="1"/>
  <c r="Q63" i="5" a="1"/>
  <c r="Q63" i="5" s="1"/>
  <c r="Q64" i="5" a="1"/>
  <c r="Q64" i="5" s="1"/>
  <c r="Q65" i="5" a="1"/>
  <c r="Q65" i="5" s="1"/>
  <c r="Q66" i="5" a="1"/>
  <c r="Q66" i="5" s="1"/>
  <c r="Q67" i="5" a="1"/>
  <c r="Q67" i="5" s="1"/>
  <c r="Q68" i="5" a="1"/>
  <c r="Q68" i="5" s="1"/>
  <c r="Q69" i="5" a="1"/>
  <c r="Q69" i="5" s="1"/>
  <c r="Q70" i="5" a="1"/>
  <c r="Q70" i="5" s="1"/>
  <c r="Q71" i="5" a="1"/>
  <c r="Q71" i="5" s="1"/>
  <c r="Q72" i="5" a="1"/>
  <c r="Q72" i="5" s="1"/>
  <c r="Q73" i="5" a="1"/>
  <c r="Q73" i="5" s="1"/>
  <c r="Q74" i="5" a="1"/>
  <c r="Q74" i="5" s="1"/>
  <c r="Q75" i="5" a="1"/>
  <c r="Q75" i="5" s="1"/>
  <c r="Q76" i="5" a="1"/>
  <c r="Q76" i="5" s="1"/>
  <c r="Q77" i="5" a="1"/>
  <c r="Q77" i="5" s="1"/>
  <c r="Q78" i="5" a="1"/>
  <c r="Q78" i="5" s="1"/>
  <c r="Q79" i="5" a="1"/>
  <c r="Q79" i="5" s="1"/>
  <c r="Q80" i="5" a="1"/>
  <c r="Q80" i="5" s="1"/>
  <c r="Q81" i="5" a="1"/>
  <c r="Q81" i="5" s="1"/>
  <c r="Q82" i="5" a="1"/>
  <c r="Q82" i="5" s="1"/>
  <c r="Q83" i="5" a="1"/>
  <c r="Q83" i="5" s="1"/>
  <c r="Q84" i="5" a="1"/>
  <c r="Q84" i="5" s="1"/>
  <c r="Q85" i="5" a="1"/>
  <c r="Q85" i="5" s="1"/>
  <c r="Q86" i="5" a="1"/>
  <c r="Q86" i="5" s="1"/>
  <c r="Q87" i="5" a="1"/>
  <c r="Q87" i="5" s="1"/>
  <c r="Q88" i="5" a="1"/>
  <c r="Q88" i="5" s="1"/>
  <c r="Q89" i="5" a="1"/>
  <c r="Q89" i="5" s="1"/>
  <c r="Q90" i="5" a="1"/>
  <c r="Q90" i="5" s="1"/>
  <c r="Q91" i="5" a="1"/>
  <c r="Q91" i="5" s="1"/>
  <c r="Q92" i="5" a="1"/>
  <c r="Q92" i="5" s="1"/>
  <c r="Q93" i="5" a="1"/>
  <c r="Q93" i="5" s="1"/>
  <c r="Q94" i="5" a="1"/>
  <c r="Q94" i="5" s="1"/>
  <c r="Q95" i="5" a="1"/>
  <c r="Q95" i="5" s="1"/>
  <c r="Q96" i="5" a="1"/>
  <c r="Q96" i="5" s="1"/>
  <c r="Q97" i="5" a="1"/>
  <c r="Q97" i="5" s="1"/>
  <c r="Q98" i="5" a="1"/>
  <c r="Q98" i="5" s="1"/>
  <c r="Q99" i="5" a="1"/>
  <c r="Q99" i="5" s="1"/>
  <c r="Q100" i="5" a="1"/>
  <c r="Q100" i="5" s="1"/>
  <c r="Q101" i="5" a="1"/>
  <c r="Q101" i="5" s="1"/>
  <c r="Q102" i="5" a="1"/>
  <c r="Q102" i="5" s="1"/>
  <c r="Q103" i="5" a="1"/>
  <c r="Q103" i="5" s="1"/>
  <c r="Q104" i="5" a="1"/>
  <c r="Q104" i="5" s="1"/>
  <c r="Q105" i="5" a="1"/>
  <c r="Q105" i="5" s="1"/>
  <c r="Q106" i="5" a="1"/>
  <c r="Q106" i="5" s="1"/>
  <c r="Q107" i="5" a="1"/>
  <c r="Q107" i="5" s="1"/>
  <c r="Q108" i="5" a="1"/>
  <c r="Q108" i="5" s="1"/>
  <c r="Q109" i="5" a="1"/>
  <c r="Q109" i="5" s="1"/>
  <c r="Q110" i="5" a="1"/>
  <c r="Q110" i="5" s="1"/>
  <c r="Q111" i="5" a="1"/>
  <c r="Q111" i="5" s="1"/>
  <c r="Q112" i="5" a="1"/>
  <c r="Q112" i="5" s="1"/>
  <c r="Q113" i="5" a="1"/>
  <c r="Q113" i="5" s="1"/>
  <c r="Q114" i="5" a="1"/>
  <c r="Q114" i="5" s="1"/>
  <c r="Q115" i="5" a="1"/>
  <c r="Q115" i="5" s="1"/>
  <c r="Q116" i="5" a="1"/>
  <c r="Q116" i="5" s="1"/>
  <c r="Q117" i="5" a="1"/>
  <c r="Q117" i="5" s="1"/>
  <c r="Q118" i="5" a="1"/>
  <c r="Q118" i="5" s="1"/>
  <c r="Q119" i="5" a="1"/>
  <c r="Q119" i="5" s="1"/>
  <c r="Q120" i="5" a="1"/>
  <c r="Q120" i="5" s="1"/>
  <c r="Q121" i="5" a="1"/>
  <c r="Q121" i="5" s="1"/>
  <c r="Q122" i="5" a="1"/>
  <c r="Q122" i="5" s="1"/>
  <c r="Q123" i="5" a="1"/>
  <c r="Q123" i="5" s="1"/>
  <c r="Q124" i="5" a="1"/>
  <c r="Q124" i="5" s="1"/>
  <c r="Q125" i="5" a="1"/>
  <c r="Q125" i="5" s="1"/>
  <c r="Q126" i="5" a="1"/>
  <c r="Q126" i="5" s="1"/>
  <c r="Q127" i="5" a="1"/>
  <c r="Q127" i="5" s="1"/>
  <c r="Q128" i="5" a="1"/>
  <c r="Q128" i="5" s="1"/>
  <c r="Q129" i="5" a="1"/>
  <c r="Q129" i="5" s="1"/>
  <c r="Q130" i="5" a="1"/>
  <c r="Q130" i="5" s="1"/>
  <c r="Q131" i="5" a="1"/>
  <c r="Q131" i="5" s="1"/>
  <c r="Q132" i="5" a="1"/>
  <c r="Q132" i="5" s="1"/>
  <c r="Q133" i="5" a="1"/>
  <c r="Q133" i="5" s="1"/>
  <c r="Q134" i="5" a="1"/>
  <c r="Q134" i="5" s="1"/>
  <c r="Q135" i="5" a="1"/>
  <c r="Q135" i="5" s="1"/>
  <c r="Q136" i="5" a="1"/>
  <c r="Q136" i="5" s="1"/>
  <c r="Q137" i="5" a="1"/>
  <c r="Q137" i="5" s="1"/>
  <c r="Q138" i="5" a="1"/>
  <c r="Q138" i="5" s="1"/>
  <c r="Q139" i="5" a="1"/>
  <c r="Q139" i="5" s="1"/>
  <c r="Q140" i="5" a="1"/>
  <c r="Q140" i="5" s="1"/>
  <c r="Q141" i="5" a="1"/>
  <c r="Q141" i="5" s="1"/>
  <c r="Q142" i="5" a="1"/>
  <c r="Q142" i="5" s="1"/>
  <c r="Q143" i="5" a="1"/>
  <c r="Q143" i="5" s="1"/>
  <c r="Q144" i="5" a="1"/>
  <c r="Q144" i="5" s="1"/>
  <c r="Q145" i="5" a="1"/>
  <c r="Q145" i="5" s="1"/>
  <c r="Q146" i="5" a="1"/>
  <c r="Q146" i="5" s="1"/>
  <c r="Q147" i="5" a="1"/>
  <c r="Q147" i="5" s="1"/>
  <c r="Q148" i="5" a="1"/>
  <c r="Q148" i="5" s="1"/>
  <c r="Q149" i="5" a="1"/>
  <c r="Q149" i="5" s="1"/>
  <c r="Q150" i="5" a="1"/>
  <c r="Q150" i="5" s="1"/>
  <c r="Q151" i="5" a="1"/>
  <c r="Q151" i="5" s="1"/>
  <c r="Q152" i="5" a="1"/>
  <c r="Q152" i="5" s="1"/>
  <c r="Q153" i="5" a="1"/>
  <c r="Q153" i="5" s="1"/>
  <c r="Q154" i="5" a="1"/>
  <c r="Q154" i="5" s="1"/>
  <c r="Q155" i="5" a="1"/>
  <c r="Q155" i="5" s="1"/>
  <c r="Q156" i="5" a="1"/>
  <c r="Q156" i="5" s="1"/>
  <c r="Q157" i="5" a="1"/>
  <c r="Q157" i="5" s="1"/>
  <c r="Q158" i="5" a="1"/>
  <c r="Q158" i="5" s="1"/>
  <c r="Q159" i="5" a="1"/>
  <c r="Q159" i="5" s="1"/>
  <c r="Q160" i="5" a="1"/>
  <c r="Q160" i="5" s="1"/>
  <c r="Q161" i="5" a="1"/>
  <c r="Q161" i="5" s="1"/>
  <c r="Q162" i="5" a="1"/>
  <c r="Q162" i="5" s="1"/>
  <c r="Q163" i="5" a="1"/>
  <c r="Q163" i="5" s="1"/>
  <c r="Q164" i="5" a="1"/>
  <c r="Q164" i="5" s="1"/>
  <c r="Q165" i="5" a="1"/>
  <c r="Q165" i="5" s="1"/>
  <c r="Q166" i="5" a="1"/>
  <c r="Q166" i="5" s="1"/>
  <c r="Q167" i="5" a="1"/>
  <c r="Q167" i="5" s="1"/>
  <c r="Q168" i="5" a="1"/>
  <c r="Q168" i="5" s="1"/>
  <c r="Q169" i="5" a="1"/>
  <c r="Q169" i="5" s="1"/>
  <c r="Q170" i="5" a="1"/>
  <c r="Q170" i="5" s="1"/>
  <c r="Q171" i="5" a="1"/>
  <c r="Q171" i="5" s="1"/>
  <c r="Q172" i="5" a="1"/>
  <c r="Q172" i="5" s="1"/>
  <c r="Q173" i="5" a="1"/>
  <c r="Q173" i="5" s="1"/>
  <c r="Q174" i="5" a="1"/>
  <c r="Q174" i="5" s="1"/>
  <c r="Q175" i="5" a="1"/>
  <c r="Q175" i="5" s="1"/>
  <c r="Q176" i="5" a="1"/>
  <c r="Q176" i="5" s="1"/>
  <c r="Q177" i="5" a="1"/>
  <c r="Q177" i="5" s="1"/>
  <c r="Q178" i="5" a="1"/>
  <c r="Q178" i="5" s="1"/>
  <c r="Q179" i="5" a="1"/>
  <c r="Q179" i="5" s="1"/>
  <c r="Q180" i="5" a="1"/>
  <c r="Q180" i="5" s="1"/>
  <c r="Q181" i="5" a="1"/>
  <c r="Q181" i="5" s="1"/>
  <c r="Q182" i="5" a="1"/>
  <c r="Q182" i="5" s="1"/>
  <c r="Q183" i="5" a="1"/>
  <c r="Q183" i="5" s="1"/>
  <c r="Q184" i="5" a="1"/>
  <c r="Q184" i="5" s="1"/>
  <c r="Q185" i="5" a="1"/>
  <c r="Q185" i="5" s="1"/>
  <c r="Q186" i="5" a="1"/>
  <c r="Q186" i="5" s="1"/>
  <c r="Q187" i="5" a="1"/>
  <c r="Q187" i="5" s="1"/>
  <c r="Q188" i="5" a="1"/>
  <c r="Q188" i="5" s="1"/>
  <c r="Q189" i="5" a="1"/>
  <c r="Q189" i="5" s="1"/>
  <c r="Q190" i="5" a="1"/>
  <c r="Q190" i="5" s="1"/>
  <c r="Q191" i="5" a="1"/>
  <c r="Q191" i="5" s="1"/>
  <c r="Q192" i="5" a="1"/>
  <c r="Q192" i="5" s="1"/>
  <c r="Q193" i="5" a="1"/>
  <c r="Q193" i="5" s="1"/>
  <c r="Q194" i="5" a="1"/>
  <c r="Q194" i="5" s="1"/>
  <c r="Q195" i="5" a="1"/>
  <c r="Q195" i="5" s="1"/>
  <c r="Q196" i="5" a="1"/>
  <c r="Q196" i="5" s="1"/>
  <c r="Q197" i="5" a="1"/>
  <c r="Q197" i="5" s="1"/>
  <c r="Q198" i="5" a="1"/>
  <c r="Q198" i="5" s="1"/>
  <c r="Q199" i="5" a="1"/>
  <c r="Q199" i="5" s="1"/>
  <c r="Q200" i="5" a="1"/>
  <c r="Q200" i="5" s="1"/>
  <c r="Q201" i="5" a="1"/>
  <c r="Q201" i="5" s="1"/>
  <c r="Q202" i="5" a="1"/>
  <c r="Q202" i="5" s="1"/>
  <c r="Q203" i="5" a="1"/>
  <c r="Q203" i="5" s="1"/>
  <c r="Q204" i="5" a="1"/>
  <c r="Q204" i="5" s="1"/>
  <c r="AK593" i="1"/>
  <c r="AK594" i="1"/>
  <c r="AK595" i="1"/>
  <c r="AK596" i="1"/>
  <c r="AK597" i="1"/>
  <c r="AK598" i="1"/>
  <c r="AK599" i="1"/>
  <c r="AK600" i="1"/>
  <c r="AK601" i="1"/>
  <c r="AH593" i="1"/>
  <c r="AH594" i="1"/>
  <c r="AH595" i="1"/>
  <c r="AH596" i="1"/>
  <c r="AH597" i="1"/>
  <c r="AH598" i="1"/>
  <c r="AH599" i="1"/>
  <c r="AH600" i="1"/>
  <c r="AH601" i="1"/>
  <c r="AE593" i="1"/>
  <c r="AE594" i="1"/>
  <c r="AE595" i="1"/>
  <c r="AE596" i="1"/>
  <c r="AE597" i="1"/>
  <c r="AE598" i="1"/>
  <c r="AE599" i="1"/>
  <c r="AE600" i="1"/>
  <c r="AE601" i="1"/>
  <c r="AB593" i="1"/>
  <c r="AB594" i="1"/>
  <c r="AB595" i="1"/>
  <c r="AB596" i="1"/>
  <c r="AB597" i="1"/>
  <c r="AB598" i="1"/>
  <c r="AB599" i="1"/>
  <c r="AB600" i="1"/>
  <c r="AB601" i="1"/>
  <c r="Y593" i="1"/>
  <c r="Y594" i="1"/>
  <c r="Y595" i="1"/>
  <c r="Y596" i="1"/>
  <c r="Y597" i="1"/>
  <c r="Y598" i="1"/>
  <c r="Y599" i="1"/>
  <c r="Y600" i="1"/>
  <c r="Y601" i="1"/>
  <c r="V593" i="1"/>
  <c r="V594" i="1"/>
  <c r="V595" i="1"/>
  <c r="V596" i="1"/>
  <c r="V597" i="1"/>
  <c r="V598" i="1"/>
  <c r="V599" i="1"/>
  <c r="V600" i="1"/>
  <c r="V601" i="1"/>
  <c r="S593" i="1"/>
  <c r="S594" i="1"/>
  <c r="S595" i="1"/>
  <c r="S596" i="1"/>
  <c r="S597" i="1"/>
  <c r="S598" i="1"/>
  <c r="S599" i="1"/>
  <c r="S600" i="1"/>
  <c r="S601" i="1"/>
  <c r="M593" i="1"/>
  <c r="M594" i="1"/>
  <c r="M595" i="1"/>
  <c r="M596" i="1"/>
  <c r="M597" i="1"/>
  <c r="M598" i="1"/>
  <c r="M599" i="1"/>
  <c r="M600" i="1"/>
  <c r="M601" i="1"/>
  <c r="AK586" i="1"/>
  <c r="AK587" i="1"/>
  <c r="AK588" i="1"/>
  <c r="AK589" i="1"/>
  <c r="AK590" i="1"/>
  <c r="AK591" i="1"/>
  <c r="AK592" i="1"/>
  <c r="AH586" i="1"/>
  <c r="AH587" i="1"/>
  <c r="AH588" i="1"/>
  <c r="AH589" i="1"/>
  <c r="AH590" i="1"/>
  <c r="AH591" i="1"/>
  <c r="AH592" i="1"/>
  <c r="AE586" i="1"/>
  <c r="AE587" i="1"/>
  <c r="AE588" i="1"/>
  <c r="AE589" i="1"/>
  <c r="AE590" i="1"/>
  <c r="AE591" i="1"/>
  <c r="AE592" i="1"/>
  <c r="AB586" i="1"/>
  <c r="AB587" i="1"/>
  <c r="AB588" i="1"/>
  <c r="AB589" i="1"/>
  <c r="AB590" i="1"/>
  <c r="AB591" i="1"/>
  <c r="AB592" i="1"/>
  <c r="Y586" i="1"/>
  <c r="Y587" i="1"/>
  <c r="Y588" i="1"/>
  <c r="Y589" i="1"/>
  <c r="Y590" i="1"/>
  <c r="Y591" i="1"/>
  <c r="Y592" i="1"/>
  <c r="V586" i="1"/>
  <c r="V587" i="1"/>
  <c r="V588" i="1"/>
  <c r="V589" i="1"/>
  <c r="V590" i="1"/>
  <c r="V591" i="1"/>
  <c r="V592" i="1"/>
  <c r="S586" i="1"/>
  <c r="S587" i="1"/>
  <c r="S588" i="1"/>
  <c r="S589" i="1"/>
  <c r="S590" i="1"/>
  <c r="S591" i="1"/>
  <c r="S592" i="1"/>
  <c r="M586" i="1"/>
  <c r="M587" i="1"/>
  <c r="M588" i="1"/>
  <c r="M589" i="1"/>
  <c r="M590" i="1"/>
  <c r="M591" i="1"/>
  <c r="M592" i="1"/>
  <c r="M585" i="1"/>
  <c r="AK585" i="1"/>
  <c r="AH585" i="1"/>
  <c r="AE585" i="1"/>
  <c r="AB585" i="1"/>
  <c r="Y585" i="1"/>
  <c r="V585" i="1"/>
  <c r="S585" i="1"/>
  <c r="AK582" i="1"/>
  <c r="AK583" i="1"/>
  <c r="AK584" i="1"/>
  <c r="AH582" i="1"/>
  <c r="AH583" i="1"/>
  <c r="AH584" i="1"/>
  <c r="AE582" i="1"/>
  <c r="AE583" i="1"/>
  <c r="AE584" i="1"/>
  <c r="AB582" i="1"/>
  <c r="AB583" i="1"/>
  <c r="AB584" i="1"/>
  <c r="Y582" i="1"/>
  <c r="Y583" i="1"/>
  <c r="Y584" i="1"/>
  <c r="V582" i="1"/>
  <c r="V583" i="1"/>
  <c r="V584" i="1"/>
  <c r="S582" i="1"/>
  <c r="S583" i="1"/>
  <c r="S58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AK580" i="1"/>
  <c r="AK581" i="1"/>
  <c r="AH580" i="1"/>
  <c r="AH581" i="1"/>
  <c r="AE580" i="1"/>
  <c r="AE581" i="1"/>
  <c r="Y580" i="1"/>
  <c r="Y581" i="1"/>
  <c r="V580" i="1"/>
  <c r="V581" i="1"/>
  <c r="S580" i="1"/>
  <c r="S581" i="1"/>
  <c r="AB580" i="1"/>
  <c r="AB581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P5" i="5" a="1"/>
  <c r="P5" i="5" s="1"/>
  <c r="P6" i="5" a="1"/>
  <c r="P6" i="5" s="1"/>
  <c r="P7" i="5" a="1"/>
  <c r="P7" i="5" s="1"/>
  <c r="P8" i="5" a="1"/>
  <c r="P8" i="5" s="1"/>
  <c r="P9" i="5" a="1"/>
  <c r="P9" i="5" s="1"/>
  <c r="P10" i="5" a="1"/>
  <c r="P10" i="5" s="1"/>
  <c r="P11" i="5" a="1"/>
  <c r="P11" i="5" s="1"/>
  <c r="P12" i="5" a="1"/>
  <c r="P12" i="5" s="1"/>
  <c r="P13" i="5" a="1"/>
  <c r="P13" i="5" s="1"/>
  <c r="P14" i="5" a="1"/>
  <c r="P14" i="5" s="1"/>
  <c r="P15" i="5" a="1"/>
  <c r="P15" i="5" s="1"/>
  <c r="P16" i="5" a="1"/>
  <c r="P16" i="5" s="1"/>
  <c r="P17" i="5" a="1"/>
  <c r="P17" i="5" s="1"/>
  <c r="P18" i="5" a="1"/>
  <c r="P18" i="5" s="1"/>
  <c r="P19" i="5" a="1"/>
  <c r="P19" i="5" s="1"/>
  <c r="P20" i="5" a="1"/>
  <c r="P20" i="5" s="1"/>
  <c r="P21" i="5" a="1"/>
  <c r="P21" i="5" s="1"/>
  <c r="P22" i="5" a="1"/>
  <c r="P22" i="5" s="1"/>
  <c r="P23" i="5" a="1"/>
  <c r="P23" i="5" s="1"/>
  <c r="P24" i="5" a="1"/>
  <c r="P24" i="5" s="1"/>
  <c r="P25" i="5" a="1"/>
  <c r="P25" i="5" s="1"/>
  <c r="P26" i="5" a="1"/>
  <c r="P26" i="5" s="1"/>
  <c r="P27" i="5" a="1"/>
  <c r="P27" i="5" s="1"/>
  <c r="P28" i="5" a="1"/>
  <c r="P28" i="5" s="1"/>
  <c r="P29" i="5" a="1"/>
  <c r="P29" i="5" s="1"/>
  <c r="P30" i="5" a="1"/>
  <c r="P30" i="5" s="1"/>
  <c r="P31" i="5" a="1"/>
  <c r="P31" i="5" s="1"/>
  <c r="P32" i="5" a="1"/>
  <c r="P32" i="5" s="1"/>
  <c r="P33" i="5" a="1"/>
  <c r="P33" i="5" s="1"/>
  <c r="P34" i="5" a="1"/>
  <c r="P34" i="5" s="1"/>
  <c r="P35" i="5" a="1"/>
  <c r="P35" i="5" s="1"/>
  <c r="P36" i="5" a="1"/>
  <c r="P36" i="5" s="1"/>
  <c r="P37" i="5" a="1"/>
  <c r="P37" i="5" s="1"/>
  <c r="P38" i="5" a="1"/>
  <c r="P38" i="5" s="1"/>
  <c r="P39" i="5" a="1"/>
  <c r="P39" i="5" s="1"/>
  <c r="P40" i="5" a="1"/>
  <c r="P40" i="5" s="1"/>
  <c r="P41" i="5" a="1"/>
  <c r="P41" i="5" s="1"/>
  <c r="P42" i="5" a="1"/>
  <c r="P42" i="5" s="1"/>
  <c r="P43" i="5" a="1"/>
  <c r="P43" i="5" s="1"/>
  <c r="P44" i="5" a="1"/>
  <c r="P44" i="5" s="1"/>
  <c r="P45" i="5" a="1"/>
  <c r="P45" i="5" s="1"/>
  <c r="P46" i="5" a="1"/>
  <c r="P46" i="5" s="1"/>
  <c r="P47" i="5" a="1"/>
  <c r="P47" i="5" s="1"/>
  <c r="P48" i="5" a="1"/>
  <c r="P48" i="5" s="1"/>
  <c r="P49" i="5" a="1"/>
  <c r="P49" i="5" s="1"/>
  <c r="P50" i="5" a="1"/>
  <c r="P50" i="5" s="1"/>
  <c r="P51" i="5" a="1"/>
  <c r="P51" i="5" s="1"/>
  <c r="P52" i="5" a="1"/>
  <c r="P52" i="5" s="1"/>
  <c r="P53" i="5" a="1"/>
  <c r="P53" i="5" s="1"/>
  <c r="P54" i="5" a="1"/>
  <c r="P54" i="5" s="1"/>
  <c r="P55" i="5" a="1"/>
  <c r="P55" i="5" s="1"/>
  <c r="P56" i="5" a="1"/>
  <c r="P56" i="5" s="1"/>
  <c r="P57" i="5" a="1"/>
  <c r="P57" i="5" s="1"/>
  <c r="P58" i="5" a="1"/>
  <c r="P58" i="5" s="1"/>
  <c r="P59" i="5" a="1"/>
  <c r="P59" i="5" s="1"/>
  <c r="P60" i="5" a="1"/>
  <c r="P60" i="5" s="1"/>
  <c r="P61" i="5" a="1"/>
  <c r="P61" i="5" s="1"/>
  <c r="P62" i="5" a="1"/>
  <c r="P62" i="5" s="1"/>
  <c r="P63" i="5" a="1"/>
  <c r="P63" i="5" s="1"/>
  <c r="P64" i="5" a="1"/>
  <c r="P64" i="5" s="1"/>
  <c r="P65" i="5" a="1"/>
  <c r="P65" i="5" s="1"/>
  <c r="P66" i="5" a="1"/>
  <c r="P66" i="5" s="1"/>
  <c r="P67" i="5" a="1"/>
  <c r="P67" i="5" s="1"/>
  <c r="P68" i="5" a="1"/>
  <c r="P68" i="5" s="1"/>
  <c r="P69" i="5" a="1"/>
  <c r="P69" i="5" s="1"/>
  <c r="P70" i="5" a="1"/>
  <c r="P70" i="5" s="1"/>
  <c r="P71" i="5" a="1"/>
  <c r="P71" i="5" s="1"/>
  <c r="P72" i="5" a="1"/>
  <c r="P72" i="5" s="1"/>
  <c r="P73" i="5" a="1"/>
  <c r="P73" i="5" s="1"/>
  <c r="P74" i="5" a="1"/>
  <c r="P74" i="5" s="1"/>
  <c r="P75" i="5" a="1"/>
  <c r="P75" i="5" s="1"/>
  <c r="P76" i="5" a="1"/>
  <c r="P76" i="5" s="1"/>
  <c r="P77" i="5" a="1"/>
  <c r="P77" i="5" s="1"/>
  <c r="P78" i="5" a="1"/>
  <c r="P78" i="5" s="1"/>
  <c r="P79" i="5" a="1"/>
  <c r="P79" i="5" s="1"/>
  <c r="P80" i="5" a="1"/>
  <c r="P80" i="5" s="1"/>
  <c r="P81" i="5" a="1"/>
  <c r="P81" i="5" s="1"/>
  <c r="P82" i="5" a="1"/>
  <c r="P82" i="5" s="1"/>
  <c r="P83" i="5" a="1"/>
  <c r="P83" i="5" s="1"/>
  <c r="P84" i="5" a="1"/>
  <c r="P84" i="5" s="1"/>
  <c r="P85" i="5" a="1"/>
  <c r="P85" i="5" s="1"/>
  <c r="P86" i="5" a="1"/>
  <c r="P86" i="5" s="1"/>
  <c r="P87" i="5" a="1"/>
  <c r="P87" i="5" s="1"/>
  <c r="P88" i="5" a="1"/>
  <c r="P88" i="5" s="1"/>
  <c r="P89" i="5" a="1"/>
  <c r="P89" i="5" s="1"/>
  <c r="P90" i="5" a="1"/>
  <c r="P90" i="5" s="1"/>
  <c r="P91" i="5" a="1"/>
  <c r="P91" i="5" s="1"/>
  <c r="P92" i="5" a="1"/>
  <c r="P92" i="5" s="1"/>
  <c r="P93" i="5" a="1"/>
  <c r="P93" i="5" s="1"/>
  <c r="P94" i="5" a="1"/>
  <c r="P94" i="5" s="1"/>
  <c r="P95" i="5" a="1"/>
  <c r="P95" i="5" s="1"/>
  <c r="P96" i="5" a="1"/>
  <c r="P96" i="5" s="1"/>
  <c r="P97" i="5" a="1"/>
  <c r="P97" i="5" s="1"/>
  <c r="P98" i="5" a="1"/>
  <c r="P98" i="5" s="1"/>
  <c r="P99" i="5" a="1"/>
  <c r="P99" i="5" s="1"/>
  <c r="P100" i="5" a="1"/>
  <c r="P100" i="5" s="1"/>
  <c r="P101" i="5" a="1"/>
  <c r="P101" i="5" s="1"/>
  <c r="P102" i="5" a="1"/>
  <c r="P102" i="5" s="1"/>
  <c r="P103" i="5" a="1"/>
  <c r="P103" i="5" s="1"/>
  <c r="P104" i="5" a="1"/>
  <c r="P104" i="5" s="1"/>
  <c r="P105" i="5" a="1"/>
  <c r="P105" i="5" s="1"/>
  <c r="P106" i="5" a="1"/>
  <c r="P106" i="5" s="1"/>
  <c r="P107" i="5" a="1"/>
  <c r="P107" i="5" s="1"/>
  <c r="P108" i="5" a="1"/>
  <c r="P108" i="5" s="1"/>
  <c r="P109" i="5" a="1"/>
  <c r="P109" i="5" s="1"/>
  <c r="P110" i="5" a="1"/>
  <c r="P110" i="5" s="1"/>
  <c r="P111" i="5" a="1"/>
  <c r="P111" i="5" s="1"/>
  <c r="P112" i="5" a="1"/>
  <c r="P112" i="5" s="1"/>
  <c r="P113" i="5" a="1"/>
  <c r="P113" i="5" s="1"/>
  <c r="P114" i="5" a="1"/>
  <c r="P114" i="5" s="1"/>
  <c r="P115" i="5" a="1"/>
  <c r="P115" i="5" s="1"/>
  <c r="P116" i="5" a="1"/>
  <c r="P116" i="5" s="1"/>
  <c r="P117" i="5" a="1"/>
  <c r="P117" i="5" s="1"/>
  <c r="P118" i="5" a="1"/>
  <c r="P118" i="5" s="1"/>
  <c r="P119" i="5" a="1"/>
  <c r="P119" i="5" s="1"/>
  <c r="P120" i="5" a="1"/>
  <c r="P120" i="5" s="1"/>
  <c r="P121" i="5" a="1"/>
  <c r="P121" i="5" s="1"/>
  <c r="P122" i="5" a="1"/>
  <c r="P122" i="5" s="1"/>
  <c r="P123" i="5" a="1"/>
  <c r="P123" i="5" s="1"/>
  <c r="P124" i="5" a="1"/>
  <c r="P124" i="5" s="1"/>
  <c r="P125" i="5" a="1"/>
  <c r="P125" i="5" s="1"/>
  <c r="P126" i="5" a="1"/>
  <c r="P126" i="5" s="1"/>
  <c r="P127" i="5" a="1"/>
  <c r="P127" i="5" s="1"/>
  <c r="P128" i="5" a="1"/>
  <c r="P128" i="5" s="1"/>
  <c r="P129" i="5" a="1"/>
  <c r="P129" i="5" s="1"/>
  <c r="P130" i="5" a="1"/>
  <c r="P130" i="5" s="1"/>
  <c r="P131" i="5" a="1"/>
  <c r="P131" i="5" s="1"/>
  <c r="P132" i="5" a="1"/>
  <c r="P132" i="5" s="1"/>
  <c r="P133" i="5" a="1"/>
  <c r="P133" i="5" s="1"/>
  <c r="P134" i="5" a="1"/>
  <c r="P134" i="5" s="1"/>
  <c r="P135" i="5" a="1"/>
  <c r="P135" i="5" s="1"/>
  <c r="P136" i="5" a="1"/>
  <c r="P136" i="5" s="1"/>
  <c r="P137" i="5" a="1"/>
  <c r="P137" i="5" s="1"/>
  <c r="P138" i="5" a="1"/>
  <c r="P138" i="5" s="1"/>
  <c r="P139" i="5" a="1"/>
  <c r="P139" i="5" s="1"/>
  <c r="P140" i="5" a="1"/>
  <c r="P140" i="5" s="1"/>
  <c r="P141" i="5" a="1"/>
  <c r="P141" i="5" s="1"/>
  <c r="P142" i="5" a="1"/>
  <c r="P142" i="5" s="1"/>
  <c r="P143" i="5" a="1"/>
  <c r="P143" i="5" s="1"/>
  <c r="P144" i="5" a="1"/>
  <c r="P144" i="5" s="1"/>
  <c r="P145" i="5" a="1"/>
  <c r="P145" i="5" s="1"/>
  <c r="P146" i="5" a="1"/>
  <c r="P146" i="5" s="1"/>
  <c r="P147" i="5" a="1"/>
  <c r="P147" i="5" s="1"/>
  <c r="P148" i="5" a="1"/>
  <c r="P148" i="5" s="1"/>
  <c r="P149" i="5" a="1"/>
  <c r="P149" i="5" s="1"/>
  <c r="P150" i="5" a="1"/>
  <c r="P150" i="5" s="1"/>
  <c r="P151" i="5" a="1"/>
  <c r="P151" i="5" s="1"/>
  <c r="P152" i="5" a="1"/>
  <c r="P152" i="5" s="1"/>
  <c r="P153" i="5" a="1"/>
  <c r="P153" i="5" s="1"/>
  <c r="P154" i="5" a="1"/>
  <c r="P154" i="5" s="1"/>
  <c r="P155" i="5" a="1"/>
  <c r="P155" i="5" s="1"/>
  <c r="P156" i="5" a="1"/>
  <c r="P156" i="5" s="1"/>
  <c r="P157" i="5" a="1"/>
  <c r="P157" i="5" s="1"/>
  <c r="P158" i="5" a="1"/>
  <c r="P158" i="5" s="1"/>
  <c r="P159" i="5" a="1"/>
  <c r="P159" i="5" s="1"/>
  <c r="P160" i="5" a="1"/>
  <c r="P160" i="5" s="1"/>
  <c r="P161" i="5" a="1"/>
  <c r="P161" i="5" s="1"/>
  <c r="P162" i="5" a="1"/>
  <c r="P162" i="5" s="1"/>
  <c r="P163" i="5" a="1"/>
  <c r="P163" i="5" s="1"/>
  <c r="P164" i="5" a="1"/>
  <c r="P164" i="5" s="1"/>
  <c r="P165" i="5" a="1"/>
  <c r="P165" i="5" s="1"/>
  <c r="P166" i="5" a="1"/>
  <c r="P166" i="5" s="1"/>
  <c r="P167" i="5" a="1"/>
  <c r="P167" i="5" s="1"/>
  <c r="P168" i="5" a="1"/>
  <c r="P168" i="5" s="1"/>
  <c r="P169" i="5" a="1"/>
  <c r="P169" i="5" s="1"/>
  <c r="P170" i="5" a="1"/>
  <c r="P170" i="5" s="1"/>
  <c r="P171" i="5" a="1"/>
  <c r="P171" i="5" s="1"/>
  <c r="P172" i="5" a="1"/>
  <c r="P172" i="5" s="1"/>
  <c r="P173" i="5" a="1"/>
  <c r="P173" i="5" s="1"/>
  <c r="P174" i="5" a="1"/>
  <c r="P174" i="5" s="1"/>
  <c r="P175" i="5" a="1"/>
  <c r="P175" i="5" s="1"/>
  <c r="P176" i="5" a="1"/>
  <c r="P176" i="5" s="1"/>
  <c r="P177" i="5" a="1"/>
  <c r="P177" i="5" s="1"/>
  <c r="P178" i="5" a="1"/>
  <c r="P178" i="5" s="1"/>
  <c r="P179" i="5" a="1"/>
  <c r="P179" i="5" s="1"/>
  <c r="P180" i="5" a="1"/>
  <c r="P180" i="5" s="1"/>
  <c r="P181" i="5" a="1"/>
  <c r="P181" i="5" s="1"/>
  <c r="P182" i="5" a="1"/>
  <c r="P182" i="5" s="1"/>
  <c r="P183" i="5" a="1"/>
  <c r="P183" i="5" s="1"/>
  <c r="P184" i="5" a="1"/>
  <c r="P184" i="5" s="1"/>
  <c r="P185" i="5" a="1"/>
  <c r="P185" i="5" s="1"/>
  <c r="P186" i="5" a="1"/>
  <c r="P186" i="5" s="1"/>
  <c r="P187" i="5" a="1"/>
  <c r="P187" i="5" s="1"/>
  <c r="P188" i="5" a="1"/>
  <c r="P188" i="5" s="1"/>
  <c r="P189" i="5" a="1"/>
  <c r="P189" i="5" s="1"/>
  <c r="P190" i="5" a="1"/>
  <c r="P190" i="5" s="1"/>
  <c r="P191" i="5" a="1"/>
  <c r="P191" i="5" s="1"/>
  <c r="P192" i="5" a="1"/>
  <c r="P192" i="5" s="1"/>
  <c r="P193" i="5" a="1"/>
  <c r="P193" i="5" s="1"/>
  <c r="P194" i="5" a="1"/>
  <c r="P194" i="5" s="1"/>
  <c r="P195" i="5" a="1"/>
  <c r="P195" i="5" s="1"/>
  <c r="P196" i="5" a="1"/>
  <c r="P196" i="5" s="1"/>
  <c r="P197" i="5" a="1"/>
  <c r="P197" i="5" s="1"/>
  <c r="P198" i="5" a="1"/>
  <c r="P198" i="5" s="1"/>
  <c r="P199" i="5" a="1"/>
  <c r="P199" i="5" s="1"/>
  <c r="P200" i="5" a="1"/>
  <c r="P200" i="5" s="1"/>
  <c r="P201" i="5" a="1"/>
  <c r="P201" i="5" s="1"/>
  <c r="P202" i="5" a="1"/>
  <c r="P202" i="5" s="1"/>
  <c r="P203" i="5" a="1"/>
  <c r="P203" i="5" s="1"/>
  <c r="P204" i="5" a="1"/>
  <c r="P204" i="5" s="1"/>
  <c r="O5" i="5" a="1"/>
  <c r="O5" i="5" s="1"/>
  <c r="O6" i="5" a="1"/>
  <c r="O6" i="5" s="1"/>
  <c r="O7" i="5" a="1"/>
  <c r="O7" i="5" s="1"/>
  <c r="O8" i="5" a="1"/>
  <c r="O8" i="5" s="1"/>
  <c r="O9" i="5" a="1"/>
  <c r="O9" i="5" s="1"/>
  <c r="O10" i="5" a="1"/>
  <c r="O10" i="5" s="1"/>
  <c r="O11" i="5" a="1"/>
  <c r="O11" i="5" s="1"/>
  <c r="O12" i="5" a="1"/>
  <c r="O12" i="5" s="1"/>
  <c r="O13" i="5" a="1"/>
  <c r="O13" i="5" s="1"/>
  <c r="O14" i="5" a="1"/>
  <c r="O14" i="5" s="1"/>
  <c r="O15" i="5" a="1"/>
  <c r="O15" i="5" s="1"/>
  <c r="O16" i="5" a="1"/>
  <c r="O16" i="5" s="1"/>
  <c r="O17" i="5" a="1"/>
  <c r="O17" i="5" s="1"/>
  <c r="O18" i="5" a="1"/>
  <c r="O18" i="5" s="1"/>
  <c r="O19" i="5" a="1"/>
  <c r="O19" i="5" s="1"/>
  <c r="O20" i="5" a="1"/>
  <c r="O20" i="5" s="1"/>
  <c r="O21" i="5" a="1"/>
  <c r="O21" i="5" s="1"/>
  <c r="O22" i="5" a="1"/>
  <c r="O22" i="5" s="1"/>
  <c r="O23" i="5" a="1"/>
  <c r="O23" i="5" s="1"/>
  <c r="O24" i="5" a="1"/>
  <c r="O24" i="5" s="1"/>
  <c r="O25" i="5" a="1"/>
  <c r="O25" i="5" s="1"/>
  <c r="O26" i="5" a="1"/>
  <c r="O26" i="5" s="1"/>
  <c r="O27" i="5" a="1"/>
  <c r="O27" i="5" s="1"/>
  <c r="O28" i="5" a="1"/>
  <c r="O28" i="5" s="1"/>
  <c r="O29" i="5" a="1"/>
  <c r="O29" i="5" s="1"/>
  <c r="O30" i="5" a="1"/>
  <c r="O30" i="5" s="1"/>
  <c r="O31" i="5" a="1"/>
  <c r="O31" i="5" s="1"/>
  <c r="O32" i="5" a="1"/>
  <c r="O32" i="5" s="1"/>
  <c r="O33" i="5" a="1"/>
  <c r="O33" i="5" s="1"/>
  <c r="O34" i="5" a="1"/>
  <c r="O34" i="5" s="1"/>
  <c r="O35" i="5" a="1"/>
  <c r="O35" i="5" s="1"/>
  <c r="O36" i="5" a="1"/>
  <c r="O36" i="5" s="1"/>
  <c r="O37" i="5" a="1"/>
  <c r="O37" i="5" s="1"/>
  <c r="O38" i="5" a="1"/>
  <c r="O38" i="5" s="1"/>
  <c r="O39" i="5" a="1"/>
  <c r="O39" i="5" s="1"/>
  <c r="O40" i="5" a="1"/>
  <c r="O40" i="5" s="1"/>
  <c r="O41" i="5" a="1"/>
  <c r="O41" i="5" s="1"/>
  <c r="O42" i="5" a="1"/>
  <c r="O42" i="5" s="1"/>
  <c r="O43" i="5" a="1"/>
  <c r="O43" i="5" s="1"/>
  <c r="O44" i="5" a="1"/>
  <c r="O44" i="5" s="1"/>
  <c r="O45" i="5" a="1"/>
  <c r="O45" i="5" s="1"/>
  <c r="O46" i="5" a="1"/>
  <c r="O46" i="5" s="1"/>
  <c r="O47" i="5" a="1"/>
  <c r="O47" i="5" s="1"/>
  <c r="O48" i="5" a="1"/>
  <c r="O48" i="5" s="1"/>
  <c r="O49" i="5" a="1"/>
  <c r="O49" i="5" s="1"/>
  <c r="O50" i="5" a="1"/>
  <c r="O50" i="5" s="1"/>
  <c r="O51" i="5" a="1"/>
  <c r="O51" i="5" s="1"/>
  <c r="O52" i="5" a="1"/>
  <c r="O52" i="5" s="1"/>
  <c r="O53" i="5" a="1"/>
  <c r="O53" i="5" s="1"/>
  <c r="O54" i="5" a="1"/>
  <c r="O54" i="5" s="1"/>
  <c r="O55" i="5" a="1"/>
  <c r="O55" i="5" s="1"/>
  <c r="O56" i="5" a="1"/>
  <c r="O56" i="5" s="1"/>
  <c r="O57" i="5" a="1"/>
  <c r="O57" i="5" s="1"/>
  <c r="O58" i="5" a="1"/>
  <c r="O58" i="5" s="1"/>
  <c r="O59" i="5" a="1"/>
  <c r="O59" i="5" s="1"/>
  <c r="O60" i="5" a="1"/>
  <c r="O60" i="5" s="1"/>
  <c r="O61" i="5" a="1"/>
  <c r="O61" i="5" s="1"/>
  <c r="O62" i="5" a="1"/>
  <c r="O62" i="5" s="1"/>
  <c r="O63" i="5" a="1"/>
  <c r="O63" i="5" s="1"/>
  <c r="O64" i="5" a="1"/>
  <c r="O64" i="5" s="1"/>
  <c r="O65" i="5" a="1"/>
  <c r="O65" i="5" s="1"/>
  <c r="O66" i="5" a="1"/>
  <c r="O66" i="5" s="1"/>
  <c r="O67" i="5" a="1"/>
  <c r="O67" i="5" s="1"/>
  <c r="O68" i="5" a="1"/>
  <c r="O68" i="5" s="1"/>
  <c r="O69" i="5" a="1"/>
  <c r="O69" i="5" s="1"/>
  <c r="O70" i="5" a="1"/>
  <c r="O70" i="5" s="1"/>
  <c r="O71" i="5" a="1"/>
  <c r="O71" i="5" s="1"/>
  <c r="O72" i="5" a="1"/>
  <c r="O72" i="5" s="1"/>
  <c r="O73" i="5" a="1"/>
  <c r="O73" i="5" s="1"/>
  <c r="O74" i="5" a="1"/>
  <c r="O74" i="5" s="1"/>
  <c r="O75" i="5" a="1"/>
  <c r="O75" i="5" s="1"/>
  <c r="O76" i="5" a="1"/>
  <c r="O76" i="5" s="1"/>
  <c r="O77" i="5" a="1"/>
  <c r="O77" i="5" s="1"/>
  <c r="O78" i="5" a="1"/>
  <c r="O78" i="5" s="1"/>
  <c r="O79" i="5" a="1"/>
  <c r="O79" i="5" s="1"/>
  <c r="O80" i="5" a="1"/>
  <c r="O80" i="5" s="1"/>
  <c r="O81" i="5" a="1"/>
  <c r="O81" i="5" s="1"/>
  <c r="O82" i="5" a="1"/>
  <c r="O82" i="5" s="1"/>
  <c r="O83" i="5" a="1"/>
  <c r="O83" i="5" s="1"/>
  <c r="O84" i="5" a="1"/>
  <c r="O84" i="5" s="1"/>
  <c r="O85" i="5" a="1"/>
  <c r="O85" i="5" s="1"/>
  <c r="O86" i="5" a="1"/>
  <c r="O86" i="5" s="1"/>
  <c r="O87" i="5" a="1"/>
  <c r="O87" i="5" s="1"/>
  <c r="O88" i="5" a="1"/>
  <c r="O88" i="5" s="1"/>
  <c r="O89" i="5" a="1"/>
  <c r="O89" i="5" s="1"/>
  <c r="O90" i="5" a="1"/>
  <c r="O90" i="5" s="1"/>
  <c r="O91" i="5" a="1"/>
  <c r="O91" i="5" s="1"/>
  <c r="O92" i="5" a="1"/>
  <c r="O92" i="5" s="1"/>
  <c r="O93" i="5" a="1"/>
  <c r="O93" i="5" s="1"/>
  <c r="O94" i="5" a="1"/>
  <c r="O94" i="5" s="1"/>
  <c r="O95" i="5" a="1"/>
  <c r="O95" i="5" s="1"/>
  <c r="O96" i="5" a="1"/>
  <c r="O96" i="5" s="1"/>
  <c r="O97" i="5" a="1"/>
  <c r="O97" i="5" s="1"/>
  <c r="O98" i="5" a="1"/>
  <c r="O98" i="5" s="1"/>
  <c r="O99" i="5" a="1"/>
  <c r="O99" i="5" s="1"/>
  <c r="O100" i="5" a="1"/>
  <c r="O100" i="5" s="1"/>
  <c r="O101" i="5" a="1"/>
  <c r="O101" i="5" s="1"/>
  <c r="O102" i="5" a="1"/>
  <c r="O102" i="5" s="1"/>
  <c r="O103" i="5" a="1"/>
  <c r="O103" i="5" s="1"/>
  <c r="O104" i="5" a="1"/>
  <c r="O104" i="5" s="1"/>
  <c r="O105" i="5" a="1"/>
  <c r="O105" i="5" s="1"/>
  <c r="O106" i="5" a="1"/>
  <c r="O106" i="5" s="1"/>
  <c r="O107" i="5" a="1"/>
  <c r="O107" i="5" s="1"/>
  <c r="O108" i="5" a="1"/>
  <c r="O108" i="5" s="1"/>
  <c r="O109" i="5" a="1"/>
  <c r="O109" i="5" s="1"/>
  <c r="O110" i="5" a="1"/>
  <c r="O110" i="5" s="1"/>
  <c r="O111" i="5" a="1"/>
  <c r="O111" i="5" s="1"/>
  <c r="O112" i="5" a="1"/>
  <c r="O112" i="5" s="1"/>
  <c r="O113" i="5" a="1"/>
  <c r="O113" i="5" s="1"/>
  <c r="O114" i="5" a="1"/>
  <c r="O114" i="5" s="1"/>
  <c r="O115" i="5" a="1"/>
  <c r="O115" i="5" s="1"/>
  <c r="O116" i="5" a="1"/>
  <c r="O116" i="5" s="1"/>
  <c r="O117" i="5" a="1"/>
  <c r="O117" i="5" s="1"/>
  <c r="O118" i="5" a="1"/>
  <c r="O118" i="5" s="1"/>
  <c r="O119" i="5" a="1"/>
  <c r="O119" i="5" s="1"/>
  <c r="O120" i="5" a="1"/>
  <c r="O120" i="5" s="1"/>
  <c r="O121" i="5" a="1"/>
  <c r="O121" i="5" s="1"/>
  <c r="O122" i="5" a="1"/>
  <c r="O122" i="5" s="1"/>
  <c r="O123" i="5" a="1"/>
  <c r="O123" i="5" s="1"/>
  <c r="O124" i="5" a="1"/>
  <c r="O124" i="5" s="1"/>
  <c r="O125" i="5" a="1"/>
  <c r="O125" i="5" s="1"/>
  <c r="O126" i="5" a="1"/>
  <c r="O126" i="5" s="1"/>
  <c r="O127" i="5" a="1"/>
  <c r="O127" i="5" s="1"/>
  <c r="O128" i="5" a="1"/>
  <c r="O128" i="5" s="1"/>
  <c r="O129" i="5" a="1"/>
  <c r="O129" i="5" s="1"/>
  <c r="O130" i="5" a="1"/>
  <c r="O130" i="5" s="1"/>
  <c r="O131" i="5" a="1"/>
  <c r="O131" i="5" s="1"/>
  <c r="O132" i="5" a="1"/>
  <c r="O132" i="5" s="1"/>
  <c r="O133" i="5" a="1"/>
  <c r="O133" i="5" s="1"/>
  <c r="O134" i="5" a="1"/>
  <c r="O134" i="5" s="1"/>
  <c r="O135" i="5" a="1"/>
  <c r="O135" i="5" s="1"/>
  <c r="O136" i="5" a="1"/>
  <c r="O136" i="5" s="1"/>
  <c r="O137" i="5" a="1"/>
  <c r="O137" i="5" s="1"/>
  <c r="O138" i="5" a="1"/>
  <c r="O138" i="5" s="1"/>
  <c r="O139" i="5" a="1"/>
  <c r="O139" i="5" s="1"/>
  <c r="O140" i="5" a="1"/>
  <c r="O140" i="5" s="1"/>
  <c r="O141" i="5" a="1"/>
  <c r="O141" i="5" s="1"/>
  <c r="O142" i="5" a="1"/>
  <c r="O142" i="5" s="1"/>
  <c r="O143" i="5" a="1"/>
  <c r="O143" i="5" s="1"/>
  <c r="O144" i="5" a="1"/>
  <c r="O144" i="5" s="1"/>
  <c r="O145" i="5" a="1"/>
  <c r="O145" i="5" s="1"/>
  <c r="O146" i="5" a="1"/>
  <c r="O146" i="5" s="1"/>
  <c r="O147" i="5" a="1"/>
  <c r="O147" i="5" s="1"/>
  <c r="O148" i="5" a="1"/>
  <c r="O148" i="5" s="1"/>
  <c r="O149" i="5" a="1"/>
  <c r="O149" i="5" s="1"/>
  <c r="O150" i="5" a="1"/>
  <c r="O150" i="5" s="1"/>
  <c r="O151" i="5" a="1"/>
  <c r="O151" i="5" s="1"/>
  <c r="O152" i="5" a="1"/>
  <c r="O152" i="5" s="1"/>
  <c r="O153" i="5" a="1"/>
  <c r="O153" i="5" s="1"/>
  <c r="O154" i="5" a="1"/>
  <c r="O154" i="5" s="1"/>
  <c r="O155" i="5" a="1"/>
  <c r="O155" i="5" s="1"/>
  <c r="O156" i="5" a="1"/>
  <c r="O156" i="5" s="1"/>
  <c r="O157" i="5" a="1"/>
  <c r="O157" i="5" s="1"/>
  <c r="O158" i="5" a="1"/>
  <c r="O158" i="5" s="1"/>
  <c r="O159" i="5" a="1"/>
  <c r="O159" i="5" s="1"/>
  <c r="O160" i="5" a="1"/>
  <c r="O160" i="5" s="1"/>
  <c r="O161" i="5" a="1"/>
  <c r="O161" i="5" s="1"/>
  <c r="O162" i="5" a="1"/>
  <c r="O162" i="5" s="1"/>
  <c r="O163" i="5" a="1"/>
  <c r="O163" i="5" s="1"/>
  <c r="O164" i="5" a="1"/>
  <c r="O164" i="5" s="1"/>
  <c r="O165" i="5" a="1"/>
  <c r="O165" i="5" s="1"/>
  <c r="O166" i="5" a="1"/>
  <c r="O166" i="5" s="1"/>
  <c r="O167" i="5" a="1"/>
  <c r="O167" i="5" s="1"/>
  <c r="O168" i="5" a="1"/>
  <c r="O168" i="5" s="1"/>
  <c r="O169" i="5" a="1"/>
  <c r="O169" i="5" s="1"/>
  <c r="O170" i="5" a="1"/>
  <c r="O170" i="5" s="1"/>
  <c r="O171" i="5" a="1"/>
  <c r="O171" i="5" s="1"/>
  <c r="O172" i="5" a="1"/>
  <c r="O172" i="5" s="1"/>
  <c r="O173" i="5" a="1"/>
  <c r="O173" i="5" s="1"/>
  <c r="O174" i="5" a="1"/>
  <c r="O174" i="5" s="1"/>
  <c r="O175" i="5" a="1"/>
  <c r="O175" i="5" s="1"/>
  <c r="O176" i="5" a="1"/>
  <c r="O176" i="5" s="1"/>
  <c r="O177" i="5" a="1"/>
  <c r="O177" i="5" s="1"/>
  <c r="O178" i="5" a="1"/>
  <c r="O178" i="5" s="1"/>
  <c r="O179" i="5" a="1"/>
  <c r="O179" i="5" s="1"/>
  <c r="O180" i="5" a="1"/>
  <c r="O180" i="5" s="1"/>
  <c r="O181" i="5" a="1"/>
  <c r="O181" i="5" s="1"/>
  <c r="O182" i="5" a="1"/>
  <c r="O182" i="5" s="1"/>
  <c r="O183" i="5" a="1"/>
  <c r="O183" i="5" s="1"/>
  <c r="O184" i="5" a="1"/>
  <c r="O184" i="5" s="1"/>
  <c r="O185" i="5" a="1"/>
  <c r="O185" i="5" s="1"/>
  <c r="O186" i="5" a="1"/>
  <c r="O186" i="5" s="1"/>
  <c r="O187" i="5" a="1"/>
  <c r="O187" i="5" s="1"/>
  <c r="O188" i="5" a="1"/>
  <c r="O188" i="5" s="1"/>
  <c r="O189" i="5" a="1"/>
  <c r="O189" i="5" s="1"/>
  <c r="O190" i="5" a="1"/>
  <c r="O190" i="5" s="1"/>
  <c r="O191" i="5" a="1"/>
  <c r="O191" i="5" s="1"/>
  <c r="O192" i="5" a="1"/>
  <c r="O192" i="5" s="1"/>
  <c r="O193" i="5" a="1"/>
  <c r="O193" i="5" s="1"/>
  <c r="O194" i="5" a="1"/>
  <c r="O194" i="5" s="1"/>
  <c r="O195" i="5" a="1"/>
  <c r="O195" i="5" s="1"/>
  <c r="O196" i="5" a="1"/>
  <c r="O196" i="5" s="1"/>
  <c r="O197" i="5" a="1"/>
  <c r="O197" i="5" s="1"/>
  <c r="O198" i="5" a="1"/>
  <c r="O198" i="5" s="1"/>
  <c r="O199" i="5" a="1"/>
  <c r="O199" i="5" s="1"/>
  <c r="O200" i="5" a="1"/>
  <c r="O200" i="5" s="1"/>
  <c r="O201" i="5" a="1"/>
  <c r="O201" i="5" s="1"/>
  <c r="O202" i="5" a="1"/>
  <c r="O202" i="5" s="1"/>
  <c r="O203" i="5" a="1"/>
  <c r="O203" i="5" s="1"/>
  <c r="O204" i="5" a="1"/>
  <c r="O204" i="5" s="1"/>
  <c r="N5" i="5" a="1"/>
  <c r="N5" i="5" s="1"/>
  <c r="N6" i="5" a="1"/>
  <c r="N6" i="5" s="1"/>
  <c r="N7" i="5" a="1"/>
  <c r="N7" i="5" s="1"/>
  <c r="N8" i="5" a="1"/>
  <c r="N8" i="5" s="1"/>
  <c r="N9" i="5" a="1"/>
  <c r="N9" i="5" s="1"/>
  <c r="N10" i="5" a="1"/>
  <c r="N10" i="5" s="1"/>
  <c r="N11" i="5" a="1"/>
  <c r="N11" i="5" s="1"/>
  <c r="N12" i="5" a="1"/>
  <c r="N12" i="5" s="1"/>
  <c r="N13" i="5" a="1"/>
  <c r="N13" i="5" s="1"/>
  <c r="N14" i="5" a="1"/>
  <c r="N14" i="5" s="1"/>
  <c r="N15" i="5" a="1"/>
  <c r="N15" i="5" s="1"/>
  <c r="N16" i="5" a="1"/>
  <c r="N16" i="5" s="1"/>
  <c r="N17" i="5" a="1"/>
  <c r="N17" i="5" s="1"/>
  <c r="N18" i="5" a="1"/>
  <c r="N18" i="5" s="1"/>
  <c r="N19" i="5" a="1"/>
  <c r="N19" i="5" s="1"/>
  <c r="N20" i="5" a="1"/>
  <c r="N20" i="5" s="1"/>
  <c r="N21" i="5" a="1"/>
  <c r="N21" i="5" s="1"/>
  <c r="N22" i="5" a="1"/>
  <c r="N22" i="5" s="1"/>
  <c r="N23" i="5" a="1"/>
  <c r="N23" i="5" s="1"/>
  <c r="N24" i="5" a="1"/>
  <c r="N24" i="5" s="1"/>
  <c r="N25" i="5" a="1"/>
  <c r="N25" i="5" s="1"/>
  <c r="N26" i="5" a="1"/>
  <c r="N26" i="5" s="1"/>
  <c r="N27" i="5" a="1"/>
  <c r="N27" i="5" s="1"/>
  <c r="N28" i="5" a="1"/>
  <c r="N28" i="5" s="1"/>
  <c r="N29" i="5" a="1"/>
  <c r="N29" i="5" s="1"/>
  <c r="N30" i="5" a="1"/>
  <c r="N30" i="5" s="1"/>
  <c r="N31" i="5" a="1"/>
  <c r="N31" i="5" s="1"/>
  <c r="N32" i="5" a="1"/>
  <c r="N32" i="5" s="1"/>
  <c r="N33" i="5" a="1"/>
  <c r="N33" i="5" s="1"/>
  <c r="N34" i="5" a="1"/>
  <c r="N34" i="5" s="1"/>
  <c r="N35" i="5" a="1"/>
  <c r="N35" i="5" s="1"/>
  <c r="N36" i="5" a="1"/>
  <c r="N36" i="5" s="1"/>
  <c r="N37" i="5" a="1"/>
  <c r="N37" i="5" s="1"/>
  <c r="N38" i="5" a="1"/>
  <c r="N38" i="5" s="1"/>
  <c r="N39" i="5" a="1"/>
  <c r="N39" i="5" s="1"/>
  <c r="N40" i="5" a="1"/>
  <c r="N40" i="5" s="1"/>
  <c r="N41" i="5" a="1"/>
  <c r="N41" i="5" s="1"/>
  <c r="N42" i="5" a="1"/>
  <c r="N42" i="5" s="1"/>
  <c r="N43" i="5" a="1"/>
  <c r="N43" i="5" s="1"/>
  <c r="N44" i="5" a="1"/>
  <c r="N44" i="5" s="1"/>
  <c r="N45" i="5" a="1"/>
  <c r="N45" i="5" s="1"/>
  <c r="N46" i="5" a="1"/>
  <c r="N46" i="5" s="1"/>
  <c r="N47" i="5" a="1"/>
  <c r="N47" i="5" s="1"/>
  <c r="N48" i="5" a="1"/>
  <c r="N48" i="5" s="1"/>
  <c r="N49" i="5" a="1"/>
  <c r="N49" i="5" s="1"/>
  <c r="N50" i="5" a="1"/>
  <c r="N50" i="5" s="1"/>
  <c r="N51" i="5" a="1"/>
  <c r="N51" i="5" s="1"/>
  <c r="N52" i="5" a="1"/>
  <c r="N52" i="5" s="1"/>
  <c r="N53" i="5" a="1"/>
  <c r="N53" i="5" s="1"/>
  <c r="N54" i="5" a="1"/>
  <c r="N54" i="5" s="1"/>
  <c r="N55" i="5" a="1"/>
  <c r="N55" i="5" s="1"/>
  <c r="N56" i="5" a="1"/>
  <c r="N56" i="5" s="1"/>
  <c r="N57" i="5" a="1"/>
  <c r="N57" i="5" s="1"/>
  <c r="N58" i="5" a="1"/>
  <c r="N58" i="5" s="1"/>
  <c r="N59" i="5" a="1"/>
  <c r="N59" i="5" s="1"/>
  <c r="N60" i="5" a="1"/>
  <c r="N60" i="5" s="1"/>
  <c r="N61" i="5" a="1"/>
  <c r="N61" i="5" s="1"/>
  <c r="N62" i="5" a="1"/>
  <c r="N62" i="5" s="1"/>
  <c r="N63" i="5" a="1"/>
  <c r="N63" i="5" s="1"/>
  <c r="N64" i="5" a="1"/>
  <c r="N64" i="5" s="1"/>
  <c r="N65" i="5" a="1"/>
  <c r="N65" i="5" s="1"/>
  <c r="N66" i="5" a="1"/>
  <c r="N66" i="5" s="1"/>
  <c r="N67" i="5" a="1"/>
  <c r="N67" i="5" s="1"/>
  <c r="N68" i="5" a="1"/>
  <c r="N68" i="5" s="1"/>
  <c r="N69" i="5" a="1"/>
  <c r="N69" i="5" s="1"/>
  <c r="N70" i="5" a="1"/>
  <c r="N70" i="5" s="1"/>
  <c r="N71" i="5" a="1"/>
  <c r="N71" i="5" s="1"/>
  <c r="N72" i="5" a="1"/>
  <c r="N72" i="5" s="1"/>
  <c r="N73" i="5" a="1"/>
  <c r="N73" i="5" s="1"/>
  <c r="N74" i="5" a="1"/>
  <c r="N74" i="5" s="1"/>
  <c r="N75" i="5" a="1"/>
  <c r="N75" i="5" s="1"/>
  <c r="N76" i="5" a="1"/>
  <c r="N76" i="5" s="1"/>
  <c r="N77" i="5" a="1"/>
  <c r="N77" i="5" s="1"/>
  <c r="N78" i="5" a="1"/>
  <c r="N78" i="5" s="1"/>
  <c r="N79" i="5" a="1"/>
  <c r="N79" i="5" s="1"/>
  <c r="N80" i="5" a="1"/>
  <c r="N80" i="5" s="1"/>
  <c r="N81" i="5" a="1"/>
  <c r="N81" i="5" s="1"/>
  <c r="N82" i="5" a="1"/>
  <c r="N82" i="5" s="1"/>
  <c r="N83" i="5" a="1"/>
  <c r="N83" i="5" s="1"/>
  <c r="N84" i="5" a="1"/>
  <c r="N84" i="5" s="1"/>
  <c r="N85" i="5" a="1"/>
  <c r="N85" i="5" s="1"/>
  <c r="N86" i="5" a="1"/>
  <c r="N86" i="5" s="1"/>
  <c r="N87" i="5" a="1"/>
  <c r="N87" i="5" s="1"/>
  <c r="N88" i="5" a="1"/>
  <c r="N88" i="5" s="1"/>
  <c r="N89" i="5" a="1"/>
  <c r="N89" i="5" s="1"/>
  <c r="N90" i="5" a="1"/>
  <c r="N90" i="5" s="1"/>
  <c r="N91" i="5" a="1"/>
  <c r="N91" i="5" s="1"/>
  <c r="N92" i="5" a="1"/>
  <c r="N92" i="5" s="1"/>
  <c r="N93" i="5" a="1"/>
  <c r="N93" i="5" s="1"/>
  <c r="N94" i="5" a="1"/>
  <c r="N94" i="5" s="1"/>
  <c r="N95" i="5" a="1"/>
  <c r="N95" i="5" s="1"/>
  <c r="N96" i="5" a="1"/>
  <c r="N96" i="5" s="1"/>
  <c r="N97" i="5" a="1"/>
  <c r="N97" i="5" s="1"/>
  <c r="N98" i="5" a="1"/>
  <c r="N98" i="5" s="1"/>
  <c r="N99" i="5" a="1"/>
  <c r="N99" i="5" s="1"/>
  <c r="N100" i="5" a="1"/>
  <c r="N100" i="5" s="1"/>
  <c r="N101" i="5" a="1"/>
  <c r="N101" i="5" s="1"/>
  <c r="N102" i="5" a="1"/>
  <c r="N102" i="5" s="1"/>
  <c r="N103" i="5" a="1"/>
  <c r="N103" i="5" s="1"/>
  <c r="N104" i="5" a="1"/>
  <c r="N104" i="5" s="1"/>
  <c r="N105" i="5" a="1"/>
  <c r="N105" i="5" s="1"/>
  <c r="N106" i="5" a="1"/>
  <c r="N106" i="5" s="1"/>
  <c r="N107" i="5" a="1"/>
  <c r="N107" i="5" s="1"/>
  <c r="N108" i="5" a="1"/>
  <c r="N108" i="5" s="1"/>
  <c r="N109" i="5" a="1"/>
  <c r="N109" i="5" s="1"/>
  <c r="N110" i="5" a="1"/>
  <c r="N110" i="5" s="1"/>
  <c r="N111" i="5" a="1"/>
  <c r="N111" i="5" s="1"/>
  <c r="N112" i="5" a="1"/>
  <c r="N112" i="5" s="1"/>
  <c r="N113" i="5" a="1"/>
  <c r="N113" i="5" s="1"/>
  <c r="N114" i="5" a="1"/>
  <c r="N114" i="5" s="1"/>
  <c r="N115" i="5" a="1"/>
  <c r="N115" i="5" s="1"/>
  <c r="N116" i="5" a="1"/>
  <c r="N116" i="5" s="1"/>
  <c r="N117" i="5" a="1"/>
  <c r="N117" i="5" s="1"/>
  <c r="N118" i="5" a="1"/>
  <c r="N118" i="5" s="1"/>
  <c r="N119" i="5" a="1"/>
  <c r="N119" i="5" s="1"/>
  <c r="N120" i="5" a="1"/>
  <c r="N120" i="5" s="1"/>
  <c r="N121" i="5" a="1"/>
  <c r="N121" i="5" s="1"/>
  <c r="N122" i="5" a="1"/>
  <c r="N122" i="5" s="1"/>
  <c r="N123" i="5" a="1"/>
  <c r="N123" i="5" s="1"/>
  <c r="N124" i="5" a="1"/>
  <c r="N124" i="5" s="1"/>
  <c r="N125" i="5" a="1"/>
  <c r="N125" i="5" s="1"/>
  <c r="N126" i="5" a="1"/>
  <c r="N126" i="5" s="1"/>
  <c r="N127" i="5" a="1"/>
  <c r="N127" i="5" s="1"/>
  <c r="N128" i="5" a="1"/>
  <c r="N128" i="5" s="1"/>
  <c r="N129" i="5" a="1"/>
  <c r="N129" i="5" s="1"/>
  <c r="N130" i="5" a="1"/>
  <c r="N130" i="5" s="1"/>
  <c r="N131" i="5" a="1"/>
  <c r="N131" i="5" s="1"/>
  <c r="N132" i="5" a="1"/>
  <c r="N132" i="5" s="1"/>
  <c r="N133" i="5" a="1"/>
  <c r="N133" i="5" s="1"/>
  <c r="N134" i="5" a="1"/>
  <c r="N134" i="5" s="1"/>
  <c r="N135" i="5" a="1"/>
  <c r="N135" i="5" s="1"/>
  <c r="N136" i="5" a="1"/>
  <c r="N136" i="5" s="1"/>
  <c r="N137" i="5" a="1"/>
  <c r="N137" i="5" s="1"/>
  <c r="N138" i="5" a="1"/>
  <c r="N138" i="5" s="1"/>
  <c r="N139" i="5" a="1"/>
  <c r="N139" i="5" s="1"/>
  <c r="N140" i="5" a="1"/>
  <c r="N140" i="5" s="1"/>
  <c r="N141" i="5" a="1"/>
  <c r="N141" i="5" s="1"/>
  <c r="N142" i="5" a="1"/>
  <c r="N142" i="5" s="1"/>
  <c r="N143" i="5" a="1"/>
  <c r="N143" i="5" s="1"/>
  <c r="N144" i="5" a="1"/>
  <c r="N144" i="5" s="1"/>
  <c r="N145" i="5" a="1"/>
  <c r="N145" i="5" s="1"/>
  <c r="N146" i="5" a="1"/>
  <c r="N146" i="5" s="1"/>
  <c r="N147" i="5" a="1"/>
  <c r="N147" i="5" s="1"/>
  <c r="N148" i="5" a="1"/>
  <c r="N148" i="5" s="1"/>
  <c r="N149" i="5" a="1"/>
  <c r="N149" i="5" s="1"/>
  <c r="N150" i="5" a="1"/>
  <c r="N150" i="5" s="1"/>
  <c r="N151" i="5" a="1"/>
  <c r="N151" i="5" s="1"/>
  <c r="N152" i="5" a="1"/>
  <c r="N152" i="5" s="1"/>
  <c r="N153" i="5" a="1"/>
  <c r="N153" i="5" s="1"/>
  <c r="N154" i="5" a="1"/>
  <c r="N154" i="5" s="1"/>
  <c r="N155" i="5" a="1"/>
  <c r="N155" i="5" s="1"/>
  <c r="N156" i="5" a="1"/>
  <c r="N156" i="5" s="1"/>
  <c r="N157" i="5" a="1"/>
  <c r="N157" i="5" s="1"/>
  <c r="N158" i="5" a="1"/>
  <c r="N158" i="5" s="1"/>
  <c r="N159" i="5" a="1"/>
  <c r="N159" i="5" s="1"/>
  <c r="N160" i="5" a="1"/>
  <c r="N160" i="5" s="1"/>
  <c r="N161" i="5" a="1"/>
  <c r="N161" i="5" s="1"/>
  <c r="N162" i="5" a="1"/>
  <c r="N162" i="5" s="1"/>
  <c r="N163" i="5" a="1"/>
  <c r="N163" i="5" s="1"/>
  <c r="N164" i="5" a="1"/>
  <c r="N164" i="5" s="1"/>
  <c r="N165" i="5" a="1"/>
  <c r="N165" i="5" s="1"/>
  <c r="N166" i="5" a="1"/>
  <c r="N166" i="5" s="1"/>
  <c r="N167" i="5" a="1"/>
  <c r="N167" i="5" s="1"/>
  <c r="N168" i="5" a="1"/>
  <c r="N168" i="5" s="1"/>
  <c r="N169" i="5" a="1"/>
  <c r="N169" i="5" s="1"/>
  <c r="N170" i="5" a="1"/>
  <c r="N170" i="5" s="1"/>
  <c r="N171" i="5" a="1"/>
  <c r="N171" i="5" s="1"/>
  <c r="N172" i="5" a="1"/>
  <c r="N172" i="5" s="1"/>
  <c r="N173" i="5" a="1"/>
  <c r="N173" i="5" s="1"/>
  <c r="N174" i="5" a="1"/>
  <c r="N174" i="5" s="1"/>
  <c r="N175" i="5" a="1"/>
  <c r="N175" i="5" s="1"/>
  <c r="N176" i="5" a="1"/>
  <c r="N176" i="5" s="1"/>
  <c r="N177" i="5" a="1"/>
  <c r="N177" i="5" s="1"/>
  <c r="N178" i="5" a="1"/>
  <c r="N178" i="5" s="1"/>
  <c r="N179" i="5" a="1"/>
  <c r="N179" i="5" s="1"/>
  <c r="N180" i="5" a="1"/>
  <c r="N180" i="5" s="1"/>
  <c r="N181" i="5" a="1"/>
  <c r="N181" i="5" s="1"/>
  <c r="N182" i="5" a="1"/>
  <c r="N182" i="5" s="1"/>
  <c r="N183" i="5" a="1"/>
  <c r="N183" i="5" s="1"/>
  <c r="N184" i="5" a="1"/>
  <c r="N184" i="5" s="1"/>
  <c r="N185" i="5" a="1"/>
  <c r="N185" i="5" s="1"/>
  <c r="N186" i="5" a="1"/>
  <c r="N186" i="5" s="1"/>
  <c r="N187" i="5" a="1"/>
  <c r="N187" i="5" s="1"/>
  <c r="N188" i="5" a="1"/>
  <c r="N188" i="5" s="1"/>
  <c r="N189" i="5" a="1"/>
  <c r="N189" i="5" s="1"/>
  <c r="N190" i="5" a="1"/>
  <c r="N190" i="5" s="1"/>
  <c r="N191" i="5" a="1"/>
  <c r="N191" i="5" s="1"/>
  <c r="N192" i="5" a="1"/>
  <c r="N192" i="5" s="1"/>
  <c r="N193" i="5" a="1"/>
  <c r="N193" i="5" s="1"/>
  <c r="N194" i="5" a="1"/>
  <c r="N194" i="5" s="1"/>
  <c r="N195" i="5" a="1"/>
  <c r="N195" i="5" s="1"/>
  <c r="N196" i="5" a="1"/>
  <c r="N196" i="5" s="1"/>
  <c r="N197" i="5" a="1"/>
  <c r="N197" i="5" s="1"/>
  <c r="N198" i="5" a="1"/>
  <c r="N198" i="5" s="1"/>
  <c r="N199" i="5" a="1"/>
  <c r="N199" i="5" s="1"/>
  <c r="N200" i="5" a="1"/>
  <c r="N200" i="5" s="1"/>
  <c r="N201" i="5" a="1"/>
  <c r="N201" i="5" s="1"/>
  <c r="N202" i="5" a="1"/>
  <c r="N202" i="5" s="1"/>
  <c r="N203" i="5" a="1"/>
  <c r="N203" i="5" s="1"/>
  <c r="N204" i="5" a="1"/>
  <c r="N204" i="5" s="1"/>
  <c r="P4" i="5" a="1"/>
  <c r="P4" i="5" s="1"/>
  <c r="N4" i="5" a="1"/>
  <c r="N4" i="5" s="1"/>
  <c r="M5" i="5" a="1"/>
  <c r="M5" i="5" s="1"/>
  <c r="M6" i="5" a="1"/>
  <c r="M6" i="5" s="1"/>
  <c r="M7" i="5" a="1"/>
  <c r="M7" i="5" s="1"/>
  <c r="M8" i="5" a="1"/>
  <c r="M8" i="5" s="1"/>
  <c r="M9" i="5" a="1"/>
  <c r="M9" i="5" s="1"/>
  <c r="M10" i="5" a="1"/>
  <c r="M10" i="5" s="1"/>
  <c r="M11" i="5" a="1"/>
  <c r="M11" i="5" s="1"/>
  <c r="M12" i="5" a="1"/>
  <c r="M12" i="5" s="1"/>
  <c r="M13" i="5" a="1"/>
  <c r="M13" i="5" s="1"/>
  <c r="M14" i="5" a="1"/>
  <c r="M14" i="5" s="1"/>
  <c r="M15" i="5" a="1"/>
  <c r="M15" i="5" s="1"/>
  <c r="M16" i="5" a="1"/>
  <c r="M16" i="5" s="1"/>
  <c r="M17" i="5" a="1"/>
  <c r="M17" i="5" s="1"/>
  <c r="M18" i="5" a="1"/>
  <c r="M18" i="5" s="1"/>
  <c r="M19" i="5" a="1"/>
  <c r="M19" i="5" s="1"/>
  <c r="M20" i="5" a="1"/>
  <c r="M20" i="5" s="1"/>
  <c r="M21" i="5" a="1"/>
  <c r="M21" i="5" s="1"/>
  <c r="M22" i="5" a="1"/>
  <c r="M22" i="5" s="1"/>
  <c r="M23" i="5" a="1"/>
  <c r="M23" i="5" s="1"/>
  <c r="M24" i="5" a="1"/>
  <c r="M24" i="5" s="1"/>
  <c r="M25" i="5" a="1"/>
  <c r="M25" i="5" s="1"/>
  <c r="M26" i="5" a="1"/>
  <c r="M26" i="5" s="1"/>
  <c r="M27" i="5" a="1"/>
  <c r="M27" i="5" s="1"/>
  <c r="M28" i="5" a="1"/>
  <c r="M28" i="5" s="1"/>
  <c r="M29" i="5" a="1"/>
  <c r="M29" i="5" s="1"/>
  <c r="M30" i="5" a="1"/>
  <c r="M30" i="5" s="1"/>
  <c r="M31" i="5" a="1"/>
  <c r="M31" i="5" s="1"/>
  <c r="M32" i="5" a="1"/>
  <c r="M32" i="5" s="1"/>
  <c r="M33" i="5" a="1"/>
  <c r="M33" i="5" s="1"/>
  <c r="M34" i="5" a="1"/>
  <c r="M34" i="5" s="1"/>
  <c r="M35" i="5" a="1"/>
  <c r="M35" i="5" s="1"/>
  <c r="M36" i="5" a="1"/>
  <c r="M36" i="5" s="1"/>
  <c r="M37" i="5" a="1"/>
  <c r="M37" i="5" s="1"/>
  <c r="M38" i="5" a="1"/>
  <c r="M38" i="5" s="1"/>
  <c r="M39" i="5" a="1"/>
  <c r="M39" i="5" s="1"/>
  <c r="M40" i="5" a="1"/>
  <c r="M40" i="5" s="1"/>
  <c r="M41" i="5" a="1"/>
  <c r="M41" i="5" s="1"/>
  <c r="M42" i="5" a="1"/>
  <c r="M42" i="5" s="1"/>
  <c r="M43" i="5" a="1"/>
  <c r="M43" i="5" s="1"/>
  <c r="M44" i="5" a="1"/>
  <c r="M44" i="5" s="1"/>
  <c r="M45" i="5" a="1"/>
  <c r="M45" i="5" s="1"/>
  <c r="M46" i="5" a="1"/>
  <c r="M46" i="5" s="1"/>
  <c r="M47" i="5" a="1"/>
  <c r="M47" i="5" s="1"/>
  <c r="M48" i="5" a="1"/>
  <c r="M48" i="5" s="1"/>
  <c r="M49" i="5" a="1"/>
  <c r="M49" i="5" s="1"/>
  <c r="M50" i="5" a="1"/>
  <c r="M50" i="5" s="1"/>
  <c r="M51" i="5" a="1"/>
  <c r="M51" i="5" s="1"/>
  <c r="M52" i="5" a="1"/>
  <c r="M52" i="5" s="1"/>
  <c r="M53" i="5" a="1"/>
  <c r="M53" i="5" s="1"/>
  <c r="M54" i="5" a="1"/>
  <c r="M54" i="5" s="1"/>
  <c r="M55" i="5" a="1"/>
  <c r="M55" i="5" s="1"/>
  <c r="M56" i="5" a="1"/>
  <c r="M56" i="5" s="1"/>
  <c r="M57" i="5" a="1"/>
  <c r="M57" i="5" s="1"/>
  <c r="M58" i="5" a="1"/>
  <c r="M58" i="5" s="1"/>
  <c r="M59" i="5" a="1"/>
  <c r="M59" i="5" s="1"/>
  <c r="M60" i="5" a="1"/>
  <c r="M60" i="5" s="1"/>
  <c r="M61" i="5" a="1"/>
  <c r="M61" i="5" s="1"/>
  <c r="M62" i="5" a="1"/>
  <c r="M62" i="5" s="1"/>
  <c r="M63" i="5" a="1"/>
  <c r="M63" i="5" s="1"/>
  <c r="M64" i="5" a="1"/>
  <c r="M64" i="5" s="1"/>
  <c r="M65" i="5" a="1"/>
  <c r="M65" i="5" s="1"/>
  <c r="M66" i="5" a="1"/>
  <c r="M66" i="5" s="1"/>
  <c r="M67" i="5" a="1"/>
  <c r="M67" i="5" s="1"/>
  <c r="M68" i="5" a="1"/>
  <c r="M68" i="5" s="1"/>
  <c r="M69" i="5" a="1"/>
  <c r="M69" i="5" s="1"/>
  <c r="M70" i="5" a="1"/>
  <c r="M70" i="5" s="1"/>
  <c r="M71" i="5" a="1"/>
  <c r="M71" i="5" s="1"/>
  <c r="M72" i="5" a="1"/>
  <c r="M72" i="5" s="1"/>
  <c r="M73" i="5" a="1"/>
  <c r="M73" i="5" s="1"/>
  <c r="M74" i="5" a="1"/>
  <c r="M74" i="5" s="1"/>
  <c r="M75" i="5" a="1"/>
  <c r="M75" i="5" s="1"/>
  <c r="M76" i="5" a="1"/>
  <c r="M76" i="5" s="1"/>
  <c r="M77" i="5" a="1"/>
  <c r="M77" i="5" s="1"/>
  <c r="M78" i="5" a="1"/>
  <c r="M78" i="5" s="1"/>
  <c r="M79" i="5" a="1"/>
  <c r="M79" i="5" s="1"/>
  <c r="M80" i="5" a="1"/>
  <c r="M80" i="5" s="1"/>
  <c r="M81" i="5" a="1"/>
  <c r="M81" i="5" s="1"/>
  <c r="M82" i="5" a="1"/>
  <c r="M82" i="5" s="1"/>
  <c r="M83" i="5" a="1"/>
  <c r="M83" i="5" s="1"/>
  <c r="M84" i="5" a="1"/>
  <c r="M84" i="5" s="1"/>
  <c r="M85" i="5" a="1"/>
  <c r="M85" i="5" s="1"/>
  <c r="M86" i="5" a="1"/>
  <c r="M86" i="5" s="1"/>
  <c r="M87" i="5" a="1"/>
  <c r="M87" i="5" s="1"/>
  <c r="M88" i="5" a="1"/>
  <c r="M88" i="5" s="1"/>
  <c r="M89" i="5" a="1"/>
  <c r="M89" i="5" s="1"/>
  <c r="M90" i="5" a="1"/>
  <c r="M90" i="5" s="1"/>
  <c r="M91" i="5" a="1"/>
  <c r="M91" i="5" s="1"/>
  <c r="M92" i="5" a="1"/>
  <c r="M92" i="5" s="1"/>
  <c r="M93" i="5" a="1"/>
  <c r="M93" i="5" s="1"/>
  <c r="M94" i="5" a="1"/>
  <c r="M94" i="5" s="1"/>
  <c r="M95" i="5" a="1"/>
  <c r="M95" i="5" s="1"/>
  <c r="M96" i="5" a="1"/>
  <c r="M96" i="5" s="1"/>
  <c r="M97" i="5" a="1"/>
  <c r="M97" i="5" s="1"/>
  <c r="M98" i="5" a="1"/>
  <c r="M98" i="5" s="1"/>
  <c r="M99" i="5" a="1"/>
  <c r="M99" i="5" s="1"/>
  <c r="M100" i="5" a="1"/>
  <c r="M100" i="5" s="1"/>
  <c r="M101" i="5" a="1"/>
  <c r="M101" i="5" s="1"/>
  <c r="M102" i="5" a="1"/>
  <c r="M102" i="5" s="1"/>
  <c r="M103" i="5" a="1"/>
  <c r="M103" i="5" s="1"/>
  <c r="M104" i="5" a="1"/>
  <c r="M104" i="5" s="1"/>
  <c r="M105" i="5" a="1"/>
  <c r="M105" i="5" s="1"/>
  <c r="M106" i="5" a="1"/>
  <c r="M106" i="5" s="1"/>
  <c r="M107" i="5" a="1"/>
  <c r="M107" i="5" s="1"/>
  <c r="M108" i="5" a="1"/>
  <c r="M108" i="5" s="1"/>
  <c r="M109" i="5" a="1"/>
  <c r="M109" i="5" s="1"/>
  <c r="M110" i="5" a="1"/>
  <c r="M110" i="5" s="1"/>
  <c r="M111" i="5" a="1"/>
  <c r="M111" i="5" s="1"/>
  <c r="M112" i="5" a="1"/>
  <c r="M112" i="5" s="1"/>
  <c r="M113" i="5" a="1"/>
  <c r="M113" i="5" s="1"/>
  <c r="M114" i="5" a="1"/>
  <c r="M114" i="5" s="1"/>
  <c r="M115" i="5" a="1"/>
  <c r="M115" i="5" s="1"/>
  <c r="M116" i="5" a="1"/>
  <c r="M116" i="5" s="1"/>
  <c r="M117" i="5" a="1"/>
  <c r="M117" i="5" s="1"/>
  <c r="M118" i="5" a="1"/>
  <c r="M118" i="5" s="1"/>
  <c r="M119" i="5" a="1"/>
  <c r="M119" i="5" s="1"/>
  <c r="M120" i="5" a="1"/>
  <c r="M120" i="5" s="1"/>
  <c r="M121" i="5" a="1"/>
  <c r="M121" i="5" s="1"/>
  <c r="M122" i="5" a="1"/>
  <c r="M122" i="5" s="1"/>
  <c r="M123" i="5" a="1"/>
  <c r="M123" i="5" s="1"/>
  <c r="M124" i="5" a="1"/>
  <c r="M124" i="5" s="1"/>
  <c r="M125" i="5" a="1"/>
  <c r="M125" i="5" s="1"/>
  <c r="M126" i="5" a="1"/>
  <c r="M126" i="5" s="1"/>
  <c r="M127" i="5" a="1"/>
  <c r="M127" i="5" s="1"/>
  <c r="M128" i="5" a="1"/>
  <c r="M128" i="5" s="1"/>
  <c r="M129" i="5" a="1"/>
  <c r="M129" i="5" s="1"/>
  <c r="M130" i="5" a="1"/>
  <c r="M130" i="5" s="1"/>
  <c r="M131" i="5" a="1"/>
  <c r="M131" i="5" s="1"/>
  <c r="M132" i="5" a="1"/>
  <c r="M132" i="5" s="1"/>
  <c r="M133" i="5" a="1"/>
  <c r="M133" i="5" s="1"/>
  <c r="M134" i="5" a="1"/>
  <c r="M134" i="5" s="1"/>
  <c r="M135" i="5" a="1"/>
  <c r="M135" i="5" s="1"/>
  <c r="M136" i="5" a="1"/>
  <c r="M136" i="5" s="1"/>
  <c r="M137" i="5" a="1"/>
  <c r="M137" i="5" s="1"/>
  <c r="M138" i="5" a="1"/>
  <c r="M138" i="5" s="1"/>
  <c r="M139" i="5" a="1"/>
  <c r="M139" i="5" s="1"/>
  <c r="M140" i="5" a="1"/>
  <c r="M140" i="5" s="1"/>
  <c r="M141" i="5" a="1"/>
  <c r="M141" i="5" s="1"/>
  <c r="M142" i="5" a="1"/>
  <c r="M142" i="5" s="1"/>
  <c r="M143" i="5" a="1"/>
  <c r="M143" i="5" s="1"/>
  <c r="M144" i="5" a="1"/>
  <c r="M144" i="5" s="1"/>
  <c r="M145" i="5" a="1"/>
  <c r="M145" i="5" s="1"/>
  <c r="M146" i="5" a="1"/>
  <c r="M146" i="5" s="1"/>
  <c r="M147" i="5" a="1"/>
  <c r="M147" i="5" s="1"/>
  <c r="M148" i="5" a="1"/>
  <c r="M148" i="5" s="1"/>
  <c r="M149" i="5" a="1"/>
  <c r="M149" i="5" s="1"/>
  <c r="M150" i="5" a="1"/>
  <c r="M150" i="5" s="1"/>
  <c r="M151" i="5" a="1"/>
  <c r="M151" i="5" s="1"/>
  <c r="M152" i="5" a="1"/>
  <c r="M152" i="5" s="1"/>
  <c r="M153" i="5" a="1"/>
  <c r="M153" i="5" s="1"/>
  <c r="M154" i="5" a="1"/>
  <c r="M154" i="5" s="1"/>
  <c r="M155" i="5" a="1"/>
  <c r="M155" i="5" s="1"/>
  <c r="M156" i="5" a="1"/>
  <c r="M156" i="5" s="1"/>
  <c r="M157" i="5" a="1"/>
  <c r="M157" i="5" s="1"/>
  <c r="M158" i="5" a="1"/>
  <c r="M158" i="5" s="1"/>
  <c r="M159" i="5" a="1"/>
  <c r="M159" i="5" s="1"/>
  <c r="M160" i="5" a="1"/>
  <c r="M160" i="5" s="1"/>
  <c r="M161" i="5" a="1"/>
  <c r="M161" i="5" s="1"/>
  <c r="M162" i="5" a="1"/>
  <c r="M162" i="5" s="1"/>
  <c r="M163" i="5" a="1"/>
  <c r="M163" i="5" s="1"/>
  <c r="M164" i="5" a="1"/>
  <c r="M164" i="5" s="1"/>
  <c r="M165" i="5" a="1"/>
  <c r="M165" i="5" s="1"/>
  <c r="M166" i="5" a="1"/>
  <c r="M166" i="5" s="1"/>
  <c r="M167" i="5" a="1"/>
  <c r="M167" i="5" s="1"/>
  <c r="M168" i="5" a="1"/>
  <c r="M168" i="5" s="1"/>
  <c r="M169" i="5" a="1"/>
  <c r="M169" i="5" s="1"/>
  <c r="M170" i="5" a="1"/>
  <c r="M170" i="5" s="1"/>
  <c r="M171" i="5" a="1"/>
  <c r="M171" i="5" s="1"/>
  <c r="M172" i="5" a="1"/>
  <c r="M172" i="5" s="1"/>
  <c r="M173" i="5" a="1"/>
  <c r="M173" i="5" s="1"/>
  <c r="M174" i="5" a="1"/>
  <c r="M174" i="5" s="1"/>
  <c r="M175" i="5" a="1"/>
  <c r="M175" i="5" s="1"/>
  <c r="M176" i="5" a="1"/>
  <c r="M176" i="5" s="1"/>
  <c r="M177" i="5" a="1"/>
  <c r="M177" i="5" s="1"/>
  <c r="M178" i="5" a="1"/>
  <c r="M178" i="5" s="1"/>
  <c r="M179" i="5" a="1"/>
  <c r="M179" i="5" s="1"/>
  <c r="M180" i="5" a="1"/>
  <c r="M180" i="5" s="1"/>
  <c r="M181" i="5" a="1"/>
  <c r="M181" i="5" s="1"/>
  <c r="M182" i="5" a="1"/>
  <c r="M182" i="5" s="1"/>
  <c r="M183" i="5" a="1"/>
  <c r="M183" i="5" s="1"/>
  <c r="M184" i="5" a="1"/>
  <c r="M184" i="5" s="1"/>
  <c r="M185" i="5" a="1"/>
  <c r="M185" i="5" s="1"/>
  <c r="M186" i="5" a="1"/>
  <c r="M186" i="5" s="1"/>
  <c r="M187" i="5" a="1"/>
  <c r="M187" i="5" s="1"/>
  <c r="M188" i="5" a="1"/>
  <c r="M188" i="5" s="1"/>
  <c r="M189" i="5" a="1"/>
  <c r="M189" i="5" s="1"/>
  <c r="M190" i="5" a="1"/>
  <c r="M190" i="5" s="1"/>
  <c r="M191" i="5" a="1"/>
  <c r="M191" i="5" s="1"/>
  <c r="M192" i="5" a="1"/>
  <c r="M192" i="5" s="1"/>
  <c r="M193" i="5" a="1"/>
  <c r="M193" i="5" s="1"/>
  <c r="M194" i="5" a="1"/>
  <c r="M194" i="5" s="1"/>
  <c r="M195" i="5" a="1"/>
  <c r="M195" i="5" s="1"/>
  <c r="M196" i="5" a="1"/>
  <c r="M196" i="5" s="1"/>
  <c r="M197" i="5" a="1"/>
  <c r="M197" i="5" s="1"/>
  <c r="M198" i="5" a="1"/>
  <c r="M198" i="5" s="1"/>
  <c r="M199" i="5" a="1"/>
  <c r="M199" i="5" s="1"/>
  <c r="M200" i="5" a="1"/>
  <c r="M200" i="5" s="1"/>
  <c r="M201" i="5" a="1"/>
  <c r="M201" i="5" s="1"/>
  <c r="M202" i="5" a="1"/>
  <c r="M202" i="5" s="1"/>
  <c r="M203" i="5" a="1"/>
  <c r="M203" i="5" s="1"/>
  <c r="M204" i="5" a="1"/>
  <c r="M204" i="5" s="1"/>
  <c r="M4" i="5" a="1"/>
  <c r="M4" i="5" s="1"/>
  <c r="L5" i="5" a="1"/>
  <c r="L5" i="5" s="1"/>
  <c r="L6" i="5" a="1"/>
  <c r="L6" i="5" s="1"/>
  <c r="L7" i="5" a="1"/>
  <c r="L7" i="5" s="1"/>
  <c r="L8" i="5" a="1"/>
  <c r="L8" i="5" s="1"/>
  <c r="L9" i="5" a="1"/>
  <c r="L9" i="5" s="1"/>
  <c r="L10" i="5" a="1"/>
  <c r="L10" i="5" s="1"/>
  <c r="L11" i="5" a="1"/>
  <c r="L11" i="5" s="1"/>
  <c r="L12" i="5" a="1"/>
  <c r="L12" i="5" s="1"/>
  <c r="L13" i="5" a="1"/>
  <c r="L13" i="5" s="1"/>
  <c r="L14" i="5" a="1"/>
  <c r="L14" i="5" s="1"/>
  <c r="L15" i="5" a="1"/>
  <c r="L15" i="5" s="1"/>
  <c r="L16" i="5" a="1"/>
  <c r="L16" i="5" s="1"/>
  <c r="L17" i="5" a="1"/>
  <c r="L17" i="5" s="1"/>
  <c r="L18" i="5" a="1"/>
  <c r="L18" i="5" s="1"/>
  <c r="L19" i="5" a="1"/>
  <c r="L19" i="5" s="1"/>
  <c r="L20" i="5" a="1"/>
  <c r="L20" i="5" s="1"/>
  <c r="L21" i="5" a="1"/>
  <c r="L21" i="5" s="1"/>
  <c r="L22" i="5" a="1"/>
  <c r="L22" i="5" s="1"/>
  <c r="L23" i="5" a="1"/>
  <c r="L23" i="5" s="1"/>
  <c r="L24" i="5" a="1"/>
  <c r="L24" i="5" s="1"/>
  <c r="L25" i="5" a="1"/>
  <c r="L25" i="5" s="1"/>
  <c r="L26" i="5" a="1"/>
  <c r="L26" i="5" s="1"/>
  <c r="L27" i="5" a="1"/>
  <c r="L27" i="5" s="1"/>
  <c r="L28" i="5" a="1"/>
  <c r="L28" i="5" s="1"/>
  <c r="L29" i="5" a="1"/>
  <c r="L29" i="5" s="1"/>
  <c r="L30" i="5" a="1"/>
  <c r="L30" i="5" s="1"/>
  <c r="L31" i="5" a="1"/>
  <c r="L31" i="5" s="1"/>
  <c r="L32" i="5" a="1"/>
  <c r="L32" i="5" s="1"/>
  <c r="L33" i="5" a="1"/>
  <c r="L33" i="5" s="1"/>
  <c r="L34" i="5" a="1"/>
  <c r="L34" i="5" s="1"/>
  <c r="L35" i="5" a="1"/>
  <c r="L35" i="5" s="1"/>
  <c r="L36" i="5" a="1"/>
  <c r="L36" i="5" s="1"/>
  <c r="L37" i="5" a="1"/>
  <c r="L37" i="5" s="1"/>
  <c r="L38" i="5" a="1"/>
  <c r="L38" i="5" s="1"/>
  <c r="L39" i="5" a="1"/>
  <c r="L39" i="5" s="1"/>
  <c r="L40" i="5" a="1"/>
  <c r="L40" i="5" s="1"/>
  <c r="L41" i="5" a="1"/>
  <c r="L41" i="5" s="1"/>
  <c r="L42" i="5" a="1"/>
  <c r="L42" i="5" s="1"/>
  <c r="L43" i="5" a="1"/>
  <c r="L43" i="5" s="1"/>
  <c r="L44" i="5" a="1"/>
  <c r="L44" i="5" s="1"/>
  <c r="L45" i="5" a="1"/>
  <c r="L45" i="5" s="1"/>
  <c r="L46" i="5" a="1"/>
  <c r="L46" i="5" s="1"/>
  <c r="L47" i="5" a="1"/>
  <c r="L47" i="5" s="1"/>
  <c r="L48" i="5" a="1"/>
  <c r="L48" i="5" s="1"/>
  <c r="L49" i="5" a="1"/>
  <c r="L49" i="5" s="1"/>
  <c r="L50" i="5" a="1"/>
  <c r="L50" i="5" s="1"/>
  <c r="L51" i="5" a="1"/>
  <c r="L51" i="5" s="1"/>
  <c r="L52" i="5" a="1"/>
  <c r="L52" i="5" s="1"/>
  <c r="L53" i="5" a="1"/>
  <c r="L53" i="5" s="1"/>
  <c r="L54" i="5" a="1"/>
  <c r="L54" i="5" s="1"/>
  <c r="L55" i="5" a="1"/>
  <c r="L55" i="5" s="1"/>
  <c r="L56" i="5" a="1"/>
  <c r="L56" i="5" s="1"/>
  <c r="L57" i="5" a="1"/>
  <c r="L57" i="5" s="1"/>
  <c r="L58" i="5" a="1"/>
  <c r="L58" i="5" s="1"/>
  <c r="L59" i="5" a="1"/>
  <c r="L59" i="5" s="1"/>
  <c r="L60" i="5" a="1"/>
  <c r="L60" i="5" s="1"/>
  <c r="L61" i="5" a="1"/>
  <c r="L61" i="5" s="1"/>
  <c r="L62" i="5" a="1"/>
  <c r="L62" i="5" s="1"/>
  <c r="L63" i="5" a="1"/>
  <c r="L63" i="5" s="1"/>
  <c r="L64" i="5" a="1"/>
  <c r="L64" i="5" s="1"/>
  <c r="L65" i="5" a="1"/>
  <c r="L65" i="5" s="1"/>
  <c r="L66" i="5" a="1"/>
  <c r="L66" i="5" s="1"/>
  <c r="L67" i="5" a="1"/>
  <c r="L67" i="5" s="1"/>
  <c r="L68" i="5" a="1"/>
  <c r="L68" i="5" s="1"/>
  <c r="L69" i="5" a="1"/>
  <c r="L69" i="5" s="1"/>
  <c r="L70" i="5" a="1"/>
  <c r="L70" i="5" s="1"/>
  <c r="L71" i="5" a="1"/>
  <c r="L71" i="5" s="1"/>
  <c r="L72" i="5" a="1"/>
  <c r="L72" i="5" s="1"/>
  <c r="L73" i="5" a="1"/>
  <c r="L73" i="5" s="1"/>
  <c r="L74" i="5" a="1"/>
  <c r="L74" i="5" s="1"/>
  <c r="L75" i="5" a="1"/>
  <c r="L75" i="5" s="1"/>
  <c r="L76" i="5" a="1"/>
  <c r="L76" i="5" s="1"/>
  <c r="L77" i="5" a="1"/>
  <c r="L77" i="5" s="1"/>
  <c r="L78" i="5" a="1"/>
  <c r="L78" i="5" s="1"/>
  <c r="L79" i="5" a="1"/>
  <c r="L79" i="5" s="1"/>
  <c r="L80" i="5" a="1"/>
  <c r="L80" i="5" s="1"/>
  <c r="L81" i="5" a="1"/>
  <c r="L81" i="5" s="1"/>
  <c r="L82" i="5" a="1"/>
  <c r="L82" i="5" s="1"/>
  <c r="L83" i="5" a="1"/>
  <c r="L83" i="5" s="1"/>
  <c r="L84" i="5" a="1"/>
  <c r="L84" i="5" s="1"/>
  <c r="L85" i="5" a="1"/>
  <c r="L85" i="5" s="1"/>
  <c r="L86" i="5" a="1"/>
  <c r="L86" i="5" s="1"/>
  <c r="L87" i="5" a="1"/>
  <c r="L87" i="5" s="1"/>
  <c r="L88" i="5" a="1"/>
  <c r="L88" i="5" s="1"/>
  <c r="L89" i="5" a="1"/>
  <c r="L89" i="5" s="1"/>
  <c r="L90" i="5" a="1"/>
  <c r="L90" i="5" s="1"/>
  <c r="L91" i="5" a="1"/>
  <c r="L91" i="5" s="1"/>
  <c r="L92" i="5" a="1"/>
  <c r="L92" i="5" s="1"/>
  <c r="L93" i="5" a="1"/>
  <c r="L93" i="5" s="1"/>
  <c r="L94" i="5" a="1"/>
  <c r="L94" i="5" s="1"/>
  <c r="L95" i="5" a="1"/>
  <c r="L95" i="5" s="1"/>
  <c r="L96" i="5" a="1"/>
  <c r="L96" i="5" s="1"/>
  <c r="L97" i="5" a="1"/>
  <c r="L97" i="5" s="1"/>
  <c r="L98" i="5" a="1"/>
  <c r="L98" i="5" s="1"/>
  <c r="L99" i="5" a="1"/>
  <c r="L99" i="5" s="1"/>
  <c r="L100" i="5" a="1"/>
  <c r="L100" i="5" s="1"/>
  <c r="L101" i="5" a="1"/>
  <c r="L101" i="5" s="1"/>
  <c r="L102" i="5" a="1"/>
  <c r="L102" i="5" s="1"/>
  <c r="L103" i="5" a="1"/>
  <c r="L103" i="5" s="1"/>
  <c r="L104" i="5" a="1"/>
  <c r="L104" i="5" s="1"/>
  <c r="L105" i="5" a="1"/>
  <c r="L105" i="5" s="1"/>
  <c r="L106" i="5" a="1"/>
  <c r="L106" i="5" s="1"/>
  <c r="L107" i="5" a="1"/>
  <c r="L107" i="5" s="1"/>
  <c r="L108" i="5" a="1"/>
  <c r="L108" i="5" s="1"/>
  <c r="L109" i="5" a="1"/>
  <c r="L109" i="5" s="1"/>
  <c r="L110" i="5" a="1"/>
  <c r="L110" i="5" s="1"/>
  <c r="L111" i="5" a="1"/>
  <c r="L111" i="5" s="1"/>
  <c r="L112" i="5" a="1"/>
  <c r="L112" i="5" s="1"/>
  <c r="L113" i="5" a="1"/>
  <c r="L113" i="5" s="1"/>
  <c r="L114" i="5" a="1"/>
  <c r="L114" i="5" s="1"/>
  <c r="L115" i="5" a="1"/>
  <c r="L115" i="5" s="1"/>
  <c r="L116" i="5" a="1"/>
  <c r="L116" i="5" s="1"/>
  <c r="L117" i="5" a="1"/>
  <c r="L117" i="5" s="1"/>
  <c r="L118" i="5" a="1"/>
  <c r="L118" i="5" s="1"/>
  <c r="L119" i="5" a="1"/>
  <c r="L119" i="5" s="1"/>
  <c r="L120" i="5" a="1"/>
  <c r="L120" i="5" s="1"/>
  <c r="L121" i="5" a="1"/>
  <c r="L121" i="5" s="1"/>
  <c r="L122" i="5" a="1"/>
  <c r="L122" i="5" s="1"/>
  <c r="L123" i="5" a="1"/>
  <c r="L123" i="5" s="1"/>
  <c r="L124" i="5" a="1"/>
  <c r="L124" i="5" s="1"/>
  <c r="L125" i="5" a="1"/>
  <c r="L125" i="5" s="1"/>
  <c r="L126" i="5" a="1"/>
  <c r="L126" i="5" s="1"/>
  <c r="L127" i="5" a="1"/>
  <c r="L127" i="5" s="1"/>
  <c r="L128" i="5" a="1"/>
  <c r="L128" i="5" s="1"/>
  <c r="L129" i="5" a="1"/>
  <c r="L129" i="5" s="1"/>
  <c r="L130" i="5" a="1"/>
  <c r="L130" i="5" s="1"/>
  <c r="L131" i="5" a="1"/>
  <c r="L131" i="5" s="1"/>
  <c r="L132" i="5" a="1"/>
  <c r="L132" i="5" s="1"/>
  <c r="L133" i="5" a="1"/>
  <c r="L133" i="5" s="1"/>
  <c r="L134" i="5" a="1"/>
  <c r="L134" i="5" s="1"/>
  <c r="L135" i="5" a="1"/>
  <c r="L135" i="5" s="1"/>
  <c r="L136" i="5" a="1"/>
  <c r="L136" i="5" s="1"/>
  <c r="L137" i="5" a="1"/>
  <c r="L137" i="5" s="1"/>
  <c r="L138" i="5" a="1"/>
  <c r="L138" i="5" s="1"/>
  <c r="L139" i="5" a="1"/>
  <c r="L139" i="5" s="1"/>
  <c r="L140" i="5" a="1"/>
  <c r="L140" i="5" s="1"/>
  <c r="L141" i="5" a="1"/>
  <c r="L141" i="5" s="1"/>
  <c r="L142" i="5" a="1"/>
  <c r="L142" i="5" s="1"/>
  <c r="L143" i="5" a="1"/>
  <c r="L143" i="5" s="1"/>
  <c r="L144" i="5" a="1"/>
  <c r="L144" i="5" s="1"/>
  <c r="L145" i="5" a="1"/>
  <c r="L145" i="5" s="1"/>
  <c r="L146" i="5" a="1"/>
  <c r="L146" i="5" s="1"/>
  <c r="L147" i="5" a="1"/>
  <c r="L147" i="5" s="1"/>
  <c r="L148" i="5" a="1"/>
  <c r="L148" i="5" s="1"/>
  <c r="L149" i="5" a="1"/>
  <c r="L149" i="5" s="1"/>
  <c r="L150" i="5" a="1"/>
  <c r="L150" i="5" s="1"/>
  <c r="L151" i="5" a="1"/>
  <c r="L151" i="5" s="1"/>
  <c r="L152" i="5" a="1"/>
  <c r="L152" i="5" s="1"/>
  <c r="L153" i="5" a="1"/>
  <c r="L153" i="5" s="1"/>
  <c r="L154" i="5" a="1"/>
  <c r="L154" i="5" s="1"/>
  <c r="L155" i="5" a="1"/>
  <c r="L155" i="5" s="1"/>
  <c r="L156" i="5" a="1"/>
  <c r="L156" i="5" s="1"/>
  <c r="L157" i="5" a="1"/>
  <c r="L157" i="5" s="1"/>
  <c r="L158" i="5" a="1"/>
  <c r="L158" i="5" s="1"/>
  <c r="L159" i="5" a="1"/>
  <c r="L159" i="5" s="1"/>
  <c r="L160" i="5" a="1"/>
  <c r="L160" i="5" s="1"/>
  <c r="L161" i="5" a="1"/>
  <c r="L161" i="5" s="1"/>
  <c r="L162" i="5" a="1"/>
  <c r="L162" i="5" s="1"/>
  <c r="L163" i="5" a="1"/>
  <c r="L163" i="5" s="1"/>
  <c r="L164" i="5" a="1"/>
  <c r="L164" i="5" s="1"/>
  <c r="L165" i="5" a="1"/>
  <c r="L165" i="5" s="1"/>
  <c r="L166" i="5" a="1"/>
  <c r="L166" i="5" s="1"/>
  <c r="L167" i="5" a="1"/>
  <c r="L167" i="5" s="1"/>
  <c r="L168" i="5" a="1"/>
  <c r="L168" i="5" s="1"/>
  <c r="L169" i="5" a="1"/>
  <c r="L169" i="5" s="1"/>
  <c r="L170" i="5" a="1"/>
  <c r="L170" i="5" s="1"/>
  <c r="L171" i="5" a="1"/>
  <c r="L171" i="5" s="1"/>
  <c r="L172" i="5" a="1"/>
  <c r="L172" i="5" s="1"/>
  <c r="L173" i="5" a="1"/>
  <c r="L173" i="5" s="1"/>
  <c r="L174" i="5" a="1"/>
  <c r="L174" i="5" s="1"/>
  <c r="L175" i="5" a="1"/>
  <c r="L175" i="5" s="1"/>
  <c r="L176" i="5" a="1"/>
  <c r="L176" i="5" s="1"/>
  <c r="L177" i="5" a="1"/>
  <c r="L177" i="5" s="1"/>
  <c r="L178" i="5" a="1"/>
  <c r="L178" i="5" s="1"/>
  <c r="L179" i="5" a="1"/>
  <c r="L179" i="5" s="1"/>
  <c r="L180" i="5" a="1"/>
  <c r="L180" i="5" s="1"/>
  <c r="L181" i="5" a="1"/>
  <c r="L181" i="5" s="1"/>
  <c r="L182" i="5" a="1"/>
  <c r="L182" i="5" s="1"/>
  <c r="L183" i="5" a="1"/>
  <c r="L183" i="5" s="1"/>
  <c r="L184" i="5" a="1"/>
  <c r="L184" i="5" s="1"/>
  <c r="L185" i="5" a="1"/>
  <c r="L185" i="5" s="1"/>
  <c r="L186" i="5" a="1"/>
  <c r="L186" i="5" s="1"/>
  <c r="L187" i="5" a="1"/>
  <c r="L187" i="5" s="1"/>
  <c r="L188" i="5" a="1"/>
  <c r="L188" i="5" s="1"/>
  <c r="L189" i="5" a="1"/>
  <c r="L189" i="5" s="1"/>
  <c r="L190" i="5" a="1"/>
  <c r="L190" i="5" s="1"/>
  <c r="L191" i="5" a="1"/>
  <c r="L191" i="5" s="1"/>
  <c r="L192" i="5" a="1"/>
  <c r="L192" i="5" s="1"/>
  <c r="L193" i="5" a="1"/>
  <c r="L193" i="5" s="1"/>
  <c r="L194" i="5" a="1"/>
  <c r="L194" i="5" s="1"/>
  <c r="L195" i="5" a="1"/>
  <c r="L195" i="5" s="1"/>
  <c r="L196" i="5" a="1"/>
  <c r="L196" i="5" s="1"/>
  <c r="L197" i="5" a="1"/>
  <c r="L197" i="5" s="1"/>
  <c r="L198" i="5" a="1"/>
  <c r="L198" i="5" s="1"/>
  <c r="L199" i="5" a="1"/>
  <c r="L199" i="5" s="1"/>
  <c r="L200" i="5" a="1"/>
  <c r="L200" i="5" s="1"/>
  <c r="L201" i="5" a="1"/>
  <c r="L201" i="5" s="1"/>
  <c r="L202" i="5" a="1"/>
  <c r="L202" i="5" s="1"/>
  <c r="L203" i="5" a="1"/>
  <c r="L203" i="5" s="1"/>
  <c r="L204" i="5" a="1"/>
  <c r="L204" i="5" s="1"/>
  <c r="L4" i="5" a="1"/>
  <c r="L4" i="5" s="1"/>
  <c r="AK558" i="1"/>
  <c r="AK559" i="1"/>
  <c r="AK560" i="1"/>
  <c r="AK561" i="1"/>
  <c r="AK562" i="1"/>
  <c r="AK563" i="1"/>
  <c r="AK564" i="1"/>
  <c r="AH558" i="1"/>
  <c r="AH559" i="1"/>
  <c r="AH560" i="1"/>
  <c r="AH561" i="1"/>
  <c r="AH562" i="1"/>
  <c r="AH563" i="1"/>
  <c r="AH564" i="1"/>
  <c r="AE558" i="1"/>
  <c r="AE559" i="1"/>
  <c r="AE560" i="1"/>
  <c r="AE561" i="1"/>
  <c r="AE562" i="1"/>
  <c r="AE563" i="1"/>
  <c r="AE564" i="1"/>
  <c r="AB558" i="1"/>
  <c r="AB559" i="1"/>
  <c r="AB560" i="1"/>
  <c r="AB561" i="1"/>
  <c r="AB562" i="1"/>
  <c r="AB563" i="1"/>
  <c r="AB564" i="1"/>
  <c r="Y558" i="1"/>
  <c r="Y559" i="1"/>
  <c r="Y560" i="1"/>
  <c r="Y561" i="1"/>
  <c r="Y562" i="1"/>
  <c r="Y563" i="1"/>
  <c r="Y564" i="1"/>
  <c r="V558" i="1"/>
  <c r="V559" i="1"/>
  <c r="V560" i="1"/>
  <c r="V561" i="1"/>
  <c r="V562" i="1"/>
  <c r="V563" i="1"/>
  <c r="V564" i="1"/>
  <c r="M558" i="1"/>
  <c r="M559" i="1"/>
  <c r="M560" i="1"/>
  <c r="M561" i="1"/>
  <c r="M562" i="1"/>
  <c r="M563" i="1"/>
  <c r="M564" i="1"/>
  <c r="S558" i="1"/>
  <c r="S559" i="1"/>
  <c r="S560" i="1"/>
  <c r="S561" i="1"/>
  <c r="S562" i="1"/>
  <c r="S563" i="1"/>
  <c r="S564" i="1"/>
  <c r="J201" i="6"/>
  <c r="K201" i="6" s="1" a="1"/>
  <c r="K201" i="6" s="1"/>
  <c r="J200" i="6"/>
  <c r="K200" i="6" s="1" a="1"/>
  <c r="K200" i="6" s="1"/>
  <c r="J199" i="6"/>
  <c r="K199" i="6" s="1" a="1"/>
  <c r="K199" i="6" s="1"/>
  <c r="J198" i="6"/>
  <c r="K198" i="6" s="1" a="1"/>
  <c r="K198" i="6" s="1"/>
  <c r="J197" i="6"/>
  <c r="K197" i="6" s="1" a="1"/>
  <c r="K197" i="6" s="1"/>
  <c r="J196" i="6"/>
  <c r="K196" i="6" s="1" a="1"/>
  <c r="K196" i="6" s="1"/>
  <c r="J195" i="6"/>
  <c r="K195" i="6" s="1" a="1"/>
  <c r="K195" i="6" s="1"/>
  <c r="J194" i="6"/>
  <c r="K194" i="6" s="1" a="1"/>
  <c r="K194" i="6" s="1"/>
  <c r="J193" i="6"/>
  <c r="K193" i="6" s="1" a="1"/>
  <c r="K193" i="6" s="1"/>
  <c r="J192" i="6"/>
  <c r="K192" i="6" s="1" a="1"/>
  <c r="K192" i="6" s="1"/>
  <c r="J191" i="6"/>
  <c r="K191" i="6" s="1" a="1"/>
  <c r="K191" i="6" s="1"/>
  <c r="J190" i="6"/>
  <c r="K190" i="6" s="1" a="1"/>
  <c r="K190" i="6" s="1"/>
  <c r="J189" i="6"/>
  <c r="K189" i="6" s="1" a="1"/>
  <c r="K189" i="6" s="1"/>
  <c r="J188" i="6"/>
  <c r="K188" i="6" s="1" a="1"/>
  <c r="K188" i="6" s="1"/>
  <c r="J187" i="6"/>
  <c r="K187" i="6" s="1" a="1"/>
  <c r="K187" i="6" s="1"/>
  <c r="J186" i="6"/>
  <c r="K186" i="6" s="1" a="1"/>
  <c r="K186" i="6" s="1"/>
  <c r="J185" i="6"/>
  <c r="K185" i="6" s="1" a="1"/>
  <c r="K185" i="6" s="1"/>
  <c r="J184" i="6"/>
  <c r="K184" i="6" s="1" a="1"/>
  <c r="K184" i="6" s="1"/>
  <c r="J183" i="6"/>
  <c r="K183" i="6" s="1" a="1"/>
  <c r="K183" i="6" s="1"/>
  <c r="J182" i="6"/>
  <c r="K182" i="6" s="1" a="1"/>
  <c r="K182" i="6" s="1"/>
  <c r="J181" i="6"/>
  <c r="K181" i="6" s="1" a="1"/>
  <c r="K181" i="6" s="1"/>
  <c r="J180" i="6"/>
  <c r="K180" i="6" s="1" a="1"/>
  <c r="K180" i="6" s="1"/>
  <c r="J179" i="6"/>
  <c r="K179" i="6" s="1" a="1"/>
  <c r="K179" i="6" s="1"/>
  <c r="J178" i="6"/>
  <c r="K178" i="6" s="1" a="1"/>
  <c r="K178" i="6" s="1"/>
  <c r="J177" i="6"/>
  <c r="K177" i="6" s="1" a="1"/>
  <c r="K177" i="6" s="1"/>
  <c r="J176" i="6"/>
  <c r="K176" i="6" s="1" a="1"/>
  <c r="K176" i="6" s="1"/>
  <c r="J175" i="6"/>
  <c r="K175" i="6" s="1" a="1"/>
  <c r="K175" i="6" s="1"/>
  <c r="J174" i="6"/>
  <c r="K174" i="6" s="1" a="1"/>
  <c r="K174" i="6" s="1"/>
  <c r="J173" i="6"/>
  <c r="K173" i="6" s="1" a="1"/>
  <c r="K173" i="6" s="1"/>
  <c r="J172" i="6"/>
  <c r="K172" i="6" s="1" a="1"/>
  <c r="K172" i="6" s="1"/>
  <c r="J171" i="6"/>
  <c r="K171" i="6" s="1" a="1"/>
  <c r="K171" i="6" s="1"/>
  <c r="J170" i="6"/>
  <c r="K170" i="6" s="1" a="1"/>
  <c r="K170" i="6" s="1"/>
  <c r="J169" i="6"/>
  <c r="K169" i="6" s="1" a="1"/>
  <c r="K169" i="6" s="1"/>
  <c r="J168" i="6"/>
  <c r="K168" i="6" s="1" a="1"/>
  <c r="K168" i="6" s="1"/>
  <c r="J167" i="6"/>
  <c r="K167" i="6" s="1" a="1"/>
  <c r="K167" i="6" s="1"/>
  <c r="J166" i="6"/>
  <c r="K166" i="6" s="1" a="1"/>
  <c r="K166" i="6" s="1"/>
  <c r="J165" i="6"/>
  <c r="K165" i="6" s="1" a="1"/>
  <c r="K165" i="6" s="1"/>
  <c r="J164" i="6"/>
  <c r="K164" i="6" s="1" a="1"/>
  <c r="K164" i="6" s="1"/>
  <c r="J163" i="6"/>
  <c r="K163" i="6" s="1" a="1"/>
  <c r="K163" i="6" s="1"/>
  <c r="J162" i="6"/>
  <c r="K162" i="6" s="1" a="1"/>
  <c r="K162" i="6" s="1"/>
  <c r="J161" i="6"/>
  <c r="K161" i="6" s="1" a="1"/>
  <c r="K161" i="6" s="1"/>
  <c r="J160" i="6"/>
  <c r="K160" i="6" s="1" a="1"/>
  <c r="K160" i="6" s="1"/>
  <c r="J159" i="6"/>
  <c r="K159" i="6" s="1" a="1"/>
  <c r="K159" i="6" s="1"/>
  <c r="J158" i="6"/>
  <c r="K158" i="6" s="1" a="1"/>
  <c r="K158" i="6" s="1"/>
  <c r="J157" i="6"/>
  <c r="K157" i="6" s="1" a="1"/>
  <c r="K157" i="6" s="1"/>
  <c r="J156" i="6"/>
  <c r="K156" i="6" s="1" a="1"/>
  <c r="K156" i="6" s="1"/>
  <c r="J155" i="6"/>
  <c r="K155" i="6" s="1" a="1"/>
  <c r="K155" i="6" s="1"/>
  <c r="J154" i="6"/>
  <c r="K154" i="6" s="1" a="1"/>
  <c r="K154" i="6" s="1"/>
  <c r="J153" i="6"/>
  <c r="K153" i="6" s="1" a="1"/>
  <c r="K153" i="6" s="1"/>
  <c r="J152" i="6"/>
  <c r="K152" i="6" s="1" a="1"/>
  <c r="K152" i="6" s="1"/>
  <c r="J151" i="6"/>
  <c r="K151" i="6" s="1" a="1"/>
  <c r="K151" i="6" s="1"/>
  <c r="J150" i="6"/>
  <c r="K150" i="6" s="1" a="1"/>
  <c r="K150" i="6" s="1"/>
  <c r="J149" i="6"/>
  <c r="K149" i="6" s="1" a="1"/>
  <c r="K149" i="6" s="1"/>
  <c r="J148" i="6"/>
  <c r="K148" i="6" s="1" a="1"/>
  <c r="K148" i="6" s="1"/>
  <c r="J147" i="6"/>
  <c r="K147" i="6" s="1" a="1"/>
  <c r="K147" i="6" s="1"/>
  <c r="J146" i="6"/>
  <c r="K146" i="6" s="1" a="1"/>
  <c r="K146" i="6" s="1"/>
  <c r="J145" i="6"/>
  <c r="K145" i="6" s="1" a="1"/>
  <c r="K145" i="6" s="1"/>
  <c r="J144" i="6"/>
  <c r="K144" i="6" s="1" a="1"/>
  <c r="K144" i="6" s="1"/>
  <c r="J143" i="6"/>
  <c r="K143" i="6" s="1" a="1"/>
  <c r="K143" i="6" s="1"/>
  <c r="J142" i="6"/>
  <c r="K142" i="6" s="1" a="1"/>
  <c r="K142" i="6" s="1"/>
  <c r="J141" i="6"/>
  <c r="K141" i="6" s="1" a="1"/>
  <c r="K141" i="6" s="1"/>
  <c r="J140" i="6"/>
  <c r="K140" i="6" s="1" a="1"/>
  <c r="K140" i="6" s="1"/>
  <c r="J139" i="6"/>
  <c r="K139" i="6" s="1" a="1"/>
  <c r="K139" i="6" s="1"/>
  <c r="J138" i="6"/>
  <c r="K138" i="6" s="1" a="1"/>
  <c r="K138" i="6" s="1"/>
  <c r="J137" i="6"/>
  <c r="K137" i="6" s="1" a="1"/>
  <c r="K137" i="6" s="1"/>
  <c r="J136" i="6"/>
  <c r="K136" i="6" s="1" a="1"/>
  <c r="K136" i="6" s="1"/>
  <c r="J135" i="6"/>
  <c r="K135" i="6" s="1" a="1"/>
  <c r="K135" i="6" s="1"/>
  <c r="J134" i="6"/>
  <c r="K134" i="6" s="1" a="1"/>
  <c r="K134" i="6" s="1"/>
  <c r="J133" i="6"/>
  <c r="K133" i="6" s="1" a="1"/>
  <c r="K133" i="6" s="1"/>
  <c r="J132" i="6"/>
  <c r="K132" i="6" s="1" a="1"/>
  <c r="K132" i="6" s="1"/>
  <c r="J131" i="6"/>
  <c r="K131" i="6" s="1" a="1"/>
  <c r="K131" i="6" s="1"/>
  <c r="J130" i="6"/>
  <c r="K130" i="6" s="1" a="1"/>
  <c r="K130" i="6" s="1"/>
  <c r="J129" i="6"/>
  <c r="K129" i="6" s="1" a="1"/>
  <c r="K129" i="6" s="1"/>
  <c r="J128" i="6"/>
  <c r="K128" i="6" s="1" a="1"/>
  <c r="K128" i="6" s="1"/>
  <c r="J127" i="6"/>
  <c r="K127" i="6" s="1" a="1"/>
  <c r="K127" i="6" s="1"/>
  <c r="J126" i="6"/>
  <c r="K126" i="6" s="1" a="1"/>
  <c r="K126" i="6" s="1"/>
  <c r="J125" i="6"/>
  <c r="K125" i="6" s="1" a="1"/>
  <c r="K125" i="6" s="1"/>
  <c r="J124" i="6"/>
  <c r="K124" i="6" s="1" a="1"/>
  <c r="K124" i="6" s="1"/>
  <c r="J123" i="6"/>
  <c r="K123" i="6" s="1" a="1"/>
  <c r="K123" i="6" s="1"/>
  <c r="J122" i="6"/>
  <c r="K122" i="6" s="1" a="1"/>
  <c r="K122" i="6" s="1"/>
  <c r="J121" i="6"/>
  <c r="K121" i="6" s="1" a="1"/>
  <c r="K121" i="6" s="1"/>
  <c r="J120" i="6"/>
  <c r="K120" i="6" s="1" a="1"/>
  <c r="K120" i="6" s="1"/>
  <c r="J119" i="6"/>
  <c r="K119" i="6" s="1" a="1"/>
  <c r="K119" i="6" s="1"/>
  <c r="J118" i="6"/>
  <c r="K118" i="6" s="1" a="1"/>
  <c r="K118" i="6" s="1"/>
  <c r="J117" i="6"/>
  <c r="K117" i="6" s="1" a="1"/>
  <c r="K117" i="6" s="1"/>
  <c r="J116" i="6"/>
  <c r="K116" i="6" s="1" a="1"/>
  <c r="K116" i="6" s="1"/>
  <c r="J115" i="6"/>
  <c r="K115" i="6" s="1" a="1"/>
  <c r="K115" i="6" s="1"/>
  <c r="J114" i="6"/>
  <c r="K114" i="6" s="1" a="1"/>
  <c r="K114" i="6" s="1"/>
  <c r="J113" i="6"/>
  <c r="K113" i="6" s="1" a="1"/>
  <c r="K113" i="6" s="1"/>
  <c r="J112" i="6"/>
  <c r="K112" i="6" s="1" a="1"/>
  <c r="K112" i="6" s="1"/>
  <c r="J111" i="6"/>
  <c r="K111" i="6" s="1" a="1"/>
  <c r="K111" i="6" s="1"/>
  <c r="J110" i="6"/>
  <c r="K110" i="6" s="1" a="1"/>
  <c r="K110" i="6" s="1"/>
  <c r="J109" i="6"/>
  <c r="K109" i="6" s="1" a="1"/>
  <c r="K109" i="6" s="1"/>
  <c r="J108" i="6"/>
  <c r="K108" i="6" s="1" a="1"/>
  <c r="K108" i="6" s="1"/>
  <c r="J107" i="6"/>
  <c r="K107" i="6" s="1" a="1"/>
  <c r="K107" i="6" s="1"/>
  <c r="J106" i="6"/>
  <c r="K106" i="6" s="1" a="1"/>
  <c r="K106" i="6" s="1"/>
  <c r="J105" i="6"/>
  <c r="K105" i="6" s="1" a="1"/>
  <c r="K105" i="6" s="1"/>
  <c r="J104" i="6"/>
  <c r="K104" i="6" s="1" a="1"/>
  <c r="K104" i="6" s="1"/>
  <c r="J103" i="6"/>
  <c r="K103" i="6" s="1" a="1"/>
  <c r="K103" i="6" s="1"/>
  <c r="J102" i="6"/>
  <c r="K102" i="6" s="1" a="1"/>
  <c r="K102" i="6" s="1"/>
  <c r="J101" i="6"/>
  <c r="K101" i="6" s="1" a="1"/>
  <c r="K101" i="6" s="1"/>
  <c r="J100" i="6"/>
  <c r="K100" i="6" s="1" a="1"/>
  <c r="K100" i="6" s="1"/>
  <c r="J99" i="6"/>
  <c r="K99" i="6" s="1" a="1"/>
  <c r="K99" i="6" s="1"/>
  <c r="J98" i="6"/>
  <c r="K98" i="6" s="1" a="1"/>
  <c r="K98" i="6" s="1"/>
  <c r="J97" i="6"/>
  <c r="K97" i="6" s="1" a="1"/>
  <c r="K97" i="6" s="1"/>
  <c r="J96" i="6"/>
  <c r="K96" i="6" s="1" a="1"/>
  <c r="K96" i="6" s="1"/>
  <c r="J95" i="6"/>
  <c r="K95" i="6" s="1" a="1"/>
  <c r="K95" i="6" s="1"/>
  <c r="J94" i="6"/>
  <c r="K94" i="6" s="1" a="1"/>
  <c r="K94" i="6" s="1"/>
  <c r="J93" i="6"/>
  <c r="K93" i="6" s="1" a="1"/>
  <c r="K93" i="6" s="1"/>
  <c r="J92" i="6"/>
  <c r="K92" i="6" s="1" a="1"/>
  <c r="K92" i="6" s="1"/>
  <c r="J91" i="6"/>
  <c r="K91" i="6" s="1" a="1"/>
  <c r="K91" i="6" s="1"/>
  <c r="J90" i="6"/>
  <c r="K90" i="6" s="1" a="1"/>
  <c r="K90" i="6" s="1"/>
  <c r="J89" i="6"/>
  <c r="K89" i="6" s="1" a="1"/>
  <c r="K89" i="6" s="1"/>
  <c r="J88" i="6"/>
  <c r="K88" i="6" s="1" a="1"/>
  <c r="K88" i="6" s="1"/>
  <c r="J87" i="6"/>
  <c r="K87" i="6" s="1" a="1"/>
  <c r="K87" i="6" s="1"/>
  <c r="J86" i="6"/>
  <c r="K86" i="6" s="1" a="1"/>
  <c r="K86" i="6" s="1"/>
  <c r="J85" i="6"/>
  <c r="K85" i="6" s="1" a="1"/>
  <c r="K85" i="6" s="1"/>
  <c r="J84" i="6"/>
  <c r="K84" i="6" s="1" a="1"/>
  <c r="K84" i="6" s="1"/>
  <c r="J83" i="6"/>
  <c r="K83" i="6" s="1" a="1"/>
  <c r="K83" i="6" s="1"/>
  <c r="J82" i="6"/>
  <c r="K82" i="6" s="1" a="1"/>
  <c r="K82" i="6" s="1"/>
  <c r="J81" i="6"/>
  <c r="K81" i="6" s="1" a="1"/>
  <c r="K81" i="6" s="1"/>
  <c r="J80" i="6"/>
  <c r="K80" i="6" s="1" a="1"/>
  <c r="K80" i="6" s="1"/>
  <c r="J79" i="6"/>
  <c r="K79" i="6" s="1" a="1"/>
  <c r="K79" i="6" s="1"/>
  <c r="J78" i="6"/>
  <c r="K78" i="6" s="1" a="1"/>
  <c r="K78" i="6" s="1"/>
  <c r="J77" i="6"/>
  <c r="K77" i="6" s="1" a="1"/>
  <c r="K77" i="6" s="1"/>
  <c r="J76" i="6"/>
  <c r="K76" i="6" s="1" a="1"/>
  <c r="K76" i="6" s="1"/>
  <c r="J75" i="6"/>
  <c r="K75" i="6" s="1" a="1"/>
  <c r="K75" i="6" s="1"/>
  <c r="J74" i="6"/>
  <c r="K74" i="6" s="1" a="1"/>
  <c r="K74" i="6" s="1"/>
  <c r="J73" i="6"/>
  <c r="K73" i="6" s="1" a="1"/>
  <c r="K73" i="6" s="1"/>
  <c r="J72" i="6"/>
  <c r="K72" i="6" s="1" a="1"/>
  <c r="K72" i="6" s="1"/>
  <c r="J71" i="6"/>
  <c r="K71" i="6" s="1" a="1"/>
  <c r="K71" i="6" s="1"/>
  <c r="J70" i="6"/>
  <c r="K70" i="6" s="1" a="1"/>
  <c r="K70" i="6" s="1"/>
  <c r="J69" i="6"/>
  <c r="K69" i="6" s="1" a="1"/>
  <c r="K69" i="6" s="1"/>
  <c r="J68" i="6"/>
  <c r="K68" i="6" s="1" a="1"/>
  <c r="K68" i="6" s="1"/>
  <c r="J67" i="6"/>
  <c r="K67" i="6" s="1" a="1"/>
  <c r="K67" i="6" s="1"/>
  <c r="J66" i="6"/>
  <c r="K66" i="6" s="1" a="1"/>
  <c r="K66" i="6" s="1"/>
  <c r="J65" i="6"/>
  <c r="K65" i="6" s="1" a="1"/>
  <c r="K65" i="6" s="1"/>
  <c r="J64" i="6"/>
  <c r="K64" i="6" s="1" a="1"/>
  <c r="K64" i="6" s="1"/>
  <c r="J63" i="6"/>
  <c r="K63" i="6" s="1" a="1"/>
  <c r="K63" i="6" s="1"/>
  <c r="J62" i="6"/>
  <c r="K62" i="6" s="1" a="1"/>
  <c r="K62" i="6" s="1"/>
  <c r="J61" i="6"/>
  <c r="K61" i="6" s="1" a="1"/>
  <c r="K61" i="6" s="1"/>
  <c r="J60" i="6"/>
  <c r="K60" i="6" s="1" a="1"/>
  <c r="K60" i="6" s="1"/>
  <c r="J59" i="6"/>
  <c r="K59" i="6" s="1" a="1"/>
  <c r="K59" i="6" s="1"/>
  <c r="J58" i="6"/>
  <c r="K58" i="6" s="1" a="1"/>
  <c r="K58" i="6" s="1"/>
  <c r="J57" i="6"/>
  <c r="K57" i="6" s="1" a="1"/>
  <c r="K57" i="6" s="1"/>
  <c r="J56" i="6"/>
  <c r="K56" i="6" s="1" a="1"/>
  <c r="K56" i="6" s="1"/>
  <c r="J55" i="6"/>
  <c r="K55" i="6" s="1" a="1"/>
  <c r="K55" i="6" s="1"/>
  <c r="J54" i="6"/>
  <c r="K54" i="6" s="1" a="1"/>
  <c r="K54" i="6" s="1"/>
  <c r="J53" i="6"/>
  <c r="K53" i="6" s="1" a="1"/>
  <c r="K53" i="6" s="1"/>
  <c r="J52" i="6"/>
  <c r="K52" i="6" s="1" a="1"/>
  <c r="K52" i="6" s="1"/>
  <c r="J51" i="6"/>
  <c r="K51" i="6" s="1" a="1"/>
  <c r="K51" i="6" s="1"/>
  <c r="J50" i="6"/>
  <c r="K50" i="6" s="1" a="1"/>
  <c r="K50" i="6" s="1"/>
  <c r="J49" i="6"/>
  <c r="K49" i="6" s="1" a="1"/>
  <c r="K49" i="6" s="1"/>
  <c r="J48" i="6"/>
  <c r="K48" i="6" s="1" a="1"/>
  <c r="K48" i="6" s="1"/>
  <c r="J47" i="6"/>
  <c r="K47" i="6" s="1" a="1"/>
  <c r="K47" i="6" s="1"/>
  <c r="J46" i="6"/>
  <c r="K46" i="6" s="1" a="1"/>
  <c r="K46" i="6" s="1"/>
  <c r="J45" i="6"/>
  <c r="K45" i="6" s="1" a="1"/>
  <c r="K45" i="6" s="1"/>
  <c r="J44" i="6"/>
  <c r="K44" i="6" s="1" a="1"/>
  <c r="K44" i="6" s="1"/>
  <c r="J43" i="6"/>
  <c r="K43" i="6" s="1" a="1"/>
  <c r="K43" i="6" s="1"/>
  <c r="J42" i="6"/>
  <c r="K42" i="6" s="1" a="1"/>
  <c r="K42" i="6" s="1"/>
  <c r="J41" i="6"/>
  <c r="K41" i="6" s="1" a="1"/>
  <c r="K41" i="6" s="1"/>
  <c r="J40" i="6"/>
  <c r="K40" i="6" s="1" a="1"/>
  <c r="K40" i="6" s="1"/>
  <c r="J39" i="6"/>
  <c r="K39" i="6" s="1" a="1"/>
  <c r="K39" i="6" s="1"/>
  <c r="J38" i="6"/>
  <c r="K38" i="6" s="1" a="1"/>
  <c r="K38" i="6" s="1"/>
  <c r="J37" i="6"/>
  <c r="K37" i="6" s="1" a="1"/>
  <c r="K37" i="6" s="1"/>
  <c r="J36" i="6"/>
  <c r="K36" i="6" s="1" a="1"/>
  <c r="K36" i="6" s="1"/>
  <c r="J35" i="6"/>
  <c r="K35" i="6" s="1" a="1"/>
  <c r="K35" i="6" s="1"/>
  <c r="J34" i="6"/>
  <c r="K34" i="6" s="1" a="1"/>
  <c r="K34" i="6" s="1"/>
  <c r="J33" i="6"/>
  <c r="K33" i="6" s="1" a="1"/>
  <c r="K33" i="6" s="1"/>
  <c r="J32" i="6"/>
  <c r="K32" i="6" s="1" a="1"/>
  <c r="K32" i="6" s="1"/>
  <c r="J31" i="6"/>
  <c r="K31" i="6" s="1" a="1"/>
  <c r="K31" i="6" s="1"/>
  <c r="J30" i="6"/>
  <c r="K30" i="6" s="1" a="1"/>
  <c r="K30" i="6" s="1"/>
  <c r="J29" i="6"/>
  <c r="K29" i="6" s="1" a="1"/>
  <c r="K29" i="6" s="1"/>
  <c r="J28" i="6"/>
  <c r="K28" i="6" s="1" a="1"/>
  <c r="K28" i="6" s="1"/>
  <c r="J27" i="6"/>
  <c r="K27" i="6" s="1" a="1"/>
  <c r="K27" i="6" s="1"/>
  <c r="J26" i="6"/>
  <c r="K26" i="6" s="1" a="1"/>
  <c r="K26" i="6" s="1"/>
  <c r="J25" i="6"/>
  <c r="K25" i="6" s="1" a="1"/>
  <c r="K25" i="6" s="1"/>
  <c r="J24" i="6"/>
  <c r="K24" i="6" s="1" a="1"/>
  <c r="K24" i="6" s="1"/>
  <c r="J23" i="6"/>
  <c r="K23" i="6" s="1" a="1"/>
  <c r="K23" i="6" s="1"/>
  <c r="J22" i="6"/>
  <c r="K22" i="6" s="1" a="1"/>
  <c r="K22" i="6" s="1"/>
  <c r="J21" i="6"/>
  <c r="K21" i="6" s="1" a="1"/>
  <c r="K21" i="6" s="1"/>
  <c r="J20" i="6"/>
  <c r="K20" i="6" s="1" a="1"/>
  <c r="K20" i="6" s="1"/>
  <c r="J19" i="6"/>
  <c r="K19" i="6" s="1" a="1"/>
  <c r="K19" i="6" s="1"/>
  <c r="J18" i="6"/>
  <c r="K18" i="6" s="1" a="1"/>
  <c r="K18" i="6" s="1"/>
  <c r="J17" i="6"/>
  <c r="K17" i="6" s="1" a="1"/>
  <c r="K17" i="6" s="1"/>
  <c r="J16" i="6"/>
  <c r="K16" i="6" s="1" a="1"/>
  <c r="K16" i="6" s="1"/>
  <c r="J15" i="6"/>
  <c r="K15" i="6" s="1" a="1"/>
  <c r="K15" i="6" s="1"/>
  <c r="J14" i="6"/>
  <c r="K14" i="6" s="1" a="1"/>
  <c r="K14" i="6" s="1"/>
  <c r="J13" i="6"/>
  <c r="K13" i="6" s="1" a="1"/>
  <c r="K13" i="6" s="1"/>
  <c r="J12" i="6"/>
  <c r="K12" i="6" s="1" a="1"/>
  <c r="K12" i="6" s="1"/>
  <c r="J11" i="6"/>
  <c r="K11" i="6" s="1" a="1"/>
  <c r="K11" i="6" s="1"/>
  <c r="J10" i="6"/>
  <c r="K10" i="6" s="1" a="1"/>
  <c r="K10" i="6" s="1"/>
  <c r="J9" i="6"/>
  <c r="K9" i="6" s="1" a="1"/>
  <c r="K9" i="6" s="1"/>
  <c r="J8" i="6"/>
  <c r="K8" i="6" s="1" a="1"/>
  <c r="K8" i="6" s="1"/>
  <c r="J7" i="6"/>
  <c r="K7" i="6" s="1" a="1"/>
  <c r="K7" i="6" s="1"/>
  <c r="J6" i="6"/>
  <c r="K6" i="6" s="1" a="1"/>
  <c r="K6" i="6" s="1"/>
  <c r="J5" i="6"/>
  <c r="K5" i="6" s="1" a="1"/>
  <c r="K5" i="6" s="1"/>
  <c r="J4" i="6"/>
  <c r="K4" i="6" s="1" a="1"/>
  <c r="K4" i="6" s="1"/>
  <c r="J3" i="6"/>
  <c r="K3" i="6" s="1" a="1"/>
  <c r="K3" i="6" s="1"/>
  <c r="J2" i="6"/>
  <c r="K2" i="6" s="1" a="1"/>
  <c r="K2" i="6" s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543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511" i="1"/>
  <c r="M318" i="1"/>
  <c r="M534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46" i="1"/>
  <c r="M557" i="1"/>
  <c r="M335" i="1"/>
  <c r="M336" i="1"/>
  <c r="M337" i="1"/>
  <c r="M338" i="1"/>
  <c r="M339" i="1"/>
  <c r="M340" i="1"/>
  <c r="M341" i="1"/>
  <c r="M342" i="1"/>
  <c r="M343" i="1"/>
  <c r="M344" i="1"/>
  <c r="M345" i="1"/>
  <c r="M334" i="1"/>
  <c r="M347" i="1"/>
  <c r="M348" i="1"/>
  <c r="M349" i="1"/>
  <c r="M350" i="1"/>
  <c r="M351" i="1"/>
  <c r="M352" i="1"/>
  <c r="M353" i="1"/>
  <c r="M354" i="1"/>
  <c r="M355" i="1"/>
  <c r="M317" i="1"/>
  <c r="M542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356" i="1"/>
  <c r="M510" i="1"/>
  <c r="M537" i="1"/>
  <c r="M512" i="1"/>
  <c r="M538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5" i="1"/>
  <c r="M536" i="1"/>
  <c r="M539" i="1"/>
  <c r="M540" i="1"/>
  <c r="M541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2" i="1"/>
  <c r="AK539" i="1"/>
  <c r="AK540" i="1"/>
  <c r="AK541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H539" i="1"/>
  <c r="AH540" i="1"/>
  <c r="AH541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E539" i="1"/>
  <c r="AE540" i="1"/>
  <c r="AE541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B539" i="1"/>
  <c r="AB540" i="1"/>
  <c r="AB541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Y539" i="1"/>
  <c r="Y540" i="1"/>
  <c r="Y541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V539" i="1"/>
  <c r="V540" i="1"/>
  <c r="V541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S539" i="1"/>
  <c r="S540" i="1"/>
  <c r="S541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36" i="1"/>
  <c r="V536" i="1"/>
  <c r="Y536" i="1"/>
  <c r="AB536" i="1"/>
  <c r="AE536" i="1"/>
  <c r="AH536" i="1"/>
  <c r="AK536" i="1"/>
  <c r="AK535" i="1"/>
  <c r="AH535" i="1"/>
  <c r="AE535" i="1"/>
  <c r="AB535" i="1"/>
  <c r="Y535" i="1"/>
  <c r="V535" i="1"/>
  <c r="S535" i="1"/>
  <c r="AK531" i="1"/>
  <c r="AK532" i="1"/>
  <c r="AK533" i="1"/>
  <c r="AH531" i="1"/>
  <c r="AH532" i="1"/>
  <c r="AH533" i="1"/>
  <c r="AE531" i="1"/>
  <c r="AE532" i="1"/>
  <c r="AE533" i="1"/>
  <c r="AB531" i="1"/>
  <c r="AB532" i="1"/>
  <c r="AB533" i="1"/>
  <c r="Y531" i="1"/>
  <c r="Y532" i="1"/>
  <c r="Y533" i="1"/>
  <c r="V531" i="1"/>
  <c r="V532" i="1"/>
  <c r="V533" i="1"/>
  <c r="S531" i="1"/>
  <c r="S532" i="1"/>
  <c r="S533" i="1"/>
  <c r="J201" i="5"/>
  <c r="K201" i="5" s="1" a="1"/>
  <c r="K201" i="5" s="1"/>
  <c r="J202" i="5"/>
  <c r="K202" i="5" s="1" a="1"/>
  <c r="K202" i="5" s="1"/>
  <c r="J203" i="5"/>
  <c r="K203" i="5" s="1" a="1"/>
  <c r="K203" i="5" s="1"/>
  <c r="AK525" i="1"/>
  <c r="AK526" i="1"/>
  <c r="AK527" i="1"/>
  <c r="AK528" i="1"/>
  <c r="AK529" i="1"/>
  <c r="AK530" i="1"/>
  <c r="AH525" i="1"/>
  <c r="AH526" i="1"/>
  <c r="AH527" i="1"/>
  <c r="AH528" i="1"/>
  <c r="AH529" i="1"/>
  <c r="AH530" i="1"/>
  <c r="AE525" i="1"/>
  <c r="AE526" i="1"/>
  <c r="AE527" i="1"/>
  <c r="AE528" i="1"/>
  <c r="AE529" i="1"/>
  <c r="AE530" i="1"/>
  <c r="AB525" i="1"/>
  <c r="AB526" i="1"/>
  <c r="AB527" i="1"/>
  <c r="AB528" i="1"/>
  <c r="AB529" i="1"/>
  <c r="AB530" i="1"/>
  <c r="Y525" i="1"/>
  <c r="Y526" i="1"/>
  <c r="Y527" i="1"/>
  <c r="Y528" i="1"/>
  <c r="Y529" i="1"/>
  <c r="Y530" i="1"/>
  <c r="V525" i="1"/>
  <c r="V526" i="1"/>
  <c r="V527" i="1"/>
  <c r="V528" i="1"/>
  <c r="V529" i="1"/>
  <c r="V530" i="1"/>
  <c r="S525" i="1"/>
  <c r="S526" i="1"/>
  <c r="S527" i="1"/>
  <c r="S528" i="1"/>
  <c r="S529" i="1"/>
  <c r="S530" i="1"/>
  <c r="AE522" i="1"/>
  <c r="AE523" i="1"/>
  <c r="AE524" i="1"/>
  <c r="AH522" i="1"/>
  <c r="AH523" i="1"/>
  <c r="AH524" i="1"/>
  <c r="AK522" i="1"/>
  <c r="AK523" i="1"/>
  <c r="AK524" i="1"/>
  <c r="AB522" i="1"/>
  <c r="AB523" i="1"/>
  <c r="AB524" i="1"/>
  <c r="Y522" i="1"/>
  <c r="Y523" i="1"/>
  <c r="Y524" i="1"/>
  <c r="V522" i="1"/>
  <c r="V523" i="1"/>
  <c r="V524" i="1"/>
  <c r="V517" i="1"/>
  <c r="V518" i="1"/>
  <c r="V519" i="1"/>
  <c r="V520" i="1"/>
  <c r="V521" i="1"/>
  <c r="S356" i="1"/>
  <c r="S510" i="1"/>
  <c r="S537" i="1"/>
  <c r="S512" i="1"/>
  <c r="S538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J4" i="5"/>
  <c r="K4" i="5" s="1" a="1"/>
  <c r="K4" i="5" s="1"/>
  <c r="J5" i="5"/>
  <c r="K5" i="5" s="1" a="1"/>
  <c r="K5" i="5" s="1"/>
  <c r="J6" i="5"/>
  <c r="K6" i="5" s="1" a="1"/>
  <c r="K6" i="5" s="1"/>
  <c r="J7" i="5"/>
  <c r="K7" i="5" s="1" a="1"/>
  <c r="K7" i="5" s="1"/>
  <c r="J8" i="5"/>
  <c r="K8" i="5" s="1" a="1"/>
  <c r="K8" i="5" s="1"/>
  <c r="J9" i="5"/>
  <c r="K9" i="5" s="1" a="1"/>
  <c r="K9" i="5" s="1"/>
  <c r="J10" i="5"/>
  <c r="K10" i="5" s="1" a="1"/>
  <c r="K10" i="5" s="1"/>
  <c r="J11" i="5"/>
  <c r="K11" i="5" s="1" a="1"/>
  <c r="K11" i="5" s="1"/>
  <c r="J12" i="5"/>
  <c r="K12" i="5" s="1" a="1"/>
  <c r="K12" i="5" s="1"/>
  <c r="J13" i="5"/>
  <c r="K13" i="5" s="1" a="1"/>
  <c r="K13" i="5" s="1"/>
  <c r="J14" i="5"/>
  <c r="K14" i="5" s="1" a="1"/>
  <c r="K14" i="5" s="1"/>
  <c r="J15" i="5"/>
  <c r="K15" i="5" s="1" a="1"/>
  <c r="K15" i="5" s="1"/>
  <c r="J16" i="5"/>
  <c r="K16" i="5" s="1" a="1"/>
  <c r="K16" i="5" s="1"/>
  <c r="J17" i="5"/>
  <c r="K17" i="5" s="1" a="1"/>
  <c r="K17" i="5" s="1"/>
  <c r="J18" i="5"/>
  <c r="K18" i="5" s="1" a="1"/>
  <c r="K18" i="5" s="1"/>
  <c r="J19" i="5"/>
  <c r="K19" i="5" s="1" a="1"/>
  <c r="K19" i="5" s="1"/>
  <c r="J20" i="5"/>
  <c r="K20" i="5" s="1" a="1"/>
  <c r="K20" i="5" s="1"/>
  <c r="J21" i="5"/>
  <c r="K21" i="5" s="1" a="1"/>
  <c r="K21" i="5" s="1"/>
  <c r="J22" i="5"/>
  <c r="K22" i="5" s="1" a="1"/>
  <c r="K22" i="5" s="1"/>
  <c r="J23" i="5"/>
  <c r="K23" i="5" s="1" a="1"/>
  <c r="K23" i="5" s="1"/>
  <c r="J24" i="5"/>
  <c r="K24" i="5" s="1" a="1"/>
  <c r="K24" i="5" s="1"/>
  <c r="J25" i="5"/>
  <c r="K25" i="5" s="1" a="1"/>
  <c r="K25" i="5" s="1"/>
  <c r="J26" i="5"/>
  <c r="K26" i="5" s="1" a="1"/>
  <c r="K26" i="5" s="1"/>
  <c r="J27" i="5"/>
  <c r="K27" i="5" s="1" a="1"/>
  <c r="K27" i="5" s="1"/>
  <c r="J28" i="5"/>
  <c r="K28" i="5" s="1" a="1"/>
  <c r="K28" i="5" s="1"/>
  <c r="J29" i="5"/>
  <c r="K29" i="5" s="1" a="1"/>
  <c r="K29" i="5" s="1"/>
  <c r="J30" i="5"/>
  <c r="K30" i="5" s="1" a="1"/>
  <c r="K30" i="5" s="1"/>
  <c r="J31" i="5"/>
  <c r="K31" i="5" s="1" a="1"/>
  <c r="K31" i="5" s="1"/>
  <c r="J32" i="5"/>
  <c r="K32" i="5" s="1" a="1"/>
  <c r="K32" i="5" s="1"/>
  <c r="J33" i="5"/>
  <c r="K33" i="5" s="1" a="1"/>
  <c r="K33" i="5" s="1"/>
  <c r="J34" i="5"/>
  <c r="K34" i="5" s="1" a="1"/>
  <c r="K34" i="5" s="1"/>
  <c r="J35" i="5"/>
  <c r="K35" i="5" s="1" a="1"/>
  <c r="K35" i="5" s="1"/>
  <c r="J36" i="5"/>
  <c r="K36" i="5" s="1" a="1"/>
  <c r="K36" i="5" s="1"/>
  <c r="J37" i="5"/>
  <c r="K37" i="5" s="1" a="1"/>
  <c r="K37" i="5" s="1"/>
  <c r="J38" i="5"/>
  <c r="K38" i="5" s="1" a="1"/>
  <c r="K38" i="5" s="1"/>
  <c r="J39" i="5"/>
  <c r="K39" i="5" s="1" a="1"/>
  <c r="K39" i="5" s="1"/>
  <c r="J40" i="5"/>
  <c r="K40" i="5" s="1" a="1"/>
  <c r="K40" i="5" s="1"/>
  <c r="J41" i="5"/>
  <c r="K41" i="5" s="1" a="1"/>
  <c r="K41" i="5" s="1"/>
  <c r="J42" i="5"/>
  <c r="K42" i="5" s="1" a="1"/>
  <c r="K42" i="5" s="1"/>
  <c r="J43" i="5"/>
  <c r="K43" i="5" s="1" a="1"/>
  <c r="K43" i="5" s="1"/>
  <c r="J44" i="5"/>
  <c r="K44" i="5" s="1" a="1"/>
  <c r="K44" i="5" s="1"/>
  <c r="J45" i="5"/>
  <c r="K45" i="5" s="1" a="1"/>
  <c r="K45" i="5" s="1"/>
  <c r="J46" i="5"/>
  <c r="K46" i="5" s="1" a="1"/>
  <c r="K46" i="5" s="1"/>
  <c r="J47" i="5"/>
  <c r="K47" i="5" s="1" a="1"/>
  <c r="K47" i="5" s="1"/>
  <c r="J48" i="5"/>
  <c r="K48" i="5" s="1" a="1"/>
  <c r="K48" i="5" s="1"/>
  <c r="J49" i="5"/>
  <c r="K49" i="5" s="1" a="1"/>
  <c r="K49" i="5" s="1"/>
  <c r="J50" i="5"/>
  <c r="K50" i="5" s="1" a="1"/>
  <c r="K50" i="5" s="1"/>
  <c r="J51" i="5"/>
  <c r="K51" i="5" s="1" a="1"/>
  <c r="K51" i="5" s="1"/>
  <c r="J52" i="5"/>
  <c r="K52" i="5" s="1" a="1"/>
  <c r="K52" i="5" s="1"/>
  <c r="J53" i="5"/>
  <c r="K53" i="5" s="1" a="1"/>
  <c r="K53" i="5" s="1"/>
  <c r="J54" i="5"/>
  <c r="K54" i="5" s="1" a="1"/>
  <c r="K54" i="5" s="1"/>
  <c r="J55" i="5"/>
  <c r="K55" i="5" s="1" a="1"/>
  <c r="K55" i="5" s="1"/>
  <c r="J56" i="5"/>
  <c r="K56" i="5" s="1" a="1"/>
  <c r="K56" i="5" s="1"/>
  <c r="J57" i="5"/>
  <c r="K57" i="5" s="1" a="1"/>
  <c r="K57" i="5" s="1"/>
  <c r="J58" i="5"/>
  <c r="K58" i="5" s="1" a="1"/>
  <c r="K58" i="5" s="1"/>
  <c r="J59" i="5"/>
  <c r="K59" i="5" s="1" a="1"/>
  <c r="K59" i="5" s="1"/>
  <c r="J60" i="5"/>
  <c r="K60" i="5" s="1" a="1"/>
  <c r="K60" i="5" s="1"/>
  <c r="J61" i="5"/>
  <c r="K61" i="5" s="1" a="1"/>
  <c r="K61" i="5" s="1"/>
  <c r="J62" i="5"/>
  <c r="K62" i="5" s="1" a="1"/>
  <c r="K62" i="5" s="1"/>
  <c r="J63" i="5"/>
  <c r="K63" i="5" s="1" a="1"/>
  <c r="K63" i="5" s="1"/>
  <c r="J64" i="5"/>
  <c r="K64" i="5" s="1" a="1"/>
  <c r="K64" i="5" s="1"/>
  <c r="J65" i="5"/>
  <c r="K65" i="5" s="1" a="1"/>
  <c r="K65" i="5" s="1"/>
  <c r="J66" i="5"/>
  <c r="K66" i="5" s="1" a="1"/>
  <c r="K66" i="5" s="1"/>
  <c r="J67" i="5"/>
  <c r="K67" i="5" s="1" a="1"/>
  <c r="K67" i="5" s="1"/>
  <c r="J68" i="5"/>
  <c r="K68" i="5" s="1" a="1"/>
  <c r="K68" i="5" s="1"/>
  <c r="J69" i="5"/>
  <c r="K69" i="5" s="1" a="1"/>
  <c r="K69" i="5" s="1"/>
  <c r="J70" i="5"/>
  <c r="K70" i="5" s="1" a="1"/>
  <c r="K70" i="5" s="1"/>
  <c r="J71" i="5"/>
  <c r="K71" i="5" s="1" a="1"/>
  <c r="K71" i="5" s="1"/>
  <c r="J72" i="5"/>
  <c r="K72" i="5" s="1" a="1"/>
  <c r="K72" i="5" s="1"/>
  <c r="J73" i="5"/>
  <c r="K73" i="5" s="1" a="1"/>
  <c r="K73" i="5" s="1"/>
  <c r="J74" i="5"/>
  <c r="K74" i="5" s="1" a="1"/>
  <c r="K74" i="5" s="1"/>
  <c r="J75" i="5"/>
  <c r="K75" i="5" s="1" a="1"/>
  <c r="K75" i="5" s="1"/>
  <c r="J76" i="5"/>
  <c r="K76" i="5" s="1" a="1"/>
  <c r="K76" i="5" s="1"/>
  <c r="J77" i="5"/>
  <c r="K77" i="5" s="1" a="1"/>
  <c r="K77" i="5" s="1"/>
  <c r="J78" i="5"/>
  <c r="K78" i="5" s="1" a="1"/>
  <c r="K78" i="5" s="1"/>
  <c r="J79" i="5"/>
  <c r="K79" i="5" s="1" a="1"/>
  <c r="K79" i="5" s="1"/>
  <c r="J80" i="5"/>
  <c r="K80" i="5" s="1" a="1"/>
  <c r="K80" i="5" s="1"/>
  <c r="J81" i="5"/>
  <c r="K81" i="5" s="1" a="1"/>
  <c r="K81" i="5" s="1"/>
  <c r="J82" i="5"/>
  <c r="K82" i="5" s="1" a="1"/>
  <c r="K82" i="5" s="1"/>
  <c r="J83" i="5"/>
  <c r="K83" i="5" s="1" a="1"/>
  <c r="K83" i="5" s="1"/>
  <c r="J84" i="5"/>
  <c r="K84" i="5" s="1" a="1"/>
  <c r="K84" i="5" s="1"/>
  <c r="J85" i="5"/>
  <c r="K85" i="5" s="1" a="1"/>
  <c r="K85" i="5" s="1"/>
  <c r="J86" i="5"/>
  <c r="K86" i="5" s="1" a="1"/>
  <c r="K86" i="5" s="1"/>
  <c r="J87" i="5"/>
  <c r="K87" i="5" s="1" a="1"/>
  <c r="K87" i="5" s="1"/>
  <c r="J88" i="5"/>
  <c r="K88" i="5" s="1" a="1"/>
  <c r="K88" i="5" s="1"/>
  <c r="J89" i="5"/>
  <c r="K89" i="5" s="1" a="1"/>
  <c r="K89" i="5" s="1"/>
  <c r="J90" i="5"/>
  <c r="K90" i="5" s="1" a="1"/>
  <c r="K90" i="5" s="1"/>
  <c r="J91" i="5"/>
  <c r="K91" i="5" s="1" a="1"/>
  <c r="K91" i="5" s="1"/>
  <c r="J92" i="5"/>
  <c r="K92" i="5" s="1" a="1"/>
  <c r="K92" i="5" s="1"/>
  <c r="J93" i="5"/>
  <c r="K93" i="5" s="1" a="1"/>
  <c r="K93" i="5" s="1"/>
  <c r="J94" i="5"/>
  <c r="K94" i="5" s="1" a="1"/>
  <c r="K94" i="5" s="1"/>
  <c r="J95" i="5"/>
  <c r="K95" i="5" s="1" a="1"/>
  <c r="K95" i="5" s="1"/>
  <c r="J96" i="5"/>
  <c r="K96" i="5" s="1" a="1"/>
  <c r="K96" i="5" s="1"/>
  <c r="J97" i="5"/>
  <c r="K97" i="5" s="1" a="1"/>
  <c r="K97" i="5" s="1"/>
  <c r="J98" i="5"/>
  <c r="K98" i="5" s="1" a="1"/>
  <c r="K98" i="5" s="1"/>
  <c r="J99" i="5"/>
  <c r="K99" i="5" s="1" a="1"/>
  <c r="K99" i="5" s="1"/>
  <c r="J100" i="5"/>
  <c r="K100" i="5" s="1" a="1"/>
  <c r="K100" i="5" s="1"/>
  <c r="J101" i="5"/>
  <c r="K101" i="5" s="1" a="1"/>
  <c r="K101" i="5" s="1"/>
  <c r="J102" i="5"/>
  <c r="K102" i="5" s="1" a="1"/>
  <c r="K102" i="5" s="1"/>
  <c r="J103" i="5"/>
  <c r="K103" i="5" s="1" a="1"/>
  <c r="K103" i="5" s="1"/>
  <c r="J104" i="5"/>
  <c r="K104" i="5" s="1" a="1"/>
  <c r="K104" i="5" s="1"/>
  <c r="J105" i="5"/>
  <c r="K105" i="5" s="1" a="1"/>
  <c r="K105" i="5" s="1"/>
  <c r="J106" i="5"/>
  <c r="K106" i="5" s="1" a="1"/>
  <c r="K106" i="5" s="1"/>
  <c r="J107" i="5"/>
  <c r="K107" i="5" s="1" a="1"/>
  <c r="K107" i="5" s="1"/>
  <c r="J108" i="5"/>
  <c r="K108" i="5" s="1" a="1"/>
  <c r="K108" i="5" s="1"/>
  <c r="J109" i="5"/>
  <c r="K109" i="5" s="1" a="1"/>
  <c r="K109" i="5" s="1"/>
  <c r="J110" i="5"/>
  <c r="K110" i="5" s="1" a="1"/>
  <c r="K110" i="5" s="1"/>
  <c r="J111" i="5"/>
  <c r="K111" i="5" s="1" a="1"/>
  <c r="K111" i="5" s="1"/>
  <c r="J112" i="5"/>
  <c r="K112" i="5" s="1" a="1"/>
  <c r="K112" i="5" s="1"/>
  <c r="J113" i="5"/>
  <c r="K113" i="5" s="1" a="1"/>
  <c r="K113" i="5" s="1"/>
  <c r="J114" i="5"/>
  <c r="K114" i="5" s="1" a="1"/>
  <c r="K114" i="5" s="1"/>
  <c r="J115" i="5"/>
  <c r="K115" i="5" s="1" a="1"/>
  <c r="K115" i="5" s="1"/>
  <c r="J116" i="5"/>
  <c r="K116" i="5" s="1" a="1"/>
  <c r="K116" i="5" s="1"/>
  <c r="J117" i="5"/>
  <c r="K117" i="5" s="1" a="1"/>
  <c r="K117" i="5" s="1"/>
  <c r="J118" i="5"/>
  <c r="K118" i="5" s="1" a="1"/>
  <c r="K118" i="5" s="1"/>
  <c r="J119" i="5"/>
  <c r="K119" i="5" s="1" a="1"/>
  <c r="K119" i="5" s="1"/>
  <c r="J120" i="5"/>
  <c r="K120" i="5" s="1" a="1"/>
  <c r="K120" i="5" s="1"/>
  <c r="J121" i="5"/>
  <c r="K121" i="5" s="1" a="1"/>
  <c r="K121" i="5" s="1"/>
  <c r="J122" i="5"/>
  <c r="K122" i="5" s="1" a="1"/>
  <c r="K122" i="5" s="1"/>
  <c r="J123" i="5"/>
  <c r="K123" i="5" s="1" a="1"/>
  <c r="K123" i="5" s="1"/>
  <c r="J124" i="5"/>
  <c r="K124" i="5" s="1" a="1"/>
  <c r="K124" i="5" s="1"/>
  <c r="J125" i="5"/>
  <c r="K125" i="5" s="1" a="1"/>
  <c r="K125" i="5" s="1"/>
  <c r="J126" i="5"/>
  <c r="K126" i="5" s="1" a="1"/>
  <c r="K126" i="5" s="1"/>
  <c r="J127" i="5"/>
  <c r="K127" i="5" s="1" a="1"/>
  <c r="K127" i="5" s="1"/>
  <c r="J128" i="5"/>
  <c r="K128" i="5" s="1" a="1"/>
  <c r="K128" i="5" s="1"/>
  <c r="J129" i="5"/>
  <c r="K129" i="5" s="1" a="1"/>
  <c r="K129" i="5" s="1"/>
  <c r="J130" i="5"/>
  <c r="K130" i="5" s="1" a="1"/>
  <c r="K130" i="5" s="1"/>
  <c r="J131" i="5"/>
  <c r="K131" i="5" s="1" a="1"/>
  <c r="K131" i="5" s="1"/>
  <c r="J132" i="5"/>
  <c r="K132" i="5" s="1" a="1"/>
  <c r="K132" i="5" s="1"/>
  <c r="J133" i="5"/>
  <c r="K133" i="5" s="1" a="1"/>
  <c r="K133" i="5" s="1"/>
  <c r="J134" i="5"/>
  <c r="K134" i="5" s="1" a="1"/>
  <c r="K134" i="5" s="1"/>
  <c r="J135" i="5"/>
  <c r="K135" i="5" s="1" a="1"/>
  <c r="K135" i="5" s="1"/>
  <c r="J136" i="5"/>
  <c r="K136" i="5" s="1" a="1"/>
  <c r="K136" i="5" s="1"/>
  <c r="J137" i="5"/>
  <c r="K137" i="5" s="1" a="1"/>
  <c r="K137" i="5" s="1"/>
  <c r="J138" i="5"/>
  <c r="K138" i="5" s="1" a="1"/>
  <c r="K138" i="5" s="1"/>
  <c r="J139" i="5"/>
  <c r="K139" i="5" s="1" a="1"/>
  <c r="K139" i="5" s="1"/>
  <c r="J140" i="5"/>
  <c r="K140" i="5" s="1" a="1"/>
  <c r="K140" i="5" s="1"/>
  <c r="J141" i="5"/>
  <c r="K141" i="5" s="1" a="1"/>
  <c r="K141" i="5" s="1"/>
  <c r="J142" i="5"/>
  <c r="K142" i="5" s="1" a="1"/>
  <c r="K142" i="5" s="1"/>
  <c r="J143" i="5"/>
  <c r="K143" i="5" s="1" a="1"/>
  <c r="K143" i="5" s="1"/>
  <c r="J144" i="5"/>
  <c r="K144" i="5" s="1" a="1"/>
  <c r="K144" i="5" s="1"/>
  <c r="J145" i="5"/>
  <c r="K145" i="5" s="1" a="1"/>
  <c r="K145" i="5" s="1"/>
  <c r="J146" i="5"/>
  <c r="K146" i="5" s="1" a="1"/>
  <c r="K146" i="5" s="1"/>
  <c r="J147" i="5"/>
  <c r="K147" i="5" s="1" a="1"/>
  <c r="K147" i="5" s="1"/>
  <c r="J148" i="5"/>
  <c r="K148" i="5" s="1" a="1"/>
  <c r="K148" i="5" s="1"/>
  <c r="J149" i="5"/>
  <c r="K149" i="5" s="1" a="1"/>
  <c r="K149" i="5" s="1"/>
  <c r="J150" i="5"/>
  <c r="K150" i="5" s="1" a="1"/>
  <c r="K150" i="5" s="1"/>
  <c r="J151" i="5"/>
  <c r="K151" i="5" s="1" a="1"/>
  <c r="K151" i="5" s="1"/>
  <c r="J152" i="5"/>
  <c r="K152" i="5" s="1" a="1"/>
  <c r="K152" i="5" s="1"/>
  <c r="J153" i="5"/>
  <c r="K153" i="5" s="1" a="1"/>
  <c r="K153" i="5" s="1"/>
  <c r="J154" i="5"/>
  <c r="K154" i="5" s="1" a="1"/>
  <c r="K154" i="5" s="1"/>
  <c r="J155" i="5"/>
  <c r="K155" i="5" s="1" a="1"/>
  <c r="K155" i="5" s="1"/>
  <c r="J156" i="5"/>
  <c r="K156" i="5" s="1" a="1"/>
  <c r="K156" i="5" s="1"/>
  <c r="J157" i="5"/>
  <c r="K157" i="5" s="1" a="1"/>
  <c r="K157" i="5" s="1"/>
  <c r="J158" i="5"/>
  <c r="K158" i="5" s="1" a="1"/>
  <c r="K158" i="5" s="1"/>
  <c r="J159" i="5"/>
  <c r="K159" i="5" s="1" a="1"/>
  <c r="K159" i="5" s="1"/>
  <c r="J160" i="5"/>
  <c r="K160" i="5" s="1" a="1"/>
  <c r="K160" i="5" s="1"/>
  <c r="J161" i="5"/>
  <c r="K161" i="5" s="1" a="1"/>
  <c r="K161" i="5" s="1"/>
  <c r="J162" i="5"/>
  <c r="K162" i="5" s="1" a="1"/>
  <c r="K162" i="5" s="1"/>
  <c r="J163" i="5"/>
  <c r="K163" i="5" s="1" a="1"/>
  <c r="K163" i="5" s="1"/>
  <c r="J164" i="5"/>
  <c r="K164" i="5" s="1" a="1"/>
  <c r="K164" i="5" s="1"/>
  <c r="J165" i="5"/>
  <c r="K165" i="5" s="1" a="1"/>
  <c r="K165" i="5" s="1"/>
  <c r="J166" i="5"/>
  <c r="K166" i="5" s="1" a="1"/>
  <c r="K166" i="5" s="1"/>
  <c r="J167" i="5"/>
  <c r="K167" i="5" s="1" a="1"/>
  <c r="K167" i="5" s="1"/>
  <c r="J168" i="5"/>
  <c r="K168" i="5" s="1" a="1"/>
  <c r="K168" i="5" s="1"/>
  <c r="J169" i="5"/>
  <c r="K169" i="5" s="1" a="1"/>
  <c r="K169" i="5" s="1"/>
  <c r="J170" i="5"/>
  <c r="K170" i="5" s="1" a="1"/>
  <c r="K170" i="5" s="1"/>
  <c r="J171" i="5"/>
  <c r="K171" i="5" s="1" a="1"/>
  <c r="K171" i="5" s="1"/>
  <c r="J172" i="5"/>
  <c r="K172" i="5" s="1" a="1"/>
  <c r="K172" i="5" s="1"/>
  <c r="J173" i="5"/>
  <c r="K173" i="5" s="1" a="1"/>
  <c r="K173" i="5" s="1"/>
  <c r="J174" i="5"/>
  <c r="K174" i="5" s="1" a="1"/>
  <c r="K174" i="5" s="1"/>
  <c r="J175" i="5"/>
  <c r="K175" i="5" s="1" a="1"/>
  <c r="K175" i="5" s="1"/>
  <c r="J176" i="5"/>
  <c r="K176" i="5" s="1" a="1"/>
  <c r="K176" i="5" s="1"/>
  <c r="J177" i="5"/>
  <c r="K177" i="5" s="1" a="1"/>
  <c r="K177" i="5" s="1"/>
  <c r="J178" i="5"/>
  <c r="K178" i="5" s="1" a="1"/>
  <c r="K178" i="5" s="1"/>
  <c r="J179" i="5"/>
  <c r="K179" i="5" s="1" a="1"/>
  <c r="K179" i="5" s="1"/>
  <c r="J180" i="5"/>
  <c r="K180" i="5" s="1" a="1"/>
  <c r="K180" i="5" s="1"/>
  <c r="J181" i="5"/>
  <c r="K181" i="5" s="1" a="1"/>
  <c r="K181" i="5" s="1"/>
  <c r="J182" i="5"/>
  <c r="K182" i="5" s="1" a="1"/>
  <c r="K182" i="5" s="1"/>
  <c r="J183" i="5"/>
  <c r="K183" i="5" s="1" a="1"/>
  <c r="K183" i="5" s="1"/>
  <c r="J184" i="5"/>
  <c r="K184" i="5" s="1" a="1"/>
  <c r="K184" i="5" s="1"/>
  <c r="J185" i="5"/>
  <c r="K185" i="5" s="1" a="1"/>
  <c r="K185" i="5" s="1"/>
  <c r="J186" i="5"/>
  <c r="K186" i="5" s="1" a="1"/>
  <c r="K186" i="5" s="1"/>
  <c r="J187" i="5"/>
  <c r="K187" i="5" s="1" a="1"/>
  <c r="K187" i="5" s="1"/>
  <c r="J188" i="5"/>
  <c r="K188" i="5" s="1" a="1"/>
  <c r="K188" i="5" s="1"/>
  <c r="J189" i="5"/>
  <c r="K189" i="5" s="1" a="1"/>
  <c r="K189" i="5" s="1"/>
  <c r="J190" i="5"/>
  <c r="K190" i="5" s="1" a="1"/>
  <c r="K190" i="5" s="1"/>
  <c r="J191" i="5"/>
  <c r="K191" i="5" s="1" a="1"/>
  <c r="K191" i="5" s="1"/>
  <c r="J192" i="5"/>
  <c r="K192" i="5" s="1" a="1"/>
  <c r="K192" i="5" s="1"/>
  <c r="J193" i="5"/>
  <c r="K193" i="5" s="1" a="1"/>
  <c r="K193" i="5" s="1"/>
  <c r="J194" i="5"/>
  <c r="K194" i="5" s="1" a="1"/>
  <c r="K194" i="5" s="1"/>
  <c r="J195" i="5"/>
  <c r="K195" i="5" s="1" a="1"/>
  <c r="K195" i="5" s="1"/>
  <c r="J196" i="5"/>
  <c r="K196" i="5" s="1" a="1"/>
  <c r="K196" i="5" s="1"/>
  <c r="J197" i="5"/>
  <c r="K197" i="5" s="1" a="1"/>
  <c r="K197" i="5" s="1"/>
  <c r="J198" i="5"/>
  <c r="K198" i="5" s="1" a="1"/>
  <c r="K198" i="5" s="1"/>
  <c r="J199" i="5"/>
  <c r="K199" i="5" s="1" a="1"/>
  <c r="K199" i="5" s="1"/>
  <c r="J200" i="5"/>
  <c r="K200" i="5" s="1" a="1"/>
  <c r="K200" i="5" s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543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511" i="1"/>
  <c r="AK318" i="1"/>
  <c r="AK534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46" i="1"/>
  <c r="AK557" i="1"/>
  <c r="AK335" i="1"/>
  <c r="AK336" i="1"/>
  <c r="AK337" i="1"/>
  <c r="AK338" i="1"/>
  <c r="AK339" i="1"/>
  <c r="AK340" i="1"/>
  <c r="AK341" i="1"/>
  <c r="AK342" i="1"/>
  <c r="AK343" i="1"/>
  <c r="AK344" i="1"/>
  <c r="AK345" i="1"/>
  <c r="AK334" i="1"/>
  <c r="AK347" i="1"/>
  <c r="AK348" i="1"/>
  <c r="AK349" i="1"/>
  <c r="AK350" i="1"/>
  <c r="AK351" i="1"/>
  <c r="AK352" i="1"/>
  <c r="AK353" i="1"/>
  <c r="AK354" i="1"/>
  <c r="AK355" i="1"/>
  <c r="AK317" i="1"/>
  <c r="AK542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356" i="1"/>
  <c r="AK510" i="1"/>
  <c r="AK537" i="1"/>
  <c r="AK512" i="1"/>
  <c r="AK538" i="1"/>
  <c r="AK513" i="1"/>
  <c r="AK514" i="1"/>
  <c r="AK515" i="1"/>
  <c r="AK516" i="1"/>
  <c r="AK517" i="1"/>
  <c r="AK518" i="1"/>
  <c r="AK519" i="1"/>
  <c r="AK520" i="1"/>
  <c r="AK521" i="1"/>
  <c r="AK101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2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543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511" i="1"/>
  <c r="AH318" i="1"/>
  <c r="AH534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46" i="1"/>
  <c r="AH557" i="1"/>
  <c r="AH335" i="1"/>
  <c r="AH336" i="1"/>
  <c r="AH337" i="1"/>
  <c r="AH338" i="1"/>
  <c r="AH339" i="1"/>
  <c r="AH340" i="1"/>
  <c r="AH341" i="1"/>
  <c r="AH342" i="1"/>
  <c r="AH343" i="1"/>
  <c r="AH344" i="1"/>
  <c r="AH345" i="1"/>
  <c r="AH334" i="1"/>
  <c r="AH347" i="1"/>
  <c r="AH348" i="1"/>
  <c r="AH349" i="1"/>
  <c r="AH350" i="1"/>
  <c r="AH351" i="1"/>
  <c r="AH352" i="1"/>
  <c r="AH353" i="1"/>
  <c r="AH354" i="1"/>
  <c r="AH355" i="1"/>
  <c r="AH317" i="1"/>
  <c r="AH542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356" i="1"/>
  <c r="AH510" i="1"/>
  <c r="AH537" i="1"/>
  <c r="AH512" i="1"/>
  <c r="AH538" i="1"/>
  <c r="AH513" i="1"/>
  <c r="AH514" i="1"/>
  <c r="AH515" i="1"/>
  <c r="AH516" i="1"/>
  <c r="AH517" i="1"/>
  <c r="AH518" i="1"/>
  <c r="AH519" i="1"/>
  <c r="AH520" i="1"/>
  <c r="AH521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2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543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511" i="1"/>
  <c r="AE318" i="1"/>
  <c r="AE534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46" i="1"/>
  <c r="AE557" i="1"/>
  <c r="AE335" i="1"/>
  <c r="AE336" i="1"/>
  <c r="AE337" i="1"/>
  <c r="AE338" i="1"/>
  <c r="AE339" i="1"/>
  <c r="AE340" i="1"/>
  <c r="AE341" i="1"/>
  <c r="AE342" i="1"/>
  <c r="AE343" i="1"/>
  <c r="AE344" i="1"/>
  <c r="AE345" i="1"/>
  <c r="AE334" i="1"/>
  <c r="AE347" i="1"/>
  <c r="AE348" i="1"/>
  <c r="AE349" i="1"/>
  <c r="AE350" i="1"/>
  <c r="AE351" i="1"/>
  <c r="AE352" i="1"/>
  <c r="AE353" i="1"/>
  <c r="AE354" i="1"/>
  <c r="AE355" i="1"/>
  <c r="AE317" i="1"/>
  <c r="AE542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356" i="1"/>
  <c r="AE510" i="1"/>
  <c r="AE537" i="1"/>
  <c r="AE512" i="1"/>
  <c r="AE538" i="1"/>
  <c r="AE513" i="1"/>
  <c r="AE514" i="1"/>
  <c r="AE515" i="1"/>
  <c r="AE516" i="1"/>
  <c r="AE517" i="1"/>
  <c r="AE518" i="1"/>
  <c r="AE519" i="1"/>
  <c r="AE520" i="1"/>
  <c r="AE521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2" i="1"/>
  <c r="AB2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543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511" i="1"/>
  <c r="AB318" i="1"/>
  <c r="AB534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46" i="1"/>
  <c r="AB557" i="1"/>
  <c r="AB335" i="1"/>
  <c r="AB336" i="1"/>
  <c r="AB337" i="1"/>
  <c r="AB338" i="1"/>
  <c r="AB339" i="1"/>
  <c r="AB340" i="1"/>
  <c r="AB341" i="1"/>
  <c r="AB342" i="1"/>
  <c r="AB343" i="1"/>
  <c r="AB344" i="1"/>
  <c r="AB345" i="1"/>
  <c r="AB334" i="1"/>
  <c r="AB347" i="1"/>
  <c r="AB348" i="1"/>
  <c r="AB349" i="1"/>
  <c r="AB350" i="1"/>
  <c r="AB351" i="1"/>
  <c r="AB352" i="1"/>
  <c r="AB353" i="1"/>
  <c r="AB354" i="1"/>
  <c r="AB355" i="1"/>
  <c r="AB317" i="1"/>
  <c r="AB542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356" i="1"/>
  <c r="AB510" i="1"/>
  <c r="AB537" i="1"/>
  <c r="AB512" i="1"/>
  <c r="AB538" i="1"/>
  <c r="AB513" i="1"/>
  <c r="AB514" i="1"/>
  <c r="AB515" i="1"/>
  <c r="AB516" i="1"/>
  <c r="AB517" i="1"/>
  <c r="AB518" i="1"/>
  <c r="AB519" i="1"/>
  <c r="AB520" i="1"/>
  <c r="AB52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543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511" i="1"/>
  <c r="Y318" i="1"/>
  <c r="Y534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46" i="1"/>
  <c r="Y557" i="1"/>
  <c r="Y335" i="1"/>
  <c r="Y336" i="1"/>
  <c r="Y337" i="1"/>
  <c r="Y338" i="1"/>
  <c r="Y339" i="1"/>
  <c r="Y340" i="1"/>
  <c r="Y341" i="1"/>
  <c r="Y342" i="1"/>
  <c r="Y343" i="1"/>
  <c r="Y344" i="1"/>
  <c r="Y345" i="1"/>
  <c r="Y334" i="1"/>
  <c r="Y347" i="1"/>
  <c r="Y348" i="1"/>
  <c r="Y349" i="1"/>
  <c r="Y350" i="1"/>
  <c r="Y351" i="1"/>
  <c r="Y352" i="1"/>
  <c r="Y353" i="1"/>
  <c r="Y354" i="1"/>
  <c r="Y355" i="1"/>
  <c r="Y317" i="1"/>
  <c r="Y542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356" i="1"/>
  <c r="Y510" i="1"/>
  <c r="Y537" i="1"/>
  <c r="Y512" i="1"/>
  <c r="Y538" i="1"/>
  <c r="Y513" i="1"/>
  <c r="Y514" i="1"/>
  <c r="Y515" i="1"/>
  <c r="Y516" i="1"/>
  <c r="Y517" i="1"/>
  <c r="Y518" i="1"/>
  <c r="Y519" i="1"/>
  <c r="Y520" i="1"/>
  <c r="Y521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543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511" i="1"/>
  <c r="V318" i="1"/>
  <c r="V534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46" i="1"/>
  <c r="V557" i="1"/>
  <c r="V335" i="1"/>
  <c r="V336" i="1"/>
  <c r="V337" i="1"/>
  <c r="V338" i="1"/>
  <c r="V339" i="1"/>
  <c r="V340" i="1"/>
  <c r="V341" i="1"/>
  <c r="V342" i="1"/>
  <c r="V343" i="1"/>
  <c r="V344" i="1"/>
  <c r="V345" i="1"/>
  <c r="V334" i="1"/>
  <c r="V347" i="1"/>
  <c r="V348" i="1"/>
  <c r="V349" i="1"/>
  <c r="V350" i="1"/>
  <c r="V351" i="1"/>
  <c r="V352" i="1"/>
  <c r="V353" i="1"/>
  <c r="V354" i="1"/>
  <c r="V355" i="1"/>
  <c r="V317" i="1"/>
  <c r="V542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356" i="1"/>
  <c r="V510" i="1"/>
  <c r="V537" i="1"/>
  <c r="V512" i="1"/>
  <c r="V538" i="1"/>
  <c r="V513" i="1"/>
  <c r="V514" i="1"/>
  <c r="V515" i="1"/>
  <c r="V516" i="1"/>
  <c r="V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543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511" i="1"/>
  <c r="S318" i="1"/>
  <c r="S534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46" i="1"/>
  <c r="S557" i="1"/>
  <c r="S335" i="1"/>
  <c r="S336" i="1"/>
  <c r="S337" i="1"/>
  <c r="S338" i="1"/>
  <c r="S339" i="1"/>
  <c r="S340" i="1"/>
  <c r="S341" i="1"/>
  <c r="S342" i="1"/>
  <c r="S343" i="1"/>
  <c r="S344" i="1"/>
  <c r="S345" i="1"/>
  <c r="S334" i="1"/>
  <c r="S347" i="1"/>
  <c r="S348" i="1"/>
  <c r="S349" i="1"/>
  <c r="S350" i="1"/>
  <c r="S351" i="1"/>
  <c r="S352" i="1"/>
  <c r="S353" i="1"/>
  <c r="S354" i="1"/>
  <c r="S355" i="1"/>
  <c r="S317" i="1"/>
  <c r="S542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2" i="1"/>
  <c r="O4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<sst xmlns="http://schemas.openxmlformats.org/spreadsheetml/2006/main" count="7922" uniqueCount="426">
  <si>
    <t>Id</t>
  </si>
  <si>
    <t>Start time</t>
  </si>
  <si>
    <t>Completion time</t>
  </si>
  <si>
    <t>Email</t>
  </si>
  <si>
    <t>Name</t>
  </si>
  <si>
    <t>Total points</t>
  </si>
  <si>
    <t>Quiz feedback</t>
  </si>
  <si>
    <t>Grade posted time</t>
  </si>
  <si>
    <t>Seleccione el día de la defensa</t>
  </si>
  <si>
    <t>Points - Seleccione el día de la defensa</t>
  </si>
  <si>
    <t>Feedback - Seleccione el día de la defensa</t>
  </si>
  <si>
    <t>Seleccione su nombre (Evaluador)</t>
  </si>
  <si>
    <t>Control de duplicados</t>
  </si>
  <si>
    <t>Feedback - Seleccione su nombre (Evaluador)</t>
  </si>
  <si>
    <t>Seleccione el nombre del Estudiante</t>
  </si>
  <si>
    <t>Points - Seleccione el nombre del Estudiante</t>
  </si>
  <si>
    <t>Feedback - Seleccione el nombre del Estudiante</t>
  </si>
  <si>
    <t>Apertura: problema y objetivo </t>
  </si>
  <si>
    <t>Points - Apertura: problema y objetivo </t>
  </si>
  <si>
    <t>Feedback - Apertura: problema y objetivo </t>
  </si>
  <si>
    <t>Metodología (nivel adecuado)</t>
  </si>
  <si>
    <t>Points - Metodología (nivel adecuado)</t>
  </si>
  <si>
    <t>Feedback - Metodología (nivel adecuado)</t>
  </si>
  <si>
    <t>Resultados y evidencia </t>
  </si>
  <si>
    <t>Points - Resultados y evidencia </t>
  </si>
  <si>
    <t>Feedback - Resultados y evidencia </t>
  </si>
  <si>
    <t>Coherencia y manejo del tiempo</t>
  </si>
  <si>
    <t>Points - Coherencia y manejo del tiempo</t>
  </si>
  <si>
    <t>Feedback - Coherencia y manejo del tiempo</t>
  </si>
  <si>
    <t>Diapositivas como apoyo</t>
  </si>
  <si>
    <t>Points - Diapositivas como apoyo</t>
  </si>
  <si>
    <t>Feedback - Diapositivas como apoyo</t>
  </si>
  <si>
    <t>Respuestas a preguntas</t>
  </si>
  <si>
    <t>Points - Respuestas a preguntas</t>
  </si>
  <si>
    <t>Feedback - Respuestas a preguntas</t>
  </si>
  <si>
    <t>Cierre: aporte a próximos pasos</t>
  </si>
  <si>
    <t>Points - Cierre: aporte a próximos pasos</t>
  </si>
  <si>
    <t>Feedback - Cierre: aporte a próximos pasos</t>
  </si>
  <si>
    <t>PUNTAJE APERTURA</t>
  </si>
  <si>
    <t>patricio.ponce.herrera@udla.edu.ec</t>
  </si>
  <si>
    <t>Patricio David Ponce Herrera</t>
  </si>
  <si>
    <t>Martes 21 </t>
  </si>
  <si>
    <t>Patricio David Ponce</t>
  </si>
  <si>
    <t>Solano De La Sala Aldas Paúl Fernando</t>
  </si>
  <si>
    <t>Excelente (20 puntos)</t>
  </si>
  <si>
    <t>Excelente (10 puntos)</t>
  </si>
  <si>
    <t>bernarda.sandoval@udla.edu.ec</t>
  </si>
  <si>
    <t>Bernarda Cecibel Sandoval</t>
  </si>
  <si>
    <t>Bernarda Sandoval Romo</t>
  </si>
  <si>
    <t>Rojas González María Fernanda</t>
  </si>
  <si>
    <t>Muy bueno (16 puntos)</t>
  </si>
  <si>
    <t>Muy bueno (8 puntos)</t>
  </si>
  <si>
    <t>Garate Pazmiño Víctor Adrián</t>
  </si>
  <si>
    <t>Rueda Bravo Erick Josué</t>
  </si>
  <si>
    <t>marco.galarza@udla.edu.ec</t>
  </si>
  <si>
    <t>Marco Galarza</t>
  </si>
  <si>
    <t>Marco Antonio Galarza Castillo</t>
  </si>
  <si>
    <t>Calderón Tuárez Diana Alejandra</t>
  </si>
  <si>
    <t>Martínez Porte Carlos Sebastián</t>
  </si>
  <si>
    <t>santiago.solorzano@udla.edu.ec</t>
  </si>
  <si>
    <t>Santiago Leonardo Solórzano</t>
  </si>
  <si>
    <t>Vinueza Torres Luis Fernando</t>
  </si>
  <si>
    <t>Redin Muñoz Juan Sebastián</t>
  </si>
  <si>
    <t>Fernández Lazcano María José</t>
  </si>
  <si>
    <t>Sacoto Macías Alicia Fernanda</t>
  </si>
  <si>
    <t>Zaldumbide Egas Ana Cristina</t>
  </si>
  <si>
    <t>hugo.chimbo@udla.edu.ec</t>
  </si>
  <si>
    <t>Hugo Fernando Chimbo Acosta</t>
  </si>
  <si>
    <t>Miércoles 22</t>
  </si>
  <si>
    <t>ana.tulcanaza@udla.edu.ec</t>
  </si>
  <si>
    <t>Ana Belen Tulcanaza</t>
  </si>
  <si>
    <t>Ana Belén Tulcanaza Prieto</t>
  </si>
  <si>
    <t>Toapanta Sandoval Nicole Germania</t>
  </si>
  <si>
    <t>Palomeque Núñez Oscar Esteban</t>
  </si>
  <si>
    <t>edwin.garcia.aucatoma@udla.edu.ec</t>
  </si>
  <si>
    <t>Edwin Garcia Aucatoma</t>
  </si>
  <si>
    <t>Edwin García Aucatoma</t>
  </si>
  <si>
    <t>Vintimilla Silva Thyara Mikaela</t>
  </si>
  <si>
    <t>cesar.larrea@udla.edu.ec</t>
  </si>
  <si>
    <t>César Alberto Larrea Araujo</t>
  </si>
  <si>
    <t>Zapata Espinosa María Fernanda</t>
  </si>
  <si>
    <t>Narváez Torres Christian Ariel</t>
  </si>
  <si>
    <t>Flores Perez Dayana Liseth</t>
  </si>
  <si>
    <t>Bueno (6 puntos)</t>
  </si>
  <si>
    <t>Ortega Calderon Ricardo Antonio</t>
  </si>
  <si>
    <t>Regular (8 puntos)</t>
  </si>
  <si>
    <t>Insuficiente (2 puntos)</t>
  </si>
  <si>
    <t>anamaria.pazmino@udla.edu.ec</t>
  </si>
  <si>
    <t>Ana María Pazmiño Delgado</t>
  </si>
  <si>
    <t>Diaz Priscila Soledad</t>
  </si>
  <si>
    <t>jessica.guevara.zambrano@udla.edu.ec</t>
  </si>
  <si>
    <t>Jessica Maria Guevara Zambrano</t>
  </si>
  <si>
    <t>Haro Ortega Kasandra Guadalupe</t>
  </si>
  <si>
    <t>patricia.acosta@udla.edu.ec</t>
  </si>
  <si>
    <t>Patricia Acosta</t>
  </si>
  <si>
    <t>Nelly Patricia Acosta Vargas</t>
  </si>
  <si>
    <t>Herrera Ávila Boris Mateo</t>
  </si>
  <si>
    <t>victor.gomez@udla.edu.ec</t>
  </si>
  <si>
    <t>Victor Gomez Regalado</t>
  </si>
  <si>
    <t>Víctor Javier Gómez Regalado</t>
  </si>
  <si>
    <t>Peñaherrera Cevallos Patricio Paúl</t>
  </si>
  <si>
    <t>christiam.garzon@udla.edu.ec</t>
  </si>
  <si>
    <t>Christiam Garzón</t>
  </si>
  <si>
    <t>mario.gonzalez.rodriguez@udla.edu.ec</t>
  </si>
  <si>
    <t>Mario Salvador González</t>
  </si>
  <si>
    <t>Bueno (12 puntos)</t>
  </si>
  <si>
    <t>Mafla Narváez Erik David</t>
  </si>
  <si>
    <t>Gavilanes Rivera Luis Alfredo</t>
  </si>
  <si>
    <t>maria.cruz.c@udla.edu.ec</t>
  </si>
  <si>
    <t>Maria Alejandra Cruz Salazar</t>
  </si>
  <si>
    <t>María Alejandra Cruz</t>
  </si>
  <si>
    <t>Párraga Macías María Mercedes</t>
  </si>
  <si>
    <t>Álvarez Vásquez Marcelo</t>
  </si>
  <si>
    <t>Crespo Dávila Santiago Sebastián</t>
  </si>
  <si>
    <t>Ortiz Guamancela Lunix Efrén</t>
  </si>
  <si>
    <t>Puente Ramírez María José</t>
  </si>
  <si>
    <t>diego.gonzalez.segovia@udla.edu.ec</t>
  </si>
  <si>
    <t>Diego Xavier Gonzalez Segovia</t>
  </si>
  <si>
    <t>Maldonado Gonzalez Alfredo</t>
  </si>
  <si>
    <t>Rios Carrillo Luis Fernando</t>
  </si>
  <si>
    <t>Velez Echeverria Cristhian Andres</t>
  </si>
  <si>
    <t>Bravo Brito Camila Arahí</t>
  </si>
  <si>
    <t>Nuñez Camacho Berner Eduardo</t>
  </si>
  <si>
    <t>nathaly.orozco@udla.edu.ec</t>
  </si>
  <si>
    <t>Nathaly Veronica Orozco</t>
  </si>
  <si>
    <t>Nathaly Verónica Orozco</t>
  </si>
  <si>
    <t>washington.luna@udla.edu.ec</t>
  </si>
  <si>
    <t>Oswaldo Luna</t>
  </si>
  <si>
    <t>Caviedes Aristizábal Javier Alejandro</t>
  </si>
  <si>
    <t>Freire Yánez Carlos Esteban</t>
  </si>
  <si>
    <t>Herrera Donoso María Isabel</t>
  </si>
  <si>
    <t>Gutiérrez Rueda Ismael David</t>
  </si>
  <si>
    <t>Rengel Zambrano Kelvin Sebastián</t>
  </si>
  <si>
    <t>Muglisa Puma Kevin Israel</t>
  </si>
  <si>
    <t>Viernes 24</t>
  </si>
  <si>
    <t>Armas Torres Diego Sebastian</t>
  </si>
  <si>
    <t>Vargas Moreira Marcela Sheccid</t>
  </si>
  <si>
    <t>Villavicencio Quiñonez Alex Santiago</t>
  </si>
  <si>
    <t>Galeas Andino Marco Vinicio</t>
  </si>
  <si>
    <t>Calderón Saravia Alex Javier</t>
  </si>
  <si>
    <t>Lincango Ninahualpa Pablo Andrés</t>
  </si>
  <si>
    <t>Cabrera Santamaría Jimena Marcela</t>
  </si>
  <si>
    <t>Beltrán Basantes Oscar Omar</t>
  </si>
  <si>
    <t>Pazmiño Carrera Sonia Lucia</t>
  </si>
  <si>
    <t>Palomeque Núñez Mateo Nicolas</t>
  </si>
  <si>
    <t>Huera Anrrango Leidy Carolina</t>
  </si>
  <si>
    <t>Taco Sosa Luis Roberto</t>
  </si>
  <si>
    <t>Sango Simbaña Edisson Oswaldo</t>
  </si>
  <si>
    <t>Sarango Romero César Antonio</t>
  </si>
  <si>
    <t>Velasco Macias Jastin Geovanny</t>
  </si>
  <si>
    <t>González Dávila José Luis</t>
  </si>
  <si>
    <t>Yandún Rodríguez Daniel Martín</t>
  </si>
  <si>
    <t>cesar.ron@udla.edu.ec</t>
  </si>
  <si>
    <t>Cesar Andres Ron Cusme</t>
  </si>
  <si>
    <t>raul.paredes.loor@udla.edu.ec</t>
  </si>
  <si>
    <t>Raul Vicente Paredes Loor</t>
  </si>
  <si>
    <t>Garzón Vega Carlos Andrés</t>
  </si>
  <si>
    <t>Torres Vinueza Israel Francisco</t>
  </si>
  <si>
    <t>Robles Santamaría David Alejandro</t>
  </si>
  <si>
    <t>Salgado Cueva Vicente Antonio</t>
  </si>
  <si>
    <t>Ortiz Puga Danny Alejandro</t>
  </si>
  <si>
    <t>Urbina Yunda Santiago Andrés</t>
  </si>
  <si>
    <t>Arias Basantes Jeanpierre</t>
  </si>
  <si>
    <t>cristian.fabara@udla.edu.ec</t>
  </si>
  <si>
    <t>Cristian Paúl Fabara Rodríguez</t>
  </si>
  <si>
    <t>Japón Lapo Tupak Pachakutik</t>
  </si>
  <si>
    <t>jorge.najera@udla.edu.ec</t>
  </si>
  <si>
    <t>Jorge Hernán Nájera Gómez</t>
  </si>
  <si>
    <t>Jorge Nájera</t>
  </si>
  <si>
    <t>Espinosa Ramos Alex Roberto</t>
  </si>
  <si>
    <t>Benavides Guerrero Santiago Nicolás</t>
  </si>
  <si>
    <t>Espinosa Ramos Miguel</t>
  </si>
  <si>
    <t>Donoso Márquez Renato Fabricio</t>
  </si>
  <si>
    <t>pavlova.sigcha@udla.edu.ec</t>
  </si>
  <si>
    <t>Pavlova Sigcha</t>
  </si>
  <si>
    <t>Guevara Zambrano Vivian Salomé</t>
  </si>
  <si>
    <t>Romero Lozano Michelle Stephanie</t>
  </si>
  <si>
    <t>Carrillo Viera Ariel Fernando</t>
  </si>
  <si>
    <t>Terán Aguilar Julio Alejandro</t>
  </si>
  <si>
    <t>Garrido Mejía Luis Alejandro</t>
  </si>
  <si>
    <t>eddy.armas@udla.edu.ec</t>
  </si>
  <si>
    <t>Eddy Mauricio Armas</t>
  </si>
  <si>
    <t>Ortiz Esquivel Luz Eidy</t>
  </si>
  <si>
    <t>Arévalo Yépez Lucio Plácido</t>
  </si>
  <si>
    <t>Zurita Landázuri Diego Alejandro</t>
  </si>
  <si>
    <t>Ruano Flores Rubén Alexander</t>
  </si>
  <si>
    <t>Chimbo Naranjo Christian Leonardo</t>
  </si>
  <si>
    <t>Jácome Macías Anne</t>
  </si>
  <si>
    <t>Pulupa Quishpe Francisco Miguel</t>
  </si>
  <si>
    <t>Castro Suasnavas Diego Fernando</t>
  </si>
  <si>
    <t>Rosero Guevara Ariana Micaela</t>
  </si>
  <si>
    <t>Flores Garzón Edwin Patricio</t>
  </si>
  <si>
    <t>Páez Cevallos Santiago Alejandro</t>
  </si>
  <si>
    <t>Usiña Esteban Wladimir</t>
  </si>
  <si>
    <t>aracely.yandun@udla.edu.ec</t>
  </si>
  <si>
    <t>Aracely Ines Yandun Torres</t>
  </si>
  <si>
    <t>Suárez Minchala Lizbeth Alejandra</t>
  </si>
  <si>
    <t>Vaca Condor Edwin Alexis</t>
  </si>
  <si>
    <t>Caizaluisa Cruz Héctor Rodrigo</t>
  </si>
  <si>
    <t>Mosquera Valenzuela Giovani David</t>
  </si>
  <si>
    <t>García Robles Natasha Teresa</t>
  </si>
  <si>
    <t>Abad Anchundia Carlos Alejandro</t>
  </si>
  <si>
    <t>Torres Quenoran Christian David</t>
  </si>
  <si>
    <t>paulo.guerra.teran@udla.edu.ec</t>
  </si>
  <si>
    <t>Paulo Roberto Guerra</t>
  </si>
  <si>
    <t>Padilla Salgado Jorge Andrés</t>
  </si>
  <si>
    <t>Ruales Quezada Alain Mateo</t>
  </si>
  <si>
    <t>Vacas Andrade Carlos Andrés</t>
  </si>
  <si>
    <t>Villagrán Herrero Carlos Mauricio</t>
  </si>
  <si>
    <t>Moreta Gallegos Ángel Andrés</t>
  </si>
  <si>
    <t>Pacheco Cueva Alan Josueth</t>
  </si>
  <si>
    <t>López Posso Antonio Francisco</t>
  </si>
  <si>
    <t>andrea.escobar.garcia@udla.edu.ec</t>
  </si>
  <si>
    <t>Andrea Mariana Escobar Garcia</t>
  </si>
  <si>
    <t>Andrea Mariana Escobar García</t>
  </si>
  <si>
    <t>Regular (4 puntos)</t>
  </si>
  <si>
    <t>Cano Román Domenica Antonella</t>
  </si>
  <si>
    <t>Baldeón Guanín Hernán Andrés</t>
  </si>
  <si>
    <t>Lozano Delgado Marco Andrei</t>
  </si>
  <si>
    <t>luis.urquiza@udla.edu.ec</t>
  </si>
  <si>
    <t>Luis Felipe Urquiza Aguiar</t>
  </si>
  <si>
    <t>Collaguazo Cuenca Jimmy Vinicio</t>
  </si>
  <si>
    <t>Ochoa Larreategui Mateo Nicolás</t>
  </si>
  <si>
    <t>León Fuenmayor Emily Antonella</t>
  </si>
  <si>
    <t>Dávila Egred Xavier Alejandro</t>
  </si>
  <si>
    <t>edison.chicaiza.salgado@udla.edu.ec</t>
  </si>
  <si>
    <t>Edison Ruben Chicaiza Salgado</t>
  </si>
  <si>
    <t>Edison Chicaiza</t>
  </si>
  <si>
    <t>Tulcán Jaya Iván</t>
  </si>
  <si>
    <t>Jueves 23</t>
  </si>
  <si>
    <t>Morales Castro Sandy Gabriela</t>
  </si>
  <si>
    <t>Jaramillo Alcázar Erika Salomé</t>
  </si>
  <si>
    <t>Licto Iler Erick Javier</t>
  </si>
  <si>
    <t>washington.padilla.alarcon@udla.edu.ec</t>
  </si>
  <si>
    <t>Washington Fernando Padilla Alarcon</t>
  </si>
  <si>
    <t>Mora Di Mattia Andrés Antonio</t>
  </si>
  <si>
    <t>López Sosa Gabriela Elizabeth</t>
  </si>
  <si>
    <t>Betancourt Guamán Sixto Vinicio</t>
  </si>
  <si>
    <t>Sánchez Espinosa Jhon Bryan</t>
  </si>
  <si>
    <t>david.pozo@udla.edu.ec</t>
  </si>
  <si>
    <t>David Pozo</t>
  </si>
  <si>
    <t>Guevara Llanos Pahola Del Carmen</t>
  </si>
  <si>
    <t>López Arboleda Carla Stephanya</t>
  </si>
  <si>
    <t>Martínez Porte Daniela Stephania</t>
  </si>
  <si>
    <t>Viteri Mesías Fabián Nicolás</t>
  </si>
  <si>
    <t>Jiménez Soto Luis Javier</t>
  </si>
  <si>
    <t>maria.jaramillo.pinos@udla.edu.ec</t>
  </si>
  <si>
    <t>Maria Fernanda Jaramillo Pinos</t>
  </si>
  <si>
    <t>María Fernanada Jaramillo</t>
  </si>
  <si>
    <t>Játiva Ubillús José André</t>
  </si>
  <si>
    <t>Benalcazar Redroban Jhon Robert</t>
  </si>
  <si>
    <t>Guachamín Guevara Santiago David</t>
  </si>
  <si>
    <t>Masache Narváez Valeria Estefanía</t>
  </si>
  <si>
    <t>Aguaisa Moreno Victor Andres</t>
  </si>
  <si>
    <t>Iza Jiménez Santiago Francisco</t>
  </si>
  <si>
    <t>Salazar Guallichico José Luis</t>
  </si>
  <si>
    <t>Carrasco Meneses Johan Marcelo</t>
  </si>
  <si>
    <t>Guillen Balarezo David Andrés</t>
  </si>
  <si>
    <t>Trujillo Robalino David Antonio</t>
  </si>
  <si>
    <t>erislan.martinez@udla.edu.ec</t>
  </si>
  <si>
    <t>Erislan Martinez</t>
  </si>
  <si>
    <t>Erislán Martínez</t>
  </si>
  <si>
    <t>Pérez Toapanta Carlos Ramiro</t>
  </si>
  <si>
    <t>León Narváez Bryan Mateo</t>
  </si>
  <si>
    <t>Terán Ballagán Alisson Camila</t>
  </si>
  <si>
    <t>Cachipuendo Contero Inti Josue</t>
  </si>
  <si>
    <t>hernan.morales@udla.edu.ec</t>
  </si>
  <si>
    <t>Hernán Andrés Morales Navarrete</t>
  </si>
  <si>
    <t>Avilés Proaño Kevin Patricio</t>
  </si>
  <si>
    <t>Simbaña Macías Kevin Andrés</t>
  </si>
  <si>
    <t>Montalvo Grunauer Esteban Francisco</t>
  </si>
  <si>
    <t>Garces Fuentes Andrés Steven</t>
  </si>
  <si>
    <t>Ponce Jara Juan Diego</t>
  </si>
  <si>
    <t>Carrillo Herrera Isaac Francisco</t>
  </si>
  <si>
    <t>Jácome Ruiz Pablo Andrés</t>
  </si>
  <si>
    <t>Verdezoto Davalos Kevin Duval</t>
  </si>
  <si>
    <t>Novillo Villegas Pablo</t>
  </si>
  <si>
    <t>Novillo Villegas Sylvia</t>
  </si>
  <si>
    <t>Toscano Romero José</t>
  </si>
  <si>
    <t>Saona David Hernán</t>
  </si>
  <si>
    <t>Espinoza Erick Daniel</t>
  </si>
  <si>
    <t>Revelo Juan Manuel</t>
  </si>
  <si>
    <t>Martínez Rosero Nikita Nahomy</t>
  </si>
  <si>
    <t>Andrade Mulki Esteban Nicolas</t>
  </si>
  <si>
    <t>Gamboa Salas Sinuhe Ibrahin</t>
  </si>
  <si>
    <t>luis.criollo@udla.edu.ec</t>
  </si>
  <si>
    <t>Luis Criollo</t>
  </si>
  <si>
    <t>Luis Santiago Criollo</t>
  </si>
  <si>
    <t>Torres Alvarado Stalin Guillermo</t>
  </si>
  <si>
    <t>Angulo Dávila Carlos Andrés</t>
  </si>
  <si>
    <t>Oppíkofer López Jessica Marisol</t>
  </si>
  <si>
    <t>Carrillo Barros Juan Carlos</t>
  </si>
  <si>
    <t>Chicaiza Ayala Alexandra Patricia</t>
  </si>
  <si>
    <t>Ávila Jumbo Mateo Danilo</t>
  </si>
  <si>
    <t>Valverde González Alberto Sebastián</t>
  </si>
  <si>
    <t>Vinueza Rodríguez Jadira Estefanía</t>
  </si>
  <si>
    <t>Silva Villalobos Medardo Mauricio</t>
  </si>
  <si>
    <t>Pelassa Zambrano Pietro Salvatore</t>
  </si>
  <si>
    <t>Vera Zamora Victor Vicente</t>
  </si>
  <si>
    <t>Hernández Itas Dania Elizabeth</t>
  </si>
  <si>
    <t>Barragán Tingo Shirley Mayté</t>
  </si>
  <si>
    <t>Salazar Oviedo Mayra Josseth</t>
  </si>
  <si>
    <t>Sarabino Cuichan Bryan Benjamin</t>
  </si>
  <si>
    <t>Naranjo Velastegui Edwin Gabriel</t>
  </si>
  <si>
    <t>Camacho González Renato Daniel</t>
  </si>
  <si>
    <t>Gomez de la Torre Reyes Oswaldo Fernando</t>
  </si>
  <si>
    <t>Echeverría López Aarón David</t>
  </si>
  <si>
    <t>Guambo Heredia José Luis</t>
  </si>
  <si>
    <t>Montenegro Reinoso Sthefany Carolina</t>
  </si>
  <si>
    <t>Díaz Erazo Max Ernesto</t>
  </si>
  <si>
    <t>Molina Vásconez Alex François</t>
  </si>
  <si>
    <t>Moyano Sánchez Jean Pierre</t>
  </si>
  <si>
    <t>Martínez Velastegui Natalia Elizabeth</t>
  </si>
  <si>
    <t>Vera Cedeño Sindy Viveka</t>
  </si>
  <si>
    <t>Ibujés Flores Verónica Elizabeth</t>
  </si>
  <si>
    <t>Gallegos Cadena Vanessa Nicole</t>
  </si>
  <si>
    <t>Méndez Valencia Danilo Francisco</t>
  </si>
  <si>
    <t>Endara Revelo Andrés Giovanni</t>
  </si>
  <si>
    <t>Freire Amores Carol Maite</t>
  </si>
  <si>
    <t>Baquerizo Trujillo Julián Darío</t>
  </si>
  <si>
    <t>Paredes Betancourt Inés María</t>
  </si>
  <si>
    <t>Rojas Calero César Augusto</t>
  </si>
  <si>
    <t>Luzuriaga Bermeo Abigail Elizabeth</t>
  </si>
  <si>
    <t>Moreno Rivera Danny Javier</t>
  </si>
  <si>
    <t>Viteri Sánchez Cristina Belén</t>
  </si>
  <si>
    <t>Salazar Simbaña Sebastián Alejandro</t>
  </si>
  <si>
    <t>Acosta Balseca Belén Sarahí</t>
  </si>
  <si>
    <t>Guerrón Barrera Gabriela Selene</t>
  </si>
  <si>
    <t>Maldonado Páez Francisco Javier</t>
  </si>
  <si>
    <t>Almeida Mera Emilio Andrés</t>
  </si>
  <si>
    <t>Iglesias Reyes David Esteban</t>
  </si>
  <si>
    <t>Cumbajin Suquillo Ruth Katherine</t>
  </si>
  <si>
    <t>Ron Urbano Micaela Alexandra</t>
  </si>
  <si>
    <t>Sánchez Dávila Luis Alfonso</t>
  </si>
  <si>
    <t>Acosta Polanco Álvaro Marcelo</t>
  </si>
  <si>
    <t>Cerón Oñate Guillermo Andrés</t>
  </si>
  <si>
    <t>Delgado Ureta Erika Cecibel</t>
  </si>
  <si>
    <t>pablo.moncayo@udla.edu.ec</t>
  </si>
  <si>
    <t>Pablo Moncayo</t>
  </si>
  <si>
    <t>leonardo.arevalo@udla.edu.ec</t>
  </si>
  <si>
    <t>Leonardo Arevalo Rivera</t>
  </si>
  <si>
    <t>mauricio.racines@udla.edu.ec</t>
  </si>
  <si>
    <t>Mauricio Racines</t>
  </si>
  <si>
    <t>luis.aguas.bucheli@udla.edu.ec</t>
  </si>
  <si>
    <t>Luis Fernando Aguas Bucheli</t>
  </si>
  <si>
    <t>ivan.ortiz@udla.edu.ec</t>
  </si>
  <si>
    <t>Ivan Patricio Ortiz Garces</t>
  </si>
  <si>
    <t>Iván Ortiz</t>
  </si>
  <si>
    <t>edison.velasco.sanchez@udla.edu.ec</t>
  </si>
  <si>
    <t>Edison Patricio Velasco Sánchez</t>
  </si>
  <si>
    <t>Edison Velasco</t>
  </si>
  <si>
    <t>maria.mosquera@udla.edu.ec</t>
  </si>
  <si>
    <t>María Elizabeth Mosquera</t>
  </si>
  <si>
    <t>mariacristina.jimenez@udla.edu.ec</t>
  </si>
  <si>
    <t>María Cristina Jiménez Hernández</t>
  </si>
  <si>
    <t>Nivel (A)</t>
  </si>
  <si>
    <t>Puntos_20 (B)</t>
  </si>
  <si>
    <t>Puntos_10 (C)</t>
  </si>
  <si>
    <t>EXCELENTE</t>
  </si>
  <si>
    <t>MUY BUENO</t>
  </si>
  <si>
    <t>BUENO</t>
  </si>
  <si>
    <t>REGULAR</t>
  </si>
  <si>
    <t>INSUFICIENTE</t>
  </si>
  <si>
    <t>(B)</t>
  </si>
  <si>
    <t>Puntos</t>
  </si>
  <si>
    <t>Insuficiente (4 puntos)</t>
  </si>
  <si>
    <t>(C)</t>
  </si>
  <si>
    <t>Detalles de Cuenta de Seleccione su nombre (Evaluador) - Seleccione el nombre del Estudiante: Guevara Llanos Pahola Del Carmen</t>
  </si>
  <si>
    <t>Patricio David PonceGuevara Llanos Pahola Del Carmen</t>
  </si>
  <si>
    <t>Edison ChicaizaGuevara Llanos Pahola Del Carmen</t>
  </si>
  <si>
    <t>Cuenta de Seleccione su nombre (Evaluador)</t>
  </si>
  <si>
    <t>Promedio de Points - Apertura: problema y objetivo </t>
  </si>
  <si>
    <t>Promedio de Points - Metodología (nivel adecuado)</t>
  </si>
  <si>
    <t>Promedio de Points - Resultados y evidencia </t>
  </si>
  <si>
    <t>Promedio de Points - Coherencia y manejo del tiempo</t>
  </si>
  <si>
    <t>Promedio de Points - Diapositivas como apoyo</t>
  </si>
  <si>
    <t>Promedio de Points - Respuestas a preguntas</t>
  </si>
  <si>
    <t>Promedio de Points - Cierre: aporte a próximos pasos</t>
  </si>
  <si>
    <t>Nota ponderada</t>
  </si>
  <si>
    <t>Nota Rubrica Promedio</t>
  </si>
  <si>
    <t>Rubrica - Apertura: problema y objetivo </t>
  </si>
  <si>
    <t>Rubrica -  Metodología (nivel adecuado)</t>
  </si>
  <si>
    <t>Rubrica - Resultados y evidencia </t>
  </si>
  <si>
    <t>Rubrica - Coherencia y manejo del tiempo</t>
  </si>
  <si>
    <t>Rubrica - Diapositivas como apoyo</t>
  </si>
  <si>
    <t>Rubrica - Cierre: Respuestas a Preguntas</t>
  </si>
  <si>
    <t>Rubrica - Cierre: aporte a próximos pasos</t>
  </si>
  <si>
    <t>Docente Faltante 1</t>
  </si>
  <si>
    <t>Docente Faltante 2</t>
  </si>
  <si>
    <t>Docente Faltante 3</t>
  </si>
  <si>
    <t>Total general</t>
  </si>
  <si>
    <t>Nota Rubrica</t>
  </si>
  <si>
    <t>Docente</t>
  </si>
  <si>
    <t>Estudiante(s) por calificar</t>
  </si>
  <si>
    <t>Día y Fecha</t>
  </si>
  <si>
    <t>Hora</t>
  </si>
  <si>
    <t>Sala</t>
  </si>
  <si>
    <t>Jácome Macías Anne, Tulcán Jaya Iván</t>
  </si>
  <si>
    <t>Miércoles 22 de abril</t>
  </si>
  <si>
    <t>Sala 1</t>
  </si>
  <si>
    <t>Maldonado Páez Francisco Javier, Ron Urbano Micaela Alexandra, Sánchez Dávila Luis Alfonso</t>
  </si>
  <si>
    <t>Viernes 24 de abril</t>
  </si>
  <si>
    <t>Sala 2</t>
  </si>
  <si>
    <t>Jueves 23 de abril</t>
  </si>
  <si>
    <t>Angulo Dávila Carlos Andrés, Chicaiza Ayala Alexandra Patricia</t>
  </si>
  <si>
    <t>Baquerizo Trujillo Julián Darío, Paredes Betancourt Inés María, Rojas Calero César Augusto</t>
  </si>
  <si>
    <t>Acosta Polanco Álvaro Marcelo, Cerón Oñate Guillermo Andrés, Delgado Ureta Erika Cecibel</t>
  </si>
  <si>
    <t>Sala 3</t>
  </si>
  <si>
    <t>Betancourt Guamán Sixto Vinicio, Sánchez Espinosa Jhon Bryan</t>
  </si>
  <si>
    <t>Guevara Llanos Pahola Del Carmen, Torres Alvarado Stalin Guillermo</t>
  </si>
  <si>
    <t>Camacho González Renato Daniel, Gomez de la Torre Reyes Oswaldo Fernando</t>
  </si>
  <si>
    <t>Pelassa Zambrano Pietro Salvatore, Silva Villalobos Medardo Mauricio, Vera Zamora Victor Vicente</t>
  </si>
  <si>
    <t>Díaz Erazo Max Ernesto, Montenegro Reinoso Sthefany Carolina</t>
  </si>
  <si>
    <t>López Molina Ricardo Armando</t>
  </si>
  <si>
    <t>Brito Espejo Miguel Angel</t>
  </si>
  <si>
    <t>Martes 21 de abril</t>
  </si>
  <si>
    <t>Ávila Jumbo Mateo Danilo, Valverde González Alberto Sebastián, Vinueza Rodríguez Jadira Estefanía</t>
  </si>
  <si>
    <t>Barragán Tingo Shirley Mayté, Hernández Itas Dania Elizabeth, Salazar Oviedo Mayra Josseth</t>
  </si>
  <si>
    <t>Freire Yánez Carlos Esteban, Herrera Donoso María Isabel, Muglisa Puma Kevin Israel</t>
  </si>
  <si>
    <t>Iza Jiménez Santiago Francisco, Salazar Guallichico José Luis</t>
  </si>
  <si>
    <t>López Arboleda Carla Stephanya, Martínez Porte Daniela Stephania</t>
  </si>
  <si>
    <t>Paúl Oswaldo Sarango Lalangui</t>
  </si>
  <si>
    <t>Luzuriaga Bermeo Abigail Elizabeth, Moreno Rivera Danny Javier, Viteri Sánchez Cristina Belén</t>
  </si>
  <si>
    <t>Jiménez Soto Luis Javier, Viteri Mesías Fabián Nicolás</t>
  </si>
  <si>
    <t>Calderón Tuárez Diana Alejandra, Martínez Porte Carlos Sebastián, Solano De La Sala Aldas Paúl Fernando</t>
  </si>
  <si>
    <t>Arias Basantes Jeanpierre, Ortiz Puga Danny Alejandro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</si>
</sst>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>
    <font>
      <sz val="11"/>
      <color theme="1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/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/>
      <top style="thin">
        <color rgb="FF1F1F1F"/>
      </top>
      <bottom style="thin">
        <color rgb="FF1F1F1F"/>
      </bottom>
      <diagonal/>
    </border>
    <border>
      <left/>
      <right style="thin">
        <color rgb="FF1F1F1F"/>
      </right>
      <top/>
      <bottom style="thin">
        <color rgb="FF1F1F1F"/>
      </bottom>
      <diagonal/>
    </border>
    <border>
      <left style="thin">
        <color rgb="FF1F1F1F"/>
      </left>
      <right style="thin">
        <color rgb="FF1F1F1F"/>
      </right>
      <top/>
      <bottom style="thin">
        <color rgb="FF1F1F1F"/>
      </bottom>
      <diagonal/>
    </border>
    <border>
      <left style="thin">
        <color rgb="FF1F1F1F"/>
      </left>
      <right/>
      <top/>
      <bottom style="thin">
        <color rgb="FF1F1F1F"/>
      </bottom>
      <diagonal/>
    </border>
    <border>
      <left/>
      <right style="thin">
        <color rgb="FF1F1F1F"/>
      </right>
      <top style="thin">
        <color rgb="FF1F1F1F"/>
      </top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  <border>
      <left style="thin">
        <color rgb="FF1F1F1F"/>
      </left>
      <right/>
      <top style="thin">
        <color rgb="FF1F1F1F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1">
    <xf numFmtId="0" fontId="0" fillId="0" borderId="0" xfId="0"/>
    <xf numFmtId="49" fontId="0" fillId="0" borderId="0" xfId="0" applyNumberFormat="1"/>
    <xf numFmtId="22" fontId="0" fillId="0" borderId="0" xfId="0" applyNumberFormat="1"/>
    <xf numFmtId="0" fontId="2" fillId="0" borderId="1" xfId="0" applyFont="1" applyBorder="1" applyAlignment="1">
      <alignment readingOrder="1"/>
    </xf>
    <xf numFmtId="0" fontId="2" fillId="0" borderId="2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2" fillId="0" borderId="7" xfId="0" applyFont="1" applyBorder="1" applyAlignment="1">
      <alignment readingOrder="1"/>
    </xf>
    <xf numFmtId="0" fontId="2" fillId="0" borderId="8" xfId="0" applyFont="1" applyBorder="1" applyAlignment="1">
      <alignment readingOrder="1"/>
    </xf>
    <xf numFmtId="0" fontId="2" fillId="0" borderId="9" xfId="0" applyFont="1" applyBorder="1" applyAlignment="1">
      <alignment readingOrder="1"/>
    </xf>
    <xf numFmtId="0" fontId="4" fillId="2" borderId="10" xfId="0" applyFont="1" applyFill="1" applyBorder="1"/>
    <xf numFmtId="0" fontId="0" fillId="3" borderId="10" xfId="0" applyFill="1" applyBorder="1"/>
    <xf numFmtId="0" fontId="0" fillId="3" borderId="0" xfId="0" applyFill="1"/>
    <xf numFmtId="164" fontId="0" fillId="0" borderId="0" xfId="1" applyNumberFormat="1" applyFont="1"/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5" fillId="0" borderId="0" xfId="0" applyFont="1"/>
    <xf numFmtId="0" fontId="5" fillId="0" borderId="0" xfId="0" pivotButton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0" fillId="5" borderId="0" xfId="0" applyFill="1"/>
    <xf numFmtId="0" fontId="1" fillId="0" borderId="1" xfId="0" applyFont="1" applyBorder="1" applyAlignment="1">
      <alignment readingOrder="1"/>
    </xf>
    <xf numFmtId="20" fontId="2" fillId="0" borderId="1" xfId="0" applyNumberFormat="1" applyFont="1" applyBorder="1" applyAlignment="1">
      <alignment readingOrder="1"/>
    </xf>
    <xf numFmtId="0" fontId="1" fillId="6" borderId="1" xfId="0" applyFont="1" applyFill="1" applyBorder="1" applyAlignment="1">
      <alignment readingOrder="1"/>
    </xf>
    <xf numFmtId="0" fontId="0" fillId="7" borderId="0" xfId="0" applyFill="1"/>
    <xf numFmtId="0" fontId="5" fillId="8" borderId="0" xfId="0" applyFont="1" applyFill="1" applyAlignment="1">
      <alignment horizontal="center" vertical="center" wrapText="1"/>
    </xf>
    <xf numFmtId="164" fontId="5" fillId="5" borderId="0" xfId="0" applyNumberFormat="1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0" fillId="9" borderId="0" xfId="0" applyFill="1" applyAlignment="1">
      <alignment horizontal="center"/>
    </xf>
  </cellXfs>
  <cellStyles count="2">
    <cellStyle name="Millares" xfId="1" builtinId="3"/>
    <cellStyle name="Normal" xfId="0" builtinId="0"/>
  </cellStyles>
  <dxfs count="82">
    <dxf>
      <font>
        <color rgb="FF9C0006"/>
      </font>
      <fill>
        <patternFill>
          <bgColor rgb="FFFFC7CE"/>
        </patternFill>
      </fill>
    </dxf>
    <dxf>
      <font>
        <b val="0"/>
      </font>
    </dxf>
    <dxf>
      <font>
        <b/>
      </font>
    </dxf>
    <dxf>
      <font>
        <b/>
      </font>
    </dxf>
    <dxf>
      <fill>
        <patternFill patternType="none">
          <fgColor indexed="64"/>
          <bgColor indexed="65"/>
        </patternFill>
      </fill>
    </dxf>
    <dxf>
      <alignment wrapText="1"/>
    </dxf>
    <dxf>
      <alignment vertical="center"/>
    </dxf>
    <dxf>
      <alignment horizontal="center"/>
    </dxf>
    <dxf>
      <font>
        <sz val="11"/>
      </font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numFmt numFmtId="27" formatCode="m/d/yy\ h:mm"/>
    </dxf>
    <dxf>
      <numFmt numFmtId="27" formatCode="m/d/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/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border outline="0">
        <top style="thin">
          <color rgb="FF1F1F1F"/>
        </top>
      </border>
    </dxf>
    <dxf>
      <border outline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</border>
    </dxf>
    <dxf>
      <border outline="0">
        <bottom style="thin">
          <color rgb="FF1F1F1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1F1F1F"/>
        </left>
        <right style="thin">
          <color rgb="FF1F1F1F"/>
        </right>
        <top/>
        <bottom/>
      </border>
    </dxf>
    <dxf>
      <numFmt numFmtId="30" formatCode="@"/>
    </dxf>
    <dxf>
      <numFmt numFmtId="30" formatCode="@"/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30" formatCode="@"/>
    </dxf>
    <dxf>
      <numFmt numFmtId="30" formatCode="@"/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30" formatCode="@"/>
    </dxf>
    <dxf>
      <numFmt numFmtId="30" formatCode="@"/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30" formatCode="@"/>
    </dxf>
    <dxf>
      <numFmt numFmtId="30" formatCode="@"/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30" formatCode="@"/>
    </dxf>
    <dxf>
      <numFmt numFmtId="30" formatCode="@"/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30" formatCode="@"/>
    </dxf>
    <dxf>
      <numFmt numFmtId="30" formatCode="@"/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30" formatCode="@"/>
    </dxf>
    <dxf>
      <numFmt numFmtId="30" formatCode="@"/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  <fill>
        <patternFill patternType="solid">
          <fgColor indexed="64"/>
          <bgColor theme="9" tint="0.59999389629810485"/>
        </patternFill>
      </fill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font>
        <b val="0"/>
      </font>
    </dxf>
    <dxf>
      <font>
        <b/>
      </font>
    </dxf>
    <dxf>
      <font>
        <b/>
      </font>
    </dxf>
    <dxf>
      <fill>
        <patternFill patternType="none">
          <fgColor indexed="64"/>
          <bgColor indexed="65"/>
        </patternFill>
      </fill>
    </dxf>
    <dxf>
      <alignment wrapText="1"/>
    </dxf>
    <dxf>
      <alignment vertical="center"/>
    </dxf>
    <dxf>
      <alignment horizontal="center"/>
    </dxf>
    <dxf>
      <font>
        <sz val="11"/>
      </font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Ponce" refreshedDate="46139.75147314815" createdVersion="8" refreshedVersion="8" minRefreshableVersion="3" recordCount="600" xr:uid="{478AB6D8-EA17-469D-BB59-0618E3EFCF1F}">
  <cacheSource type="worksheet">
    <worksheetSource name="TablaCalificaciones"/>
  </cacheSource>
  <cacheFields count="39">
    <cacheField name="Id" numFmtId="0">
      <sharedItems containsSemiMixedTypes="0" containsString="0" containsNumber="1" containsInteger="1" minValue="1" maxValue="619"/>
    </cacheField>
    <cacheField name="Start time" numFmtId="22">
      <sharedItems containsSemiMixedTypes="0" containsNonDate="0" containsDate="1" containsString="0" minDate="2026-04-21T00:02:48" maxDate="2026-04-27T17:59:25"/>
    </cacheField>
    <cacheField name="Completion time" numFmtId="22">
      <sharedItems containsSemiMixedTypes="0" containsNonDate="0" containsDate="1" containsString="0" minDate="2026-04-21T08:53:53" maxDate="2026-04-27T18:00:29"/>
    </cacheField>
    <cacheField name="Email" numFmtId="0">
      <sharedItems/>
    </cacheField>
    <cacheField name="Name" numFmtId="0">
      <sharedItems/>
    </cacheField>
    <cacheField name="Total points" numFmtId="0">
      <sharedItems containsNonDate="0" containsString="0" containsBlank="1"/>
    </cacheField>
    <cacheField name="Quiz feedback" numFmtId="0">
      <sharedItems containsNonDate="0" containsString="0" containsBlank="1"/>
    </cacheField>
    <cacheField name="Grade posted time" numFmtId="22">
      <sharedItems containsNonDate="0" containsString="0" containsBlank="1"/>
    </cacheField>
    <cacheField name="Seleccione el día de la defensa" numFmtId="0">
      <sharedItems/>
    </cacheField>
    <cacheField name="Points - Seleccione el día de la defensa" numFmtId="0">
      <sharedItems containsString="0" containsBlank="1" containsNumber="1" containsInteger="1" minValue="0" maxValue="0"/>
    </cacheField>
    <cacheField name="Feedback - Seleccione el día de la defensa" numFmtId="0">
      <sharedItems containsNonDate="0" containsString="0" containsBlank="1"/>
    </cacheField>
    <cacheField name="Seleccione su nombre (Evaluador)" numFmtId="0">
      <sharedItems/>
    </cacheField>
    <cacheField name="Control de duplicados" numFmtId="0">
      <sharedItems/>
    </cacheField>
    <cacheField name="Feedback - Seleccione su nombre (Evaluador)" numFmtId="0">
      <sharedItems containsNonDate="0" containsString="0" containsBlank="1"/>
    </cacheField>
    <cacheField name="Seleccione el nombre del Estudiante" numFmtId="0">
      <sharedItems count="201">
        <s v="Solano De La Sala Aldas Paúl Fernando"/>
        <s v="Rojas González María Fernanda"/>
        <s v="Garate Pazmiño Víctor Adrián"/>
        <s v="Rueda Bravo Erick Josué"/>
        <s v="Calderón Tuárez Diana Alejandra"/>
        <s v="Martínez Porte Carlos Sebastián"/>
        <s v="Vinueza Torres Luis Fernando"/>
        <s v="Redin Muñoz Juan Sebastián"/>
        <s v="Fernández Lazcano María José"/>
        <s v="Sacoto Macías Alicia Fernanda"/>
        <s v="Zaldumbide Egas Ana Cristina"/>
        <s v="Toapanta Sandoval Nicole Germania"/>
        <s v="Palomeque Núñez Oscar Esteban"/>
        <s v="Vintimilla Silva Thyara Mikaela"/>
        <s v="Zapata Espinosa María Fernanda"/>
        <s v="Narváez Torres Christian Ariel"/>
        <s v="Flores Perez Dayana Liseth"/>
        <s v="Ortega Calderon Ricardo Antonio"/>
        <s v="Diaz Priscila Soledad"/>
        <s v="Haro Ortega Kasandra Guadalupe"/>
        <s v="Herrera Ávila Boris Mateo"/>
        <s v="Peñaherrera Cevallos Patricio Paúl"/>
        <s v="Mafla Narváez Erik David"/>
        <s v="Gavilanes Rivera Luis Alfredo"/>
        <s v="Párraga Macías María Mercedes"/>
        <s v="Álvarez Vásquez Marcelo"/>
        <s v="Crespo Dávila Santiago Sebastián"/>
        <s v="Ortiz Guamancela Lunix Efrén"/>
        <s v="Puente Ramírez María José"/>
        <s v="Maldonado Gonzalez Alfredo"/>
        <s v="Rios Carrillo Luis Fernando"/>
        <s v="Velez Echeverria Cristhian Andres"/>
        <s v="Bravo Brito Camila Arahí"/>
        <s v="Nuñez Camacho Berner Eduardo"/>
        <s v="Caviedes Aristizábal Javier Alejandro"/>
        <s v="Freire Yánez Carlos Esteban"/>
        <s v="Herrera Donoso María Isabel"/>
        <s v="Gutiérrez Rueda Ismael David"/>
        <s v="Rengel Zambrano Kelvin Sebastián"/>
        <s v="Muglisa Puma Kevin Israel"/>
        <s v="Armas Torres Diego Sebastian"/>
        <s v="Vargas Moreira Marcela Sheccid"/>
        <s v="Villavicencio Quiñonez Alex Santiago"/>
        <s v="Galeas Andino Marco Vinicio"/>
        <s v="Calderón Saravia Alex Javier"/>
        <s v="Lincango Ninahualpa Pablo Andrés"/>
        <s v="Cabrera Santamaría Jimena Marcela"/>
        <s v="Beltrán Basantes Oscar Omar"/>
        <s v="Pazmiño Carrera Sonia Lucia"/>
        <s v="Palomeque Núñez Mateo Nicolas"/>
        <s v="Huera Anrrango Leidy Carolina"/>
        <s v="Taco Sosa Luis Roberto"/>
        <s v="Sango Simbaña Edisson Oswaldo"/>
        <s v="Sarango Romero César Antonio"/>
        <s v="Velasco Macias Jastin Geovanny"/>
        <s v="González Dávila José Luis"/>
        <s v="Yandún Rodríguez Daniel Martín"/>
        <s v="Garzón Vega Carlos Andrés"/>
        <s v="Torres Vinueza Israel Francisco"/>
        <s v="Robles Santamaría David Alejandro"/>
        <s v="Salgado Cueva Vicente Antonio"/>
        <s v="Ortiz Puga Danny Alejandro"/>
        <s v="Urbina Yunda Santiago Andrés"/>
        <s v="Arias Basantes Jeanpierre"/>
        <s v="Japón Lapo Tupak Pachakutik"/>
        <s v="Espinosa Ramos Alex Roberto"/>
        <s v="Benavides Guerrero Santiago Nicolás"/>
        <s v="Espinosa Ramos Miguel"/>
        <s v="Donoso Márquez Renato Fabricio"/>
        <s v="Guevara Zambrano Vivian Salomé"/>
        <s v="Romero Lozano Michelle Stephanie"/>
        <s v="Carrillo Viera Ariel Fernando"/>
        <s v="Terán Aguilar Julio Alejandro"/>
        <s v="Garrido Mejía Luis Alejandro"/>
        <s v="Ortiz Esquivel Luz Eidy"/>
        <s v="Arévalo Yépez Lucio Plácido"/>
        <s v="Zurita Landázuri Diego Alejandro"/>
        <s v="Ruano Flores Rubén Alexander"/>
        <s v="Chimbo Naranjo Christian Leonardo"/>
        <s v="Jácome Macías Anne"/>
        <s v="Pulupa Quishpe Francisco Miguel"/>
        <s v="Castro Suasnavas Diego Fernando"/>
        <s v="Rosero Guevara Ariana Micaela"/>
        <s v="Flores Garzón Edwin Patricio"/>
        <s v="Páez Cevallos Santiago Alejandro"/>
        <s v="Usiña Esteban Wladimir"/>
        <s v="Suárez Minchala Lizbeth Alejandra"/>
        <s v="Vaca Condor Edwin Alexis"/>
        <s v="Caizaluisa Cruz Héctor Rodrigo"/>
        <s v="Mosquera Valenzuela Giovani David"/>
        <s v="García Robles Natasha Teresa"/>
        <s v="Abad Anchundia Carlos Alejandro"/>
        <s v="Torres Quenoran Christian David"/>
        <s v="Padilla Salgado Jorge Andrés"/>
        <s v="Ruales Quezada Alain Mateo"/>
        <s v="Vacas Andrade Carlos Andrés"/>
        <s v="Villagrán Herrero Carlos Mauricio"/>
        <s v="Moreta Gallegos Ángel Andrés"/>
        <s v="Pacheco Cueva Alan Josueth"/>
        <s v="López Posso Antonio Francisco"/>
        <s v="Cano Román Domenica Antonella"/>
        <s v="Baldeón Guanín Hernán Andrés"/>
        <s v="Lozano Delgado Marco Andrei"/>
        <s v="Collaguazo Cuenca Jimmy Vinicio"/>
        <s v="Ochoa Larreategui Mateo Nicolás"/>
        <s v="León Fuenmayor Emily Antonella"/>
        <s v="Dávila Egred Xavier Alejandro"/>
        <s v="Tulcán Jaya Iván"/>
        <s v="Morales Castro Sandy Gabriela"/>
        <s v="Jaramillo Alcázar Erika Salomé"/>
        <s v="Licto Iler Erick Javier"/>
        <s v="Mora Di Mattia Andrés Antonio"/>
        <s v="López Sosa Gabriela Elizabeth"/>
        <s v="Betancourt Guamán Sixto Vinicio"/>
        <s v="Sánchez Espinosa Jhon Bryan"/>
        <s v="Guevara Llanos Pahola Del Carmen"/>
        <s v="López Arboleda Carla Stephanya"/>
        <s v="Martínez Porte Daniela Stephania"/>
        <s v="Viteri Mesías Fabián Nicolás"/>
        <s v="Jiménez Soto Luis Javier"/>
        <s v="Játiva Ubillús José André"/>
        <s v="Benalcazar Redroban Jhon Robert"/>
        <s v="Guachamín Guevara Santiago David"/>
        <s v="Masache Narváez Valeria Estefanía"/>
        <s v="Aguaisa Moreno Victor Andres"/>
        <s v="Iza Jiménez Santiago Francisco"/>
        <s v="Salazar Guallichico José Luis"/>
        <s v="Carrasco Meneses Johan Marcelo"/>
        <s v="Guillen Balarezo David Andrés"/>
        <s v="Trujillo Robalino David Antonio"/>
        <s v="Pérez Toapanta Carlos Ramiro"/>
        <s v="León Narváez Bryan Mateo"/>
        <s v="Terán Ballagán Alisson Camila"/>
        <s v="Cachipuendo Contero Inti Josue"/>
        <s v="Avilés Proaño Kevin Patricio"/>
        <s v="Simbaña Macías Kevin Andrés"/>
        <s v="Montalvo Grunauer Esteban Francisco"/>
        <s v="Garces Fuentes Andrés Steven"/>
        <s v="Ponce Jara Juan Diego"/>
        <s v="Carrillo Herrera Isaac Francisco"/>
        <s v="Jácome Ruiz Pablo Andrés"/>
        <s v="Verdezoto Davalos Kevin Duval"/>
        <s v="Novillo Villegas Pablo"/>
        <s v="Novillo Villegas Sylvia"/>
        <s v="Toscano Romero José"/>
        <s v="Saona David Hernán"/>
        <s v="Espinoza Erick Daniel"/>
        <s v="Revelo Juan Manuel"/>
        <s v="Martínez Rosero Nikita Nahomy"/>
        <s v="Andrade Mulki Esteban Nicolas"/>
        <s v="Gamboa Salas Sinuhe Ibrahin"/>
        <s v="Torres Alvarado Stalin Guillermo"/>
        <s v="Angulo Dávila Carlos Andrés"/>
        <s v="Oppíkofer López Jessica Marisol"/>
        <s v="Carrillo Barros Juan Carlos"/>
        <s v="Chicaiza Ayala Alexandra Patricia"/>
        <s v="Ávila Jumbo Mateo Danilo"/>
        <s v="Valverde González Alberto Sebastián"/>
        <s v="Vinueza Rodríguez Jadira Estefanía"/>
        <s v="Silva Villalobos Medardo Mauricio"/>
        <s v="Pelassa Zambrano Pietro Salvatore"/>
        <s v="Vera Zamora Victor Vicente"/>
        <s v="Hernández Itas Dania Elizabeth"/>
        <s v="Barragán Tingo Shirley Mayté"/>
        <s v="Salazar Oviedo Mayra Josseth"/>
        <s v="Sarabino Cuichan Bryan Benjamin"/>
        <s v="Naranjo Velastegui Edwin Gabriel"/>
        <s v="Camacho González Renato Daniel"/>
        <s v="Gomez de la Torre Reyes Oswaldo Fernando"/>
        <s v="Echeverría López Aarón David"/>
        <s v="Guambo Heredia José Luis"/>
        <s v="Montenegro Reinoso Sthefany Carolina"/>
        <s v="Díaz Erazo Max Ernesto"/>
        <s v="Molina Vásconez Alex François"/>
        <s v="Moyano Sánchez Jean Pierre"/>
        <s v="Martínez Velastegui Natalia Elizabeth"/>
        <s v="Vera Cedeño Sindy Viveka"/>
        <s v="Ibujés Flores Verónica Elizabeth"/>
        <s v="Gallegos Cadena Vanessa Nicole"/>
        <s v="Méndez Valencia Danilo Francisco"/>
        <s v="Endara Revelo Andrés Giovanni"/>
        <s v="Freire Amores Carol Maite"/>
        <s v="Baquerizo Trujillo Julián Darío"/>
        <s v="Paredes Betancourt Inés María"/>
        <s v="Rojas Calero César Augusto"/>
        <s v="Luzuriaga Bermeo Abigail Elizabeth"/>
        <s v="Moreno Rivera Danny Javier"/>
        <s v="Viteri Sánchez Cristina Belén"/>
        <s v="Salazar Simbaña Sebastián Alejandro"/>
        <s v="Acosta Balseca Belén Sarahí"/>
        <s v="Guerrón Barrera Gabriela Selene"/>
        <s v="Maldonado Páez Francisco Javier"/>
        <s v="Almeida Mera Emilio Andrés"/>
        <s v="Iglesias Reyes David Esteban"/>
        <s v="Cumbajin Suquillo Ruth Katherine"/>
        <s v="Ron Urbano Micaela Alexandra"/>
        <s v="Sánchez Dávila Luis Alfonso"/>
        <s v="Acosta Polanco Álvaro Marcelo"/>
        <s v="Cerón Oñate Guillermo Andrés"/>
        <s v="Delgado Ureta Erika Cecibel"/>
        <s v="López Molina Ricardo Armando" u="1"/>
      </sharedItems>
    </cacheField>
    <cacheField name="Points - Seleccione el nombre del Estudiante" numFmtId="0">
      <sharedItems containsString="0" containsBlank="1" containsNumber="1" containsInteger="1" minValue="0" maxValue="0"/>
    </cacheField>
    <cacheField name="Feedback - Seleccione el nombre del Estudiante" numFmtId="0">
      <sharedItems containsNonDate="0" containsString="0" containsBlank="1"/>
    </cacheField>
    <cacheField name="Apertura: problema y objetivo " numFmtId="0">
      <sharedItems/>
    </cacheField>
    <cacheField name="Points - Apertura: problema y objetivo " numFmtId="0">
      <sharedItems containsSemiMixedTypes="0" containsString="0" containsNumber="1" containsInteger="1" minValue="8" maxValue="20"/>
    </cacheField>
    <cacheField name="Feedback - Apertura: problema y objetivo " numFmtId="0">
      <sharedItems containsNonDate="0" containsString="0" containsBlank="1"/>
    </cacheField>
    <cacheField name="Metodología (nivel adecuado)" numFmtId="0">
      <sharedItems/>
    </cacheField>
    <cacheField name="Points - Metodología (nivel adecuado)" numFmtId="0">
      <sharedItems containsSemiMixedTypes="0" containsString="0" containsNumber="1" containsInteger="1" minValue="12" maxValue="20"/>
    </cacheField>
    <cacheField name="Feedback - Metodología (nivel adecuado)" numFmtId="0">
      <sharedItems containsNonDate="0" containsString="0" containsBlank="1"/>
    </cacheField>
    <cacheField name="Resultados y evidencia " numFmtId="0">
      <sharedItems/>
    </cacheField>
    <cacheField name="Points - Resultados y evidencia " numFmtId="0">
      <sharedItems containsSemiMixedTypes="0" containsString="0" containsNumber="1" containsInteger="1" minValue="12" maxValue="20"/>
    </cacheField>
    <cacheField name="Feedback - Resultados y evidencia " numFmtId="0">
      <sharedItems containsNonDate="0" containsString="0" containsBlank="1"/>
    </cacheField>
    <cacheField name="Coherencia y manejo del tiempo" numFmtId="0">
      <sharedItems/>
    </cacheField>
    <cacheField name="Points - Coherencia y manejo del tiempo" numFmtId="0">
      <sharedItems containsSemiMixedTypes="0" containsString="0" containsNumber="1" containsInteger="1" minValue="2" maxValue="10"/>
    </cacheField>
    <cacheField name="Feedback - Coherencia y manejo del tiempo" numFmtId="0">
      <sharedItems containsNonDate="0" containsString="0" containsBlank="1"/>
    </cacheField>
    <cacheField name="Diapositivas como apoyo" numFmtId="0">
      <sharedItems/>
    </cacheField>
    <cacheField name="Points - Diapositivas como apoyo" numFmtId="0">
      <sharedItems containsSemiMixedTypes="0" containsString="0" containsNumber="1" containsInteger="1" minValue="6" maxValue="10"/>
    </cacheField>
    <cacheField name="Feedback - Diapositivas como apoyo" numFmtId="0">
      <sharedItems containsNonDate="0" containsString="0" containsBlank="1"/>
    </cacheField>
    <cacheField name="Respuestas a preguntas" numFmtId="0">
      <sharedItems/>
    </cacheField>
    <cacheField name="Points - Respuestas a preguntas" numFmtId="0">
      <sharedItems containsSemiMixedTypes="0" containsString="0" containsNumber="1" containsInteger="1" minValue="2" maxValue="10"/>
    </cacheField>
    <cacheField name="Feedback - Respuestas a preguntas" numFmtId="0">
      <sharedItems containsNonDate="0" containsString="0" containsBlank="1"/>
    </cacheField>
    <cacheField name="Cierre: aporte a próximos pasos" numFmtId="0">
      <sharedItems/>
    </cacheField>
    <cacheField name="Points - Cierre: aporte a próximos pasos" numFmtId="0">
      <sharedItems containsSemiMixedTypes="0" containsString="0" containsNumber="1" containsInteger="1" minValue="2" maxValue="10"/>
    </cacheField>
    <cacheField name="Feedback - Cierre: aporte a próximos pasos" numFmtId="0">
      <sharedItems containsNonDate="0" containsString="0" containsBlank="1"/>
    </cacheField>
    <cacheField name="PUNTAJE APERTURA" numFmtId="49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n v="1"/>
    <d v="2026-04-21T07:40:55"/>
    <d v="2026-04-21T08:53:53"/>
    <s v="patricio.ponce.herrera@udla.edu.ec"/>
    <s v="Patricio David Ponce Herrera"/>
    <m/>
    <m/>
    <m/>
    <s v="Martes 21 "/>
    <n v="0"/>
    <m/>
    <s v="Patricio David Ponce"/>
    <s v="Patricio David PonceSolano De La Sala Aldas Paúl Fernando"/>
    <m/>
    <x v="0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"/>
    <d v="2026-04-21T08:58:22"/>
    <d v="2026-04-21T09:03:17"/>
    <s v="bernarda.sandoval@udla.edu.ec"/>
    <s v="Bernarda Cecibel Sandoval"/>
    <m/>
    <m/>
    <m/>
    <s v="Martes 21 "/>
    <n v="0"/>
    <m/>
    <s v="Bernarda Sandoval Romo"/>
    <s v="Bernarda Sandoval RomoRojas González María Fernanda"/>
    <m/>
    <x v="1"/>
    <n v="0"/>
    <m/>
    <s v="Excelente (20 puntos)"/>
    <n v="20"/>
    <m/>
    <s v="Excelente (20 puntos)"/>
    <n v="20"/>
    <m/>
    <s v="Muy bueno (16 puntos)"/>
    <n v="16"/>
    <m/>
    <s v="Excelente (10 puntos)"/>
    <n v="10"/>
    <m/>
    <s v="Excelente (10 puntos)"/>
    <n v="10"/>
    <m/>
    <s v="Excelente (10 puntos)"/>
    <n v="10"/>
    <m/>
    <s v="Muy bueno (8 puntos)"/>
    <n v="8"/>
    <m/>
    <m/>
  </r>
  <r>
    <n v="3"/>
    <d v="2026-04-21T09:03:20"/>
    <d v="2026-04-21T09:04:49"/>
    <s v="bernarda.sandoval@udla.edu.ec"/>
    <s v="Bernarda Cecibel Sandoval"/>
    <m/>
    <m/>
    <m/>
    <s v="Martes 21 "/>
    <n v="0"/>
    <m/>
    <s v="Bernarda Sandoval Romo"/>
    <s v="Bernarda Sandoval RomoGarate Pazmiño Víctor Adrián"/>
    <m/>
    <x v="2"/>
    <n v="0"/>
    <m/>
    <s v="Excelente (20 puntos)"/>
    <n v="20"/>
    <m/>
    <s v="Excelente (20 puntos)"/>
    <n v="20"/>
    <m/>
    <s v="Muy bueno (16 puntos)"/>
    <n v="16"/>
    <m/>
    <s v="Excelente (10 puntos)"/>
    <n v="10"/>
    <m/>
    <s v="Excelente (10 puntos)"/>
    <n v="10"/>
    <m/>
    <s v="Excelente (10 puntos)"/>
    <n v="10"/>
    <m/>
    <s v="Muy bueno (8 puntos)"/>
    <n v="8"/>
    <m/>
    <m/>
  </r>
  <r>
    <n v="4"/>
    <d v="2026-04-21T09:04:52"/>
    <d v="2026-04-21T09:06:03"/>
    <s v="bernarda.sandoval@udla.edu.ec"/>
    <s v="Bernarda Cecibel Sandoval"/>
    <m/>
    <m/>
    <m/>
    <s v="Martes 21 "/>
    <n v="0"/>
    <m/>
    <s v="Bernarda Sandoval Romo"/>
    <s v="Bernarda Sandoval RomoRueda Bravo Erick Josué"/>
    <m/>
    <x v="3"/>
    <n v="0"/>
    <m/>
    <s v="Excelente (20 puntos)"/>
    <n v="20"/>
    <m/>
    <s v="Excelente (20 puntos)"/>
    <n v="20"/>
    <m/>
    <s v="Muy bueno (16 puntos)"/>
    <n v="16"/>
    <m/>
    <s v="Excelente (10 puntos)"/>
    <n v="10"/>
    <m/>
    <s v="Excelente (10 puntos)"/>
    <n v="10"/>
    <m/>
    <s v="Excelente (10 puntos)"/>
    <n v="10"/>
    <m/>
    <s v="Muy bueno (8 puntos)"/>
    <n v="8"/>
    <m/>
    <m/>
  </r>
  <r>
    <n v="5"/>
    <d v="2026-04-21T09:12:00"/>
    <d v="2026-04-21T09:13:46"/>
    <s v="marco.galarza@udla.edu.ec"/>
    <s v="Marco Galarza"/>
    <m/>
    <m/>
    <m/>
    <s v="Martes 21 "/>
    <n v="0"/>
    <m/>
    <s v="Marco Antonio Galarza Castillo"/>
    <s v="Marco Antonio Galarza CastilloCalderón Tuárez Diana Alejandra"/>
    <m/>
    <x v="4"/>
    <n v="0"/>
    <m/>
    <s v="Excelente (20 puntos)"/>
    <n v="20"/>
    <m/>
    <s v="Excelente (20 puntos)"/>
    <n v="20"/>
    <m/>
    <s v="Excelente (20 puntos)"/>
    <n v="20"/>
    <m/>
    <s v="Muy bueno (8 puntos)"/>
    <n v="8"/>
    <m/>
    <s v="Excelente (10 puntos)"/>
    <n v="10"/>
    <m/>
    <s v="Muy bueno (8 puntos)"/>
    <n v="8"/>
    <m/>
    <s v="Excelente (10 puntos)"/>
    <n v="10"/>
    <m/>
    <m/>
  </r>
  <r>
    <n v="6"/>
    <d v="2026-04-21T09:13:48"/>
    <d v="2026-04-21T09:14:33"/>
    <s v="marco.galarza@udla.edu.ec"/>
    <s v="Marco Galarza"/>
    <m/>
    <m/>
    <m/>
    <s v="Martes 21 "/>
    <n v="0"/>
    <m/>
    <s v="Marco Antonio Galarza Castillo"/>
    <s v="Marco Antonio Galarza CastilloMartínez Porte Carlos Sebastián"/>
    <m/>
    <x v="5"/>
    <n v="0"/>
    <m/>
    <s v="Excelente (20 puntos)"/>
    <n v="20"/>
    <m/>
    <s v="Excelente (20 puntos)"/>
    <n v="20"/>
    <m/>
    <s v="Excelente (20 puntos)"/>
    <n v="20"/>
    <m/>
    <s v="Muy bueno (8 puntos)"/>
    <n v="8"/>
    <m/>
    <s v="Excelente (10 puntos)"/>
    <n v="10"/>
    <m/>
    <s v="Muy bueno (8 puntos)"/>
    <n v="8"/>
    <m/>
    <s v="Excelente (10 puntos)"/>
    <n v="10"/>
    <m/>
    <m/>
  </r>
  <r>
    <n v="7"/>
    <d v="2026-04-21T09:14:35"/>
    <d v="2026-04-21T09:15:09"/>
    <s v="marco.galarza@udla.edu.ec"/>
    <s v="Marco Galarza"/>
    <m/>
    <m/>
    <m/>
    <s v="Martes 21 "/>
    <n v="0"/>
    <m/>
    <s v="Marco Antonio Galarza Castillo"/>
    <s v="Marco Antonio Galarza CastilloSolano De La Sala Aldas Paúl Fernando"/>
    <m/>
    <x v="0"/>
    <n v="0"/>
    <m/>
    <s v="Excelente (20 puntos)"/>
    <n v="20"/>
    <m/>
    <s v="Excelente (20 puntos)"/>
    <n v="20"/>
    <m/>
    <s v="Excelente (20 puntos)"/>
    <n v="20"/>
    <m/>
    <s v="Muy bueno (8 puntos)"/>
    <n v="8"/>
    <m/>
    <s v="Excelente (10 puntos)"/>
    <n v="10"/>
    <m/>
    <s v="Excelente (10 puntos)"/>
    <n v="10"/>
    <m/>
    <s v="Excelente (10 puntos)"/>
    <n v="10"/>
    <m/>
    <m/>
  </r>
  <r>
    <n v="8"/>
    <d v="2026-04-21T09:01:54"/>
    <d v="2026-04-21T09:32:16"/>
    <s v="santiago.solorzano@udla.edu.ec"/>
    <s v="Santiago Leonardo Solórzano"/>
    <m/>
    <m/>
    <m/>
    <s v="Martes 21 "/>
    <n v="0"/>
    <m/>
    <s v="Santiago Leonardo Solórzano"/>
    <s v="Santiago Leonardo SolórzanoVinueza Torres Luis Fernando"/>
    <m/>
    <x v="6"/>
    <n v="0"/>
    <m/>
    <s v="Excelente (20 puntos)"/>
    <n v="20"/>
    <m/>
    <s v="Excelente (20 puntos)"/>
    <n v="20"/>
    <m/>
    <s v="Excelente (20 puntos)"/>
    <n v="20"/>
    <m/>
    <s v="Muy bueno (8 puntos)"/>
    <n v="8"/>
    <m/>
    <s v="Muy bueno (8 puntos)"/>
    <n v="8"/>
    <m/>
    <s v="Muy bueno (8 puntos)"/>
    <n v="8"/>
    <m/>
    <s v="Excelente (10 puntos)"/>
    <n v="10"/>
    <m/>
    <m/>
  </r>
  <r>
    <n v="9"/>
    <d v="2026-04-21T00:02:48"/>
    <d v="2026-04-21T09:32:20"/>
    <s v="santiago.solorzano@udla.edu.ec"/>
    <s v="Santiago Leonardo Solórzano"/>
    <m/>
    <m/>
    <m/>
    <s v="Martes 21 "/>
    <n v="0"/>
    <m/>
    <s v="Santiago Leonardo Solórzano"/>
    <s v="Santiago Leonardo SolórzanoRedin Muñoz Juan Sebastián"/>
    <m/>
    <x v="7"/>
    <n v="0"/>
    <m/>
    <s v="Excelente (20 puntos)"/>
    <n v="20"/>
    <m/>
    <s v="Excelente (20 puntos)"/>
    <n v="20"/>
    <m/>
    <s v="Excelente (20 puntos)"/>
    <n v="20"/>
    <m/>
    <s v="Muy bueno (8 puntos)"/>
    <n v="8"/>
    <m/>
    <s v="Muy bueno (8 puntos)"/>
    <n v="8"/>
    <m/>
    <s v="Muy bueno (8 puntos)"/>
    <n v="8"/>
    <m/>
    <s v="Excelente (10 puntos)"/>
    <n v="10"/>
    <m/>
    <m/>
  </r>
  <r>
    <n v="10"/>
    <d v="2026-04-21T09:15:12"/>
    <d v="2026-04-21T09:35:35"/>
    <s v="marco.galarza@udla.edu.ec"/>
    <s v="Marco Galarza"/>
    <m/>
    <m/>
    <m/>
    <s v="Martes 21 "/>
    <n v="0"/>
    <m/>
    <s v="Marco Antonio Galarza Castillo"/>
    <s v="Marco Antonio Galarza CastilloFernández Lazcano María José"/>
    <m/>
    <x v="8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11"/>
    <d v="2026-04-21T09:35:37"/>
    <d v="2026-04-21T09:36:04"/>
    <s v="marco.galarza@udla.edu.ec"/>
    <s v="Marco Galarza"/>
    <m/>
    <m/>
    <m/>
    <s v="Martes 21 "/>
    <n v="0"/>
    <m/>
    <s v="Marco Antonio Galarza Castillo"/>
    <s v="Marco Antonio Galarza CastilloSacoto Macías Alicia Fernanda"/>
    <m/>
    <x v="9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12"/>
    <d v="2026-04-21T09:36:06"/>
    <d v="2026-04-21T09:36:38"/>
    <s v="marco.galarza@udla.edu.ec"/>
    <s v="Marco Galarza"/>
    <m/>
    <m/>
    <m/>
    <s v="Martes 21 "/>
    <n v="0"/>
    <m/>
    <s v="Marco Antonio Galarza Castillo"/>
    <s v="Marco Antonio Galarza CastilloZaldumbide Egas Ana Cristina"/>
    <m/>
    <x v="10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13"/>
    <d v="2026-04-21T09:36:01"/>
    <d v="2026-04-21T09:40:12"/>
    <s v="hugo.chimbo@udla.edu.ec"/>
    <s v="Hugo Fernando Chimbo Acosta"/>
    <m/>
    <m/>
    <m/>
    <s v="Miércoles 22"/>
    <n v="0"/>
    <m/>
    <s v="Hugo Fernando Chimbo Acosta"/>
    <s v="Hugo Fernando Chimbo AcostaRedin Muñoz Juan Sebastián"/>
    <m/>
    <x v="7"/>
    <n v="0"/>
    <m/>
    <s v="Excelente (20 puntos)"/>
    <n v="20"/>
    <m/>
    <s v="Muy bueno (16 puntos)"/>
    <n v="16"/>
    <m/>
    <s v="Excelente (20 puntos)"/>
    <n v="20"/>
    <m/>
    <s v="Muy bueno (8 puntos)"/>
    <n v="8"/>
    <m/>
    <s v="Excelente (10 puntos)"/>
    <n v="10"/>
    <m/>
    <s v="Muy bueno (8 puntos)"/>
    <n v="8"/>
    <m/>
    <s v="Excelente (10 puntos)"/>
    <n v="10"/>
    <m/>
    <m/>
  </r>
  <r>
    <n v="14"/>
    <d v="2026-04-21T09:40:19"/>
    <d v="2026-04-21T09:42:53"/>
    <s v="hugo.chimbo@udla.edu.ec"/>
    <s v="Hugo Fernando Chimbo Acosta"/>
    <m/>
    <m/>
    <m/>
    <s v="Martes 21 "/>
    <n v="0"/>
    <m/>
    <s v="Hugo Fernando Chimbo Acosta"/>
    <s v="Hugo Fernando Chimbo AcostaVinueza Torres Luis Fernando"/>
    <m/>
    <x v="6"/>
    <n v="0"/>
    <m/>
    <s v="Excelente (20 puntos)"/>
    <n v="20"/>
    <m/>
    <s v="Excelente (20 puntos)"/>
    <n v="20"/>
    <m/>
    <s v="Excelente (20 puntos)"/>
    <n v="20"/>
    <m/>
    <s v="Muy bueno (8 puntos)"/>
    <n v="8"/>
    <m/>
    <s v="Excelente (10 puntos)"/>
    <n v="10"/>
    <m/>
    <s v="Muy bueno (8 puntos)"/>
    <n v="8"/>
    <m/>
    <s v="Excelente (10 puntos)"/>
    <n v="10"/>
    <m/>
    <m/>
  </r>
  <r>
    <n v="15"/>
    <d v="2026-04-21T09:33:40"/>
    <d v="2026-04-21T09:46:39"/>
    <s v="ana.tulcanaza@udla.edu.ec"/>
    <s v="Ana Belen Tulcanaza"/>
    <m/>
    <m/>
    <m/>
    <s v="Martes 21 "/>
    <n v="0"/>
    <m/>
    <s v="Ana Belén Tulcanaza Prieto"/>
    <s v="Ana Belén Tulcanaza PrietoToapanta Sandoval Nicole Germania"/>
    <m/>
    <x v="11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Muy bueno (8 puntos)"/>
    <n v="8"/>
    <m/>
    <m/>
  </r>
  <r>
    <n v="16"/>
    <d v="2026-04-21T09:46:48"/>
    <d v="2026-04-21T09:47:27"/>
    <s v="ana.tulcanaza@udla.edu.ec"/>
    <s v="Ana Belen Tulcanaza"/>
    <m/>
    <m/>
    <m/>
    <s v="Martes 21 "/>
    <n v="0"/>
    <m/>
    <s v="Ana Belén Tulcanaza Prieto"/>
    <s v="Ana Belén Tulcanaza PrietoPalomeque Núñez Oscar Esteban"/>
    <m/>
    <x v="12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Muy bueno (8 puntos)"/>
    <n v="8"/>
    <m/>
    <m/>
  </r>
  <r>
    <n v="17"/>
    <d v="2026-04-21T09:28:24"/>
    <d v="2026-04-21T09:56:06"/>
    <s v="edwin.garcia.aucatoma@udla.edu.ec"/>
    <s v="Edwin Garcia Aucatoma"/>
    <m/>
    <m/>
    <m/>
    <s v="Martes 21 "/>
    <n v="0"/>
    <m/>
    <s v="Edwin García Aucatoma"/>
    <s v="Edwin García AucatomaPalomeque Núñez Oscar Esteban"/>
    <m/>
    <x v="12"/>
    <n v="0"/>
    <m/>
    <s v="Muy bueno (16 puntos)"/>
    <n v="16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Muy bueno (8 puntos)"/>
    <n v="8"/>
    <m/>
    <m/>
  </r>
  <r>
    <n v="18"/>
    <d v="2026-04-21T09:32:56"/>
    <d v="2026-04-21T09:56:38"/>
    <s v="edwin.garcia.aucatoma@udla.edu.ec"/>
    <s v="Edwin Garcia Aucatoma"/>
    <m/>
    <m/>
    <m/>
    <s v="Martes 21 "/>
    <n v="0"/>
    <m/>
    <s v="Edwin García Aucatoma"/>
    <s v="Edwin García AucatomaToapanta Sandoval Nicole Germania"/>
    <m/>
    <x v="11"/>
    <n v="0"/>
    <m/>
    <s v="Muy bueno (16 puntos)"/>
    <n v="16"/>
    <m/>
    <s v="Excelente (20 puntos)"/>
    <n v="20"/>
    <m/>
    <s v="Muy bueno (16 puntos)"/>
    <n v="16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19"/>
    <d v="2026-04-21T10:14:45"/>
    <d v="2026-04-21T10:19:56"/>
    <s v="ana.tulcanaza@udla.edu.ec"/>
    <s v="Ana Belen Tulcanaza"/>
    <m/>
    <m/>
    <m/>
    <s v="Martes 21 "/>
    <n v="0"/>
    <m/>
    <s v="Ana Belén Tulcanaza Prieto"/>
    <s v="Ana Belén Tulcanaza PrietoVintimilla Silva Thyara Mikaela"/>
    <m/>
    <x v="13"/>
    <n v="0"/>
    <m/>
    <s v="Excelente (20 puntos)"/>
    <n v="20"/>
    <m/>
    <s v="Excelente (20 puntos)"/>
    <n v="20"/>
    <m/>
    <s v="Excelente (20 puntos)"/>
    <n v="20"/>
    <m/>
    <s v="Muy bueno (8 puntos)"/>
    <n v="8"/>
    <m/>
    <s v="Excelente (10 puntos)"/>
    <n v="10"/>
    <m/>
    <s v="Excelente (10 puntos)"/>
    <n v="10"/>
    <m/>
    <s v="Muy bueno (8 puntos)"/>
    <n v="8"/>
    <m/>
    <m/>
  </r>
  <r>
    <n v="20"/>
    <d v="2026-04-21T10:18:41"/>
    <d v="2026-04-21T10:20:05"/>
    <s v="cesar.larrea@udla.edu.ec"/>
    <s v="César Alberto Larrea Araujo"/>
    <m/>
    <m/>
    <m/>
    <s v="Martes 21 "/>
    <n v="0"/>
    <m/>
    <s v="César Alberto Larrea Araujo"/>
    <s v="César Alberto Larrea AraujoZapata Espinosa María Fernanda"/>
    <m/>
    <x v="14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1"/>
    <d v="2026-04-21T10:20:04"/>
    <d v="2026-04-21T10:20:46"/>
    <s v="ana.tulcanaza@udla.edu.ec"/>
    <s v="Ana Belen Tulcanaza"/>
    <m/>
    <m/>
    <m/>
    <s v="Martes 21 "/>
    <n v="0"/>
    <m/>
    <s v="Ana Belén Tulcanaza Prieto"/>
    <s v="Ana Belén Tulcanaza PrietoNarváez Torres Christian Ariel"/>
    <m/>
    <x v="15"/>
    <n v="0"/>
    <m/>
    <s v="Excelente (20 puntos)"/>
    <n v="20"/>
    <m/>
    <s v="Excelente (20 puntos)"/>
    <n v="20"/>
    <m/>
    <s v="Excelente (20 puntos)"/>
    <n v="20"/>
    <m/>
    <s v="Muy bueno (8 puntos)"/>
    <n v="8"/>
    <m/>
    <s v="Excelente (10 puntos)"/>
    <n v="10"/>
    <m/>
    <s v="Excelente (10 puntos)"/>
    <n v="10"/>
    <m/>
    <s v="Muy bueno (8 puntos)"/>
    <n v="8"/>
    <m/>
    <m/>
  </r>
  <r>
    <n v="22"/>
    <d v="2026-04-21T10:20:08"/>
    <d v="2026-04-21T10:21:26"/>
    <s v="cesar.larrea@udla.edu.ec"/>
    <s v="César Alberto Larrea Araujo"/>
    <m/>
    <m/>
    <m/>
    <s v="Martes 21 "/>
    <n v="0"/>
    <m/>
    <s v="César Alberto Larrea Araujo"/>
    <s v="César Alberto Larrea AraujoFlores Perez Dayana Liseth"/>
    <m/>
    <x v="16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Bueno (6 puntos)"/>
    <n v="6"/>
    <m/>
    <s v="Excelente (10 puntos)"/>
    <n v="10"/>
    <m/>
    <m/>
  </r>
  <r>
    <n v="23"/>
    <d v="2026-04-21T10:21:29"/>
    <d v="2026-04-21T10:23:26"/>
    <s v="cesar.larrea@udla.edu.ec"/>
    <s v="César Alberto Larrea Araujo"/>
    <m/>
    <m/>
    <m/>
    <s v="Martes 21 "/>
    <n v="0"/>
    <m/>
    <s v="César Alberto Larrea Araujo"/>
    <s v="César Alberto Larrea AraujoOrtega Calderon Ricardo Antonio"/>
    <m/>
    <x v="17"/>
    <n v="0"/>
    <m/>
    <s v="Regular (8 puntos)"/>
    <n v="8"/>
    <m/>
    <s v="Muy bueno (16 puntos)"/>
    <n v="16"/>
    <m/>
    <s v="Muy bueno (16 puntos)"/>
    <n v="16"/>
    <m/>
    <s v="Bueno (6 puntos)"/>
    <n v="6"/>
    <m/>
    <s v="Excelente (10 puntos)"/>
    <n v="10"/>
    <m/>
    <s v="Insuficiente (2 puntos)"/>
    <n v="2"/>
    <m/>
    <s v="Muy bueno (8 puntos)"/>
    <n v="8"/>
    <m/>
    <m/>
  </r>
  <r>
    <n v="24"/>
    <d v="2026-04-21T10:24:20"/>
    <d v="2026-04-21T10:25:13"/>
    <s v="anamaria.pazmino@udla.edu.ec"/>
    <s v="Ana María Pazmiño Delgado"/>
    <m/>
    <m/>
    <m/>
    <s v="Martes 21 "/>
    <n v="0"/>
    <m/>
    <s v="Ana María Pazmiño Delgado"/>
    <s v="Ana María Pazmiño DelgadoDiaz Priscila Soledad"/>
    <m/>
    <x v="18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5"/>
    <d v="2026-04-21T09:58:43"/>
    <d v="2026-04-21T10:25:39"/>
    <s v="jessica.guevara.zambrano@udla.edu.ec"/>
    <s v="Jessica Maria Guevara Zambrano"/>
    <m/>
    <m/>
    <m/>
    <s v="Martes 21 "/>
    <n v="0"/>
    <m/>
    <s v="Jessica Maria Guevara Zambrano"/>
    <s v="Jessica Maria Guevara ZambranoHaro Ortega Kasandra Guadalupe"/>
    <m/>
    <x v="19"/>
    <n v="0"/>
    <m/>
    <s v="Muy bueno (16 puntos)"/>
    <n v="16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6"/>
    <d v="2026-04-21T10:25:15"/>
    <d v="2026-04-21T10:25:53"/>
    <s v="anamaria.pazmino@udla.edu.ec"/>
    <s v="Ana María Pazmiño Delgado"/>
    <m/>
    <m/>
    <m/>
    <s v="Martes 21 "/>
    <n v="0"/>
    <m/>
    <s v="Ana María Pazmiño Delgado"/>
    <s v="Ana María Pazmiño DelgadoHaro Ortega Kasandra Guadalupe"/>
    <m/>
    <x v="19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7"/>
    <d v="2026-04-21T08:54:18"/>
    <d v="2026-04-21T10:26:16"/>
    <s v="patricio.ponce.herrera@udla.edu.ec"/>
    <s v="Patricio David Ponce Herrera"/>
    <m/>
    <m/>
    <m/>
    <s v="Martes 21 "/>
    <n v="0"/>
    <m/>
    <s v="Patricio David Ponce"/>
    <s v="Patricio David PonceDiaz Priscila Soledad"/>
    <m/>
    <x v="18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8"/>
    <d v="2026-04-21T10:25:43"/>
    <d v="2026-04-21T10:26:26"/>
    <s v="jessica.guevara.zambrano@udla.edu.ec"/>
    <s v="Jessica Maria Guevara Zambrano"/>
    <m/>
    <m/>
    <m/>
    <s v="Martes 21 "/>
    <n v="0"/>
    <m/>
    <s v="Jessica Maria Guevara Zambrano"/>
    <s v="Jessica Maria Guevara ZambranoDiaz Priscila Soledad"/>
    <m/>
    <x v="18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9"/>
    <d v="2026-04-21T09:32:25"/>
    <d v="2026-04-21T10:26:44"/>
    <s v="santiago.solorzano@udla.edu.ec"/>
    <s v="Santiago Leonardo Solórzano"/>
    <m/>
    <m/>
    <m/>
    <s v="Martes 21 "/>
    <n v="0"/>
    <m/>
    <s v="Santiago Leonardo Solórzano"/>
    <s v="Santiago Leonardo SolórzanoNarváez Torres Christian Ariel"/>
    <m/>
    <x v="15"/>
    <n v="0"/>
    <m/>
    <s v="Excelente (20 puntos)"/>
    <n v="20"/>
    <m/>
    <s v="Excelente (20 puntos)"/>
    <n v="20"/>
    <m/>
    <s v="Excelente (20 puntos)"/>
    <n v="20"/>
    <m/>
    <s v="Muy bueno (8 puntos)"/>
    <n v="8"/>
    <m/>
    <s v="Muy bueno (8 puntos)"/>
    <n v="8"/>
    <m/>
    <s v="Excelente (10 puntos)"/>
    <n v="10"/>
    <m/>
    <s v="Excelente (10 puntos)"/>
    <n v="10"/>
    <m/>
    <m/>
  </r>
  <r>
    <n v="30"/>
    <d v="2026-04-21T10:26:21"/>
    <d v="2026-04-21T10:26:57"/>
    <s v="patricio.ponce.herrera@udla.edu.ec"/>
    <s v="Patricio David Ponce Herrera"/>
    <m/>
    <m/>
    <m/>
    <s v="Martes 21 "/>
    <n v="0"/>
    <m/>
    <s v="Patricio David Ponce"/>
    <s v="Patricio David PonceHaro Ortega Kasandra Guadalupe"/>
    <m/>
    <x v="19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1"/>
    <d v="2026-04-21T09:59:00"/>
    <d v="2026-04-21T10:27:19"/>
    <s v="santiago.solorzano@udla.edu.ec"/>
    <s v="Santiago Leonardo Solórzano"/>
    <m/>
    <m/>
    <m/>
    <s v="Martes 21 "/>
    <n v="0"/>
    <m/>
    <s v="Santiago Leonardo Solórzano"/>
    <s v="Santiago Leonardo SolórzanoVintimilla Silva Thyara Mikaela"/>
    <m/>
    <x v="13"/>
    <n v="0"/>
    <m/>
    <s v="Excelente (20 puntos)"/>
    <n v="20"/>
    <m/>
    <s v="Excelente (20 puntos)"/>
    <n v="20"/>
    <m/>
    <s v="Excelente (20 puntos)"/>
    <n v="20"/>
    <m/>
    <s v="Muy bueno (8 puntos)"/>
    <n v="8"/>
    <m/>
    <s v="Muy bueno (8 puntos)"/>
    <n v="8"/>
    <m/>
    <s v="Excelente (10 puntos)"/>
    <n v="10"/>
    <m/>
    <s v="Excelente (10 puntos)"/>
    <n v="10"/>
    <m/>
    <m/>
  </r>
  <r>
    <n v="32"/>
    <d v="2026-04-21T10:25:56"/>
    <d v="2026-04-21T10:31:28"/>
    <s v="anamaria.pazmino@udla.edu.ec"/>
    <s v="Ana María Pazmiño Delgado"/>
    <m/>
    <m/>
    <m/>
    <s v="Martes 21 "/>
    <n v="0"/>
    <m/>
    <s v="Ana María Pazmiño Delgado"/>
    <s v="Ana María Pazmiño DelgadoFernández Lazcano María José"/>
    <m/>
    <x v="8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3"/>
    <d v="2026-04-21T10:31:30"/>
    <d v="2026-04-21T10:32:24"/>
    <s v="anamaria.pazmino@udla.edu.ec"/>
    <s v="Ana María Pazmiño Delgado"/>
    <m/>
    <m/>
    <m/>
    <s v="Martes 21 "/>
    <n v="0"/>
    <m/>
    <s v="Ana María Pazmiño Delgado"/>
    <s v="Ana María Pazmiño DelgadoSacoto Macías Alicia Fernanda"/>
    <m/>
    <x v="9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4"/>
    <d v="2026-04-21T10:32:25"/>
    <d v="2026-04-21T10:32:55"/>
    <s v="anamaria.pazmino@udla.edu.ec"/>
    <s v="Ana María Pazmiño Delgado"/>
    <m/>
    <m/>
    <m/>
    <s v="Martes 21 "/>
    <n v="0"/>
    <m/>
    <s v="Ana María Pazmiño Delgado"/>
    <s v="Ana María Pazmiño DelgadoZaldumbide Egas Ana Cristina"/>
    <m/>
    <x v="10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5"/>
    <d v="2026-04-21T10:02:42"/>
    <d v="2026-04-21T10:33:25"/>
    <s v="edwin.garcia.aucatoma@udla.edu.ec"/>
    <s v="Edwin Garcia Aucatoma"/>
    <m/>
    <m/>
    <m/>
    <s v="Martes 21 "/>
    <n v="0"/>
    <m/>
    <s v="Edwin García Aucatoma"/>
    <s v="Edwin García AucatomaNarváez Torres Christian Ariel"/>
    <m/>
    <x v="15"/>
    <n v="0"/>
    <m/>
    <s v="Muy bueno (16 puntos)"/>
    <n v="16"/>
    <m/>
    <s v="Excelente (20 puntos)"/>
    <n v="20"/>
    <m/>
    <s v="Muy bueno (16 puntos)"/>
    <n v="16"/>
    <m/>
    <s v="Muy bueno (8 puntos)"/>
    <n v="8"/>
    <m/>
    <s v="Excelente (10 puntos)"/>
    <n v="10"/>
    <m/>
    <s v="Excelente (10 puntos)"/>
    <n v="10"/>
    <m/>
    <s v="Muy bueno (8 puntos)"/>
    <n v="8"/>
    <m/>
    <m/>
  </r>
  <r>
    <n v="36"/>
    <d v="2026-04-21T09:58:29"/>
    <d v="2026-04-21T10:33:27"/>
    <s v="edwin.garcia.aucatoma@udla.edu.ec"/>
    <s v="Edwin Garcia Aucatoma"/>
    <m/>
    <m/>
    <m/>
    <s v="Martes 21 "/>
    <n v="0"/>
    <m/>
    <s v="Edwin García Aucatoma"/>
    <s v="Edwin García AucatomaVintimilla Silva Thyara Mikaela"/>
    <m/>
    <x v="13"/>
    <n v="0"/>
    <m/>
    <s v="Muy bueno (16 puntos)"/>
    <n v="16"/>
    <m/>
    <s v="Excelente (20 puntos)"/>
    <n v="20"/>
    <m/>
    <s v="Muy bueno (16 puntos)"/>
    <n v="16"/>
    <m/>
    <s v="Muy bueno (8 puntos)"/>
    <n v="8"/>
    <m/>
    <s v="Excelente (10 puntos)"/>
    <n v="10"/>
    <m/>
    <s v="Excelente (10 puntos)"/>
    <n v="10"/>
    <m/>
    <s v="Muy bueno (8 puntos)"/>
    <n v="8"/>
    <m/>
    <m/>
  </r>
  <r>
    <n v="37"/>
    <d v="2026-04-21T10:32:15"/>
    <d v="2026-04-21T10:33:32"/>
    <s v="patricia.acosta@udla.edu.ec"/>
    <s v="Patricia Acosta"/>
    <m/>
    <m/>
    <m/>
    <s v="Martes 21 "/>
    <n v="0"/>
    <m/>
    <s v="Nelly Patricia Acosta Vargas"/>
    <s v="Nelly Patricia Acosta VargasHerrera Ávila Boris Mateo"/>
    <m/>
    <x v="20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8"/>
    <d v="2026-04-21T09:29:26"/>
    <d v="2026-04-21T10:37:02"/>
    <s v="victor.gomez@udla.edu.ec"/>
    <s v="Victor Gomez Regalado"/>
    <m/>
    <m/>
    <m/>
    <s v="Martes 21 "/>
    <n v="0"/>
    <m/>
    <s v="Víctor Javier Gómez Regalado"/>
    <s v="Víctor Javier Gómez RegaladoRojas González María Fernanda"/>
    <m/>
    <x v="1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Muy bueno (8 puntos)"/>
    <n v="8"/>
    <m/>
    <m/>
  </r>
  <r>
    <n v="39"/>
    <d v="2026-04-21T10:37:10"/>
    <d v="2026-04-21T10:45:51"/>
    <s v="victor.gomez@udla.edu.ec"/>
    <s v="Victor Gomez Regalado"/>
    <m/>
    <m/>
    <m/>
    <s v="Martes 21 "/>
    <n v="0"/>
    <m/>
    <s v="Víctor Javier Gómez Regalado"/>
    <s v="Víctor Javier Gómez RegaladoRueda Bravo Erick Josué"/>
    <m/>
    <x v="3"/>
    <n v="0"/>
    <m/>
    <s v="Excelente (20 puntos)"/>
    <n v="20"/>
    <m/>
    <s v="Muy bueno (16 puntos)"/>
    <n v="16"/>
    <m/>
    <s v="Excelente (20 puntos)"/>
    <n v="20"/>
    <m/>
    <s v="Muy bueno (8 puntos)"/>
    <n v="8"/>
    <m/>
    <s v="Muy bueno (8 puntos)"/>
    <n v="8"/>
    <m/>
    <s v="Excelente (10 puntos)"/>
    <n v="10"/>
    <m/>
    <s v="Muy bueno (8 puntos)"/>
    <n v="8"/>
    <m/>
    <m/>
  </r>
  <r>
    <n v="40"/>
    <d v="2026-04-21T10:45:54"/>
    <d v="2026-04-21T10:47:37"/>
    <s v="victor.gomez@udla.edu.ec"/>
    <s v="Victor Gomez Regalado"/>
    <m/>
    <m/>
    <m/>
    <s v="Martes 21 "/>
    <n v="0"/>
    <m/>
    <s v="Víctor Javier Gómez Regalado"/>
    <s v="Víctor Javier Gómez RegaladoGarate Pazmiño Víctor Adrián"/>
    <m/>
    <x v="2"/>
    <n v="0"/>
    <m/>
    <s v="Excelente (20 puntos)"/>
    <n v="20"/>
    <m/>
    <s v="Excelente (20 puntos)"/>
    <n v="20"/>
    <m/>
    <s v="Excelente (20 puntos)"/>
    <n v="20"/>
    <m/>
    <s v="Muy bueno (8 puntos)"/>
    <n v="8"/>
    <m/>
    <s v="Muy bueno (8 puntos)"/>
    <n v="8"/>
    <m/>
    <s v="Excelente (10 puntos)"/>
    <n v="10"/>
    <m/>
    <s v="Excelente (10 puntos)"/>
    <n v="10"/>
    <m/>
    <m/>
  </r>
  <r>
    <n v="41"/>
    <d v="2026-04-21T10:47:41"/>
    <d v="2026-04-21T10:49:10"/>
    <s v="victor.gomez@udla.edu.ec"/>
    <s v="Victor Gomez Regalado"/>
    <m/>
    <m/>
    <m/>
    <s v="Martes 21 "/>
    <n v="0"/>
    <m/>
    <s v="Víctor Javier Gómez Regalado"/>
    <s v="Víctor Javier Gómez RegaladoRedin Muñoz Juan Sebastián"/>
    <m/>
    <x v="7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2"/>
    <d v="2026-04-21T10:32:58"/>
    <d v="2026-04-21T10:49:20"/>
    <s v="anamaria.pazmino@udla.edu.ec"/>
    <s v="Ana María Pazmiño Delgado"/>
    <m/>
    <m/>
    <m/>
    <s v="Martes 21 "/>
    <n v="0"/>
    <m/>
    <s v="Ana María Pazmiño Delgado"/>
    <s v="Ana María Pazmiño DelgadoPeñaherrera Cevallos Patricio Paúl"/>
    <m/>
    <x v="21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Muy bueno (8 puntos)"/>
    <n v="8"/>
    <m/>
    <m/>
  </r>
  <r>
    <n v="43"/>
    <d v="2026-04-21T10:49:19"/>
    <d v="2026-04-21T10:50:31"/>
    <s v="victor.gomez@udla.edu.ec"/>
    <s v="Victor Gomez Regalado"/>
    <m/>
    <m/>
    <m/>
    <s v="Martes 21 "/>
    <n v="0"/>
    <m/>
    <s v="Víctor Javier Gómez Regalado"/>
    <s v="Víctor Javier Gómez RegaladoVinueza Torres Luis Fernando"/>
    <m/>
    <x v="6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4"/>
    <d v="2026-04-21T08:19:40"/>
    <d v="2026-04-21T10:55:49"/>
    <s v="christiam.garzon@udla.edu.ec"/>
    <s v="Christiam Garzón"/>
    <m/>
    <m/>
    <m/>
    <s v="Martes 21 "/>
    <n v="0"/>
    <m/>
    <s v="Christiam Garzón"/>
    <s v="Christiam GarzónPeñaherrera Cevallos Patricio Paúl"/>
    <m/>
    <x v="21"/>
    <n v="0"/>
    <m/>
    <s v="Excelente (20 puntos)"/>
    <n v="20"/>
    <m/>
    <s v="Muy bueno (16 puntos)"/>
    <n v="16"/>
    <m/>
    <s v="Muy bueno (16 puntos)"/>
    <n v="16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5"/>
    <d v="2026-04-21T10:26:59"/>
    <d v="2026-04-21T10:57:01"/>
    <s v="patricio.ponce.herrera@udla.edu.ec"/>
    <s v="Patricio David Ponce Herrera"/>
    <m/>
    <m/>
    <m/>
    <s v="Martes 21 "/>
    <n v="0"/>
    <m/>
    <s v="Patricio David Ponce"/>
    <s v="Patricio David PoncePeñaherrera Cevallos Patricio Paúl"/>
    <m/>
    <x v="21"/>
    <n v="0"/>
    <m/>
    <s v="Excelente (20 puntos)"/>
    <n v="20"/>
    <m/>
    <s v="Excelente (20 puntos)"/>
    <n v="20"/>
    <m/>
    <s v="Muy bueno (16 puntos)"/>
    <n v="16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6"/>
    <d v="2026-04-21T10:55:45"/>
    <d v="2026-04-21T10:57:11"/>
    <s v="mario.gonzalez.rodriguez@udla.edu.ec"/>
    <s v="Mario Salvador González"/>
    <m/>
    <m/>
    <m/>
    <s v="Martes 21 "/>
    <n v="0"/>
    <m/>
    <s v="Marco Antonio Galarza Castillo"/>
    <s v="Marco Antonio Galarza CastilloHerrera Ávila Boris Mateo"/>
    <m/>
    <x v="20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7"/>
    <d v="2026-04-21T10:50:35"/>
    <d v="2026-04-21T10:57:15"/>
    <s v="victor.gomez@udla.edu.ec"/>
    <s v="Victor Gomez Regalado"/>
    <m/>
    <m/>
    <m/>
    <s v="Martes 21 "/>
    <n v="0"/>
    <m/>
    <s v="Víctor Javier Gómez Regalado"/>
    <s v="Víctor Javier Gómez RegaladoOrtega Calderon Ricardo Antonio"/>
    <m/>
    <x v="17"/>
    <n v="0"/>
    <m/>
    <s v="Muy bueno (16 puntos)"/>
    <n v="16"/>
    <m/>
    <s v="Bueno (12 puntos)"/>
    <n v="12"/>
    <m/>
    <s v="Muy bueno (16 puntos)"/>
    <n v="16"/>
    <m/>
    <s v="Bueno (6 puntos)"/>
    <n v="6"/>
    <m/>
    <s v="Muy bueno (8 puntos)"/>
    <n v="8"/>
    <m/>
    <s v="Muy bueno (8 puntos)"/>
    <n v="8"/>
    <m/>
    <s v="Muy bueno (8 puntos)"/>
    <n v="8"/>
    <m/>
    <m/>
  </r>
  <r>
    <n v="48"/>
    <d v="2026-04-21T10:29:18"/>
    <d v="2026-04-21T10:57:49"/>
    <s v="santiago.solorzano@udla.edu.ec"/>
    <s v="Santiago Leonardo Solórzano"/>
    <m/>
    <m/>
    <m/>
    <s v="Martes 21 "/>
    <n v="0"/>
    <m/>
    <s v="Santiago Leonardo Solórzano"/>
    <s v="Santiago Leonardo SolórzanoMafla Narváez Erik David"/>
    <m/>
    <x v="22"/>
    <n v="0"/>
    <m/>
    <s v="Excelente (20 puntos)"/>
    <n v="20"/>
    <m/>
    <s v="Excelente (20 puntos)"/>
    <n v="20"/>
    <m/>
    <s v="Excelente (20 puntos)"/>
    <n v="20"/>
    <m/>
    <s v="Excelente (10 puntos)"/>
    <n v="10"/>
    <m/>
    <s v="Muy bueno (8 puntos)"/>
    <n v="8"/>
    <m/>
    <s v="Excelente (10 puntos)"/>
    <n v="10"/>
    <m/>
    <s v="Excelente (10 puntos)"/>
    <n v="10"/>
    <m/>
    <m/>
  </r>
  <r>
    <n v="49"/>
    <d v="2026-04-21T10:57:17"/>
    <d v="2026-04-21T10:58:07"/>
    <s v="victor.gomez@udla.edu.ec"/>
    <s v="Victor Gomez Regalado"/>
    <m/>
    <m/>
    <m/>
    <s v="Martes 21 "/>
    <n v="0"/>
    <m/>
    <s v="Víctor Javier Gómez Regalado"/>
    <s v="Víctor Javier Gómez RegaladoZapata Espinosa María Fernanda"/>
    <m/>
    <x v="14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50"/>
    <d v="2026-04-21T10:29:16"/>
    <d v="2026-04-21T10:58:20"/>
    <s v="santiago.solorzano@udla.edu.ec"/>
    <s v="Santiago Leonardo Solórzano"/>
    <m/>
    <m/>
    <m/>
    <s v="Martes 21 "/>
    <n v="0"/>
    <m/>
    <s v="Santiago Leonardo Solórzano"/>
    <s v="Santiago Leonardo SolórzanoGavilanes Rivera Luis Alfredo"/>
    <m/>
    <x v="23"/>
    <n v="0"/>
    <m/>
    <s v="Excelente (20 puntos)"/>
    <n v="20"/>
    <m/>
    <s v="Excelente (20 puntos)"/>
    <n v="20"/>
    <m/>
    <s v="Excelente (20 puntos)"/>
    <n v="20"/>
    <m/>
    <s v="Excelente (10 puntos)"/>
    <n v="10"/>
    <m/>
    <s v="Muy bueno (8 puntos)"/>
    <n v="8"/>
    <m/>
    <s v="Excelente (10 puntos)"/>
    <n v="10"/>
    <m/>
    <s v="Excelente (10 puntos)"/>
    <n v="10"/>
    <m/>
    <m/>
  </r>
  <r>
    <n v="51"/>
    <d v="2026-04-21T10:57:22"/>
    <d v="2026-04-21T10:58:27"/>
    <s v="mario.gonzalez.rodriguez@udla.edu.ec"/>
    <s v="Mario Salvador González"/>
    <m/>
    <m/>
    <m/>
    <s v="Martes 21 "/>
    <n v="0"/>
    <m/>
    <s v="Marco Antonio Galarza Castillo"/>
    <s v="Marco Antonio Galarza CastilloGavilanes Rivera Luis Alfredo"/>
    <m/>
    <x v="23"/>
    <n v="0"/>
    <m/>
    <s v="Excelente (20 puntos)"/>
    <n v="20"/>
    <m/>
    <s v="Muy bueno (16 puntos)"/>
    <n v="16"/>
    <m/>
    <s v="Muy bueno (16 puntos)"/>
    <n v="16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52"/>
    <d v="2026-04-21T10:58:11"/>
    <d v="2026-04-21T10:58:59"/>
    <s v="victor.gomez@udla.edu.ec"/>
    <s v="Victor Gomez Regalado"/>
    <m/>
    <m/>
    <m/>
    <s v="Martes 21 "/>
    <n v="0"/>
    <m/>
    <s v="Víctor Javier Gómez Regalado"/>
    <s v="Víctor Javier Gómez RegaladoFlores Perez Dayana Liseth"/>
    <m/>
    <x v="16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53"/>
    <d v="2026-04-21T10:58:30"/>
    <d v="2026-04-21T10:59:14"/>
    <s v="mario.gonzalez.rodriguez@udla.edu.ec"/>
    <s v="Mario Salvador González"/>
    <m/>
    <m/>
    <m/>
    <s v="Martes 21 "/>
    <n v="0"/>
    <m/>
    <s v="Marco Antonio Galarza Castillo"/>
    <s v="Marco Antonio Galarza CastilloMafla Narváez Erik David"/>
    <m/>
    <x v="22"/>
    <n v="0"/>
    <m/>
    <s v="Excelente (20 puntos)"/>
    <n v="20"/>
    <m/>
    <s v="Muy bueno (16 puntos)"/>
    <n v="16"/>
    <m/>
    <s v="Muy bueno (16 puntos)"/>
    <n v="16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54"/>
    <d v="2026-04-21T10:59:09"/>
    <d v="2026-04-21T11:01:28"/>
    <s v="victor.gomez@udla.edu.ec"/>
    <s v="Victor Gomez Regalado"/>
    <m/>
    <m/>
    <m/>
    <s v="Martes 21 "/>
    <n v="0"/>
    <m/>
    <s v="Víctor Javier Gómez Regalado"/>
    <s v="Víctor Javier Gómez RegaladoHerrera Ávila Boris Mateo"/>
    <m/>
    <x v="20"/>
    <n v="0"/>
    <m/>
    <s v="Muy bueno (16 puntos)"/>
    <n v="16"/>
    <m/>
    <s v="Muy bueno (16 puntos)"/>
    <n v="16"/>
    <m/>
    <s v="Muy bueno (16 puntos)"/>
    <n v="16"/>
    <m/>
    <s v="Muy bueno (8 puntos)"/>
    <n v="8"/>
    <m/>
    <s v="Muy bueno (8 puntos)"/>
    <n v="8"/>
    <m/>
    <s v="Muy bueno (8 puntos)"/>
    <n v="8"/>
    <m/>
    <s v="Muy bueno (8 puntos)"/>
    <n v="8"/>
    <m/>
    <m/>
  </r>
  <r>
    <n v="55"/>
    <d v="2026-04-21T10:56:19"/>
    <d v="2026-04-21T11:01:33"/>
    <s v="maria.cruz.c@udla.edu.ec"/>
    <s v="Maria Alejandra Cruz Salazar"/>
    <m/>
    <m/>
    <m/>
    <s v="Martes 21 "/>
    <n v="0"/>
    <m/>
    <s v="María Alejandra Cruz"/>
    <s v="María Alejandra CruzGavilanes Rivera Luis Alfredo"/>
    <m/>
    <x v="23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56"/>
    <d v="2026-04-21T11:02:35"/>
    <d v="2026-04-21T11:03:22"/>
    <s v="maria.cruz.c@udla.edu.ec"/>
    <s v="Maria Alejandra Cruz Salazar"/>
    <m/>
    <m/>
    <m/>
    <s v="Martes 21 "/>
    <n v="0"/>
    <m/>
    <s v="María Alejandra Cruz"/>
    <s v="María Alejandra CruzMafla Narváez Erik David"/>
    <m/>
    <x v="22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57"/>
    <d v="2026-04-21T11:22:36"/>
    <d v="2026-04-21T11:23:23"/>
    <s v="ana.tulcanaza@udla.edu.ec"/>
    <s v="Ana Belen Tulcanaza"/>
    <m/>
    <m/>
    <m/>
    <s v="Martes 21 "/>
    <n v="0"/>
    <m/>
    <s v="Ana Belén Tulcanaza Prieto"/>
    <s v="Ana Belén Tulcanaza PrietoPárraga Macías María Mercedes"/>
    <m/>
    <x v="24"/>
    <n v="0"/>
    <m/>
    <s v="Muy bueno (16 puntos)"/>
    <n v="16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Muy bueno (8 puntos)"/>
    <n v="8"/>
    <m/>
    <m/>
  </r>
  <r>
    <n v="58"/>
    <d v="2026-04-21T10:59:15"/>
    <d v="2026-04-21T11:23:31"/>
    <s v="mario.gonzalez.rodriguez@udla.edu.ec"/>
    <s v="Mario Salvador González"/>
    <m/>
    <m/>
    <m/>
    <s v="Martes 21 "/>
    <n v="0"/>
    <m/>
    <s v="Marco Antonio Galarza Castillo"/>
    <s v="Marco Antonio Galarza CastilloÁlvarez Vásquez Marcelo"/>
    <m/>
    <x v="25"/>
    <n v="0"/>
    <m/>
    <s v="Excelente (20 puntos)"/>
    <n v="20"/>
    <m/>
    <s v="Muy bueno (16 puntos)"/>
    <n v="16"/>
    <m/>
    <s v="Muy bueno (16 puntos)"/>
    <n v="16"/>
    <m/>
    <s v="Excelente (10 puntos)"/>
    <n v="10"/>
    <m/>
    <s v="Excelente (10 puntos)"/>
    <n v="10"/>
    <m/>
    <s v="Bueno (6 puntos)"/>
    <n v="6"/>
    <m/>
    <s v="Excelente (10 puntos)"/>
    <n v="10"/>
    <m/>
    <m/>
  </r>
  <r>
    <n v="59"/>
    <d v="2026-04-21T11:22:38"/>
    <d v="2026-04-21T11:24:08"/>
    <s v="ana.tulcanaza@udla.edu.ec"/>
    <s v="Ana Belen Tulcanaza"/>
    <m/>
    <m/>
    <m/>
    <s v="Martes 21 "/>
    <n v="0"/>
    <m/>
    <s v="Ana Belén Tulcanaza Prieto"/>
    <s v="Ana Belén Tulcanaza PrietoCrespo Dávila Santiago Sebastián"/>
    <m/>
    <x v="26"/>
    <n v="0"/>
    <m/>
    <s v="Muy bueno (16 puntos)"/>
    <n v="16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Muy bueno (8 puntos)"/>
    <n v="8"/>
    <m/>
    <m/>
  </r>
  <r>
    <n v="60"/>
    <d v="2026-04-21T11:23:33"/>
    <d v="2026-04-21T11:25:39"/>
    <s v="mario.gonzalez.rodriguez@udla.edu.ec"/>
    <s v="Mario Salvador González"/>
    <m/>
    <m/>
    <m/>
    <s v="Martes 21 "/>
    <n v="0"/>
    <m/>
    <s v="Marco Antonio Galarza Castillo"/>
    <s v="Marco Antonio Galarza CastilloOrtiz Guamancela Lunix Efrén"/>
    <m/>
    <x v="27"/>
    <n v="0"/>
    <m/>
    <s v="Muy bueno (16 puntos)"/>
    <n v="16"/>
    <m/>
    <s v="Muy bueno (16 puntos)"/>
    <n v="16"/>
    <m/>
    <s v="Muy bueno (16 puntos)"/>
    <n v="16"/>
    <m/>
    <s v="Excelente (10 puntos)"/>
    <n v="10"/>
    <m/>
    <s v="Excelente (10 puntos)"/>
    <n v="10"/>
    <m/>
    <s v="Bueno (6 puntos)"/>
    <n v="6"/>
    <m/>
    <s v="Excelente (10 puntos)"/>
    <n v="10"/>
    <m/>
    <m/>
  </r>
  <r>
    <n v="61"/>
    <d v="2026-04-21T11:25:40"/>
    <d v="2026-04-21T11:26:36"/>
    <s v="mario.gonzalez.rodriguez@udla.edu.ec"/>
    <s v="Mario Salvador González"/>
    <m/>
    <m/>
    <m/>
    <s v="Martes 21 "/>
    <n v="0"/>
    <m/>
    <s v="Marco Antonio Galarza Castillo"/>
    <s v="Marco Antonio Galarza CastilloPuente Ramírez María José"/>
    <m/>
    <x v="28"/>
    <n v="0"/>
    <m/>
    <s v="Excelente (20 puntos)"/>
    <n v="20"/>
    <m/>
    <s v="Muy bueno (16 puntos)"/>
    <n v="16"/>
    <m/>
    <s v="Muy bueno (16 puntos)"/>
    <n v="16"/>
    <m/>
    <s v="Excelente (10 puntos)"/>
    <n v="10"/>
    <m/>
    <s v="Excelente (10 puntos)"/>
    <n v="10"/>
    <m/>
    <s v="Bueno (6 puntos)"/>
    <n v="6"/>
    <m/>
    <s v="Excelente (10 puntos)"/>
    <n v="10"/>
    <m/>
    <m/>
  </r>
  <r>
    <n v="62"/>
    <d v="2026-04-21T10:58:27"/>
    <d v="2026-04-21T11:28:14"/>
    <s v="santiago.solorzano@udla.edu.ec"/>
    <s v="Santiago Leonardo Solórzano"/>
    <m/>
    <m/>
    <m/>
    <s v="Martes 21 "/>
    <n v="0"/>
    <m/>
    <s v="Santiago Leonardo Solórzano"/>
    <s v="Santiago Leonardo SolórzanoCrespo Dávila Santiago Sebastián"/>
    <m/>
    <x v="26"/>
    <n v="0"/>
    <m/>
    <s v="Muy bueno (16 puntos)"/>
    <n v="16"/>
    <m/>
    <s v="Muy bueno (16 puntos)"/>
    <n v="16"/>
    <m/>
    <s v="Muy bueno (16 puntos)"/>
    <n v="16"/>
    <m/>
    <s v="Muy bueno (8 puntos)"/>
    <n v="8"/>
    <m/>
    <s v="Muy bueno (8 puntos)"/>
    <n v="8"/>
    <m/>
    <s v="Muy bueno (8 puntos)"/>
    <n v="8"/>
    <m/>
    <s v="Muy bueno (8 puntos)"/>
    <n v="8"/>
    <m/>
    <m/>
  </r>
  <r>
    <n v="63"/>
    <d v="2026-04-21T10:58:25"/>
    <d v="2026-04-21T11:28:32"/>
    <s v="santiago.solorzano@udla.edu.ec"/>
    <s v="Santiago Leonardo Solórzano"/>
    <m/>
    <m/>
    <m/>
    <s v="Martes 21 "/>
    <n v="0"/>
    <m/>
    <s v="Santiago Leonardo Solórzano"/>
    <s v="Santiago Leonardo SolórzanoPárraga Macías María Mercedes"/>
    <m/>
    <x v="24"/>
    <n v="0"/>
    <m/>
    <s v="Muy bueno (16 puntos)"/>
    <n v="16"/>
    <m/>
    <s v="Muy bueno (16 puntos)"/>
    <n v="16"/>
    <m/>
    <s v="Muy bueno (16 puntos)"/>
    <n v="16"/>
    <m/>
    <s v="Muy bueno (8 puntos)"/>
    <n v="8"/>
    <m/>
    <s v="Muy bueno (8 puntos)"/>
    <n v="8"/>
    <m/>
    <s v="Muy bueno (8 puntos)"/>
    <n v="8"/>
    <m/>
    <s v="Muy bueno (8 puntos)"/>
    <n v="8"/>
    <m/>
    <m/>
  </r>
  <r>
    <n v="64"/>
    <d v="2026-04-21T11:27:28"/>
    <d v="2026-04-21T11:29:36"/>
    <s v="diego.gonzalez.segovia@udla.edu.ec"/>
    <s v="Diego Xavier Gonzalez Segovia"/>
    <m/>
    <m/>
    <m/>
    <s v="Martes 21 "/>
    <n v="0"/>
    <m/>
    <s v="Diego Xavier Gonzalez Segovia"/>
    <s v="Diego Xavier Gonzalez SegoviaCrespo Dávila Santiago Sebastián"/>
    <m/>
    <x v="26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65"/>
    <d v="2026-04-21T11:28:35"/>
    <d v="2026-04-21T11:31:36"/>
    <s v="diego.gonzalez.segovia@udla.edu.ec"/>
    <s v="Diego Xavier Gonzalez Segovia"/>
    <m/>
    <m/>
    <m/>
    <s v="Martes 21 "/>
    <n v="0"/>
    <m/>
    <s v="Diego Xavier Gonzalez Segovia"/>
    <s v="Diego Xavier Gonzalez SegoviaPárraga Macías María Mercedes"/>
    <m/>
    <x v="24"/>
    <n v="0"/>
    <m/>
    <s v="Muy bueno (16 puntos)"/>
    <n v="16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66"/>
    <d v="2026-04-21T09:36:41"/>
    <d v="2026-04-21T11:44:00"/>
    <s v="marco.galarza@udla.edu.ec"/>
    <s v="Marco Galarza"/>
    <m/>
    <m/>
    <m/>
    <s v="Martes 21 "/>
    <n v="0"/>
    <m/>
    <s v="Marco Antonio Galarza Castillo"/>
    <s v="Marco Antonio Galarza CastilloFlores Perez Dayana Liseth"/>
    <m/>
    <x v="16"/>
    <n v="0"/>
    <m/>
    <s v="Excelente (20 puntos)"/>
    <n v="20"/>
    <m/>
    <s v="Excelente (20 puntos)"/>
    <n v="20"/>
    <m/>
    <s v="Excelente (20 puntos)"/>
    <n v="20"/>
    <m/>
    <s v="Muy bueno (8 puntos)"/>
    <n v="8"/>
    <m/>
    <s v="Muy bueno (8 puntos)"/>
    <n v="8"/>
    <m/>
    <s v="Excelente (10 puntos)"/>
    <n v="10"/>
    <m/>
    <s v="Excelente (10 puntos)"/>
    <n v="10"/>
    <m/>
    <m/>
  </r>
  <r>
    <n v="67"/>
    <d v="2026-04-21T11:41:11"/>
    <d v="2026-04-21T11:44:40"/>
    <s v="hugo.chimbo@udla.edu.ec"/>
    <s v="Hugo Fernando Chimbo Acosta"/>
    <m/>
    <m/>
    <m/>
    <s v="Martes 21 "/>
    <n v="0"/>
    <m/>
    <s v="Hugo Fernando Chimbo Acosta"/>
    <s v="Hugo Fernando Chimbo AcostaÁlvarez Vásquez Marcelo"/>
    <m/>
    <x v="25"/>
    <n v="0"/>
    <m/>
    <s v="Muy bueno (16 puntos)"/>
    <n v="16"/>
    <m/>
    <s v="Muy bueno (16 puntos)"/>
    <n v="16"/>
    <m/>
    <s v="Muy bueno (16 puntos)"/>
    <n v="16"/>
    <m/>
    <s v="Muy bueno (8 puntos)"/>
    <n v="8"/>
    <m/>
    <s v="Excelente (10 puntos)"/>
    <n v="10"/>
    <m/>
    <s v="Bueno (6 puntos)"/>
    <n v="6"/>
    <m/>
    <s v="Muy bueno (8 puntos)"/>
    <n v="8"/>
    <m/>
    <m/>
  </r>
  <r>
    <n v="68"/>
    <d v="2026-04-21T11:44:02"/>
    <d v="2026-04-21T11:45:23"/>
    <s v="marco.galarza@udla.edu.ec"/>
    <s v="Marco Galarza"/>
    <m/>
    <m/>
    <m/>
    <s v="Martes 21 "/>
    <n v="0"/>
    <m/>
    <s v="Marco Antonio Galarza Castillo"/>
    <s v="Marco Antonio Galarza CastilloOrtega Calderon Ricardo Antonio"/>
    <m/>
    <x v="17"/>
    <n v="0"/>
    <m/>
    <s v="Excelente (20 puntos)"/>
    <n v="20"/>
    <m/>
    <s v="Excelente (20 puntos)"/>
    <n v="20"/>
    <m/>
    <s v="Excelente (20 puntos)"/>
    <n v="20"/>
    <m/>
    <s v="Muy bueno (8 puntos)"/>
    <n v="8"/>
    <m/>
    <s v="Muy bueno (8 puntos)"/>
    <n v="8"/>
    <m/>
    <s v="Excelente (10 puntos)"/>
    <n v="10"/>
    <m/>
    <s v="Excelente (10 puntos)"/>
    <n v="10"/>
    <m/>
    <m/>
  </r>
  <r>
    <n v="69"/>
    <d v="2026-04-21T11:45:25"/>
    <d v="2026-04-21T11:46:24"/>
    <s v="marco.galarza@udla.edu.ec"/>
    <s v="Marco Galarza"/>
    <m/>
    <m/>
    <m/>
    <s v="Martes 21 "/>
    <n v="0"/>
    <m/>
    <s v="Marco Antonio Galarza Castillo"/>
    <s v="Marco Antonio Galarza CastilloZapata Espinosa María Fernanda"/>
    <m/>
    <x v="14"/>
    <n v="0"/>
    <m/>
    <s v="Excelente (20 puntos)"/>
    <n v="20"/>
    <m/>
    <s v="Excelente (20 puntos)"/>
    <n v="20"/>
    <m/>
    <s v="Excelente (20 puntos)"/>
    <n v="20"/>
    <m/>
    <s v="Muy bueno (8 puntos)"/>
    <n v="8"/>
    <m/>
    <s v="Muy bueno (8 puntos)"/>
    <n v="8"/>
    <m/>
    <s v="Excelente (10 puntos)"/>
    <n v="10"/>
    <m/>
    <s v="Excelente (10 puntos)"/>
    <n v="10"/>
    <m/>
    <m/>
  </r>
  <r>
    <n v="70"/>
    <d v="2026-04-21T11:44:44"/>
    <d v="2026-04-21T11:46:53"/>
    <s v="hugo.chimbo@udla.edu.ec"/>
    <s v="Hugo Fernando Chimbo Acosta"/>
    <m/>
    <m/>
    <m/>
    <s v="Martes 21 "/>
    <n v="0"/>
    <m/>
    <s v="Hugo Fernando Chimbo Acosta"/>
    <s v="Hugo Fernando Chimbo AcostaOrtiz Guamancela Lunix Efrén"/>
    <m/>
    <x v="27"/>
    <n v="0"/>
    <m/>
    <s v="Excelente (20 puntos)"/>
    <n v="20"/>
    <m/>
    <s v="Muy bueno (16 puntos)"/>
    <n v="16"/>
    <m/>
    <s v="Excelente (20 puntos)"/>
    <n v="20"/>
    <m/>
    <s v="Muy bueno (8 puntos)"/>
    <n v="8"/>
    <m/>
    <s v="Excelente (10 puntos)"/>
    <n v="10"/>
    <m/>
    <s v="Excelente (10 puntos)"/>
    <n v="10"/>
    <m/>
    <s v="Excelente (10 puntos)"/>
    <n v="10"/>
    <m/>
    <m/>
  </r>
  <r>
    <n v="71"/>
    <d v="2026-04-21T11:46:57"/>
    <d v="2026-04-21T11:48:53"/>
    <s v="hugo.chimbo@udla.edu.ec"/>
    <s v="Hugo Fernando Chimbo Acosta"/>
    <m/>
    <m/>
    <m/>
    <s v="Martes 21 "/>
    <n v="0"/>
    <m/>
    <s v="Hugo Fernando Chimbo Acosta"/>
    <s v="Hugo Fernando Chimbo AcostaPuente Ramírez María José"/>
    <m/>
    <x v="28"/>
    <n v="0"/>
    <m/>
    <s v="Excelente (20 puntos)"/>
    <n v="20"/>
    <m/>
    <s v="Muy bueno (16 puntos)"/>
    <n v="16"/>
    <m/>
    <s v="Excelente (20 puntos)"/>
    <n v="20"/>
    <m/>
    <s v="Muy bueno (8 puntos)"/>
    <n v="8"/>
    <m/>
    <s v="Excelente (10 puntos)"/>
    <n v="10"/>
    <m/>
    <s v="Muy bueno (8 puntos)"/>
    <n v="8"/>
    <m/>
    <s v="Excelente (10 puntos)"/>
    <n v="10"/>
    <m/>
    <m/>
  </r>
  <r>
    <n v="72"/>
    <d v="2026-04-21T11:28:16"/>
    <d v="2026-04-21T11:50:22"/>
    <s v="santiago.solorzano@udla.edu.ec"/>
    <s v="Santiago Leonardo Solórzano"/>
    <m/>
    <m/>
    <m/>
    <s v="Martes 21 "/>
    <n v="0"/>
    <m/>
    <s v="Santiago Leonardo Solórzano"/>
    <s v="Santiago Leonardo SolórzanoMaldonado Gonzalez Alfredo"/>
    <m/>
    <x v="29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73"/>
    <d v="2026-04-21T11:28:34"/>
    <d v="2026-04-21T11:50:41"/>
    <s v="santiago.solorzano@udla.edu.ec"/>
    <s v="Santiago Leonardo Solórzano"/>
    <m/>
    <m/>
    <m/>
    <s v="Martes 21 "/>
    <n v="0"/>
    <m/>
    <s v="Santiago Leonardo Solórzano"/>
    <s v="Santiago Leonardo SolórzanoRios Carrillo Luis Fernando"/>
    <m/>
    <x v="30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74"/>
    <d v="2026-04-21T11:30:52"/>
    <d v="2026-04-21T11:51:15"/>
    <s v="ana.tulcanaza@udla.edu.ec"/>
    <s v="Ana Belen Tulcanaza"/>
    <m/>
    <m/>
    <m/>
    <s v="Martes 21 "/>
    <n v="0"/>
    <m/>
    <s v="Ana Belén Tulcanaza Prieto"/>
    <s v="Ana Belén Tulcanaza PrietoMaldonado Gonzalez Alfredo"/>
    <m/>
    <x v="29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75"/>
    <d v="2026-04-21T11:31:41"/>
    <d v="2026-04-21T11:51:32"/>
    <s v="santiago.solorzano@udla.edu.ec"/>
    <s v="Santiago Leonardo Solórzano"/>
    <m/>
    <m/>
    <m/>
    <s v="Martes 21 "/>
    <n v="0"/>
    <m/>
    <s v="Santiago Leonardo Solórzano"/>
    <s v="Santiago Leonardo SolórzanoVelez Echeverria Cristhian Andres"/>
    <m/>
    <x v="31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76"/>
    <d v="2026-04-21T11:30:55"/>
    <d v="2026-04-21T11:51:46"/>
    <s v="ana.tulcanaza@udla.edu.ec"/>
    <s v="Ana Belen Tulcanaza"/>
    <m/>
    <m/>
    <m/>
    <s v="Martes 21 "/>
    <n v="0"/>
    <m/>
    <s v="Ana Belén Tulcanaza Prieto"/>
    <s v="Ana Belén Tulcanaza PrietoRios Carrillo Luis Fernando"/>
    <m/>
    <x v="30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77"/>
    <d v="2026-04-21T11:30:57"/>
    <d v="2026-04-21T11:52:20"/>
    <s v="ana.tulcanaza@udla.edu.ec"/>
    <s v="Ana Belen Tulcanaza"/>
    <m/>
    <m/>
    <m/>
    <s v="Martes 21 "/>
    <n v="0"/>
    <m/>
    <s v="Ana Belén Tulcanaza Prieto"/>
    <s v="Ana Belén Tulcanaza PrietoVelez Echeverria Cristhian Andres"/>
    <m/>
    <x v="31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78"/>
    <d v="2026-04-21T11:46:33"/>
    <d v="2026-04-21T11:55:23"/>
    <s v="marco.galarza@udla.edu.ec"/>
    <s v="Marco Galarza"/>
    <m/>
    <m/>
    <m/>
    <s v="Martes 21 "/>
    <n v="0"/>
    <m/>
    <s v="Marco Antonio Galarza Castillo"/>
    <s v="Marco Antonio Galarza CastilloBravo Brito Camila Arahí"/>
    <m/>
    <x v="32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79"/>
    <d v="2026-04-21T10:57:04"/>
    <d v="2026-04-21T11:55:44"/>
    <s v="patricio.ponce.herrera@udla.edu.ec"/>
    <s v="Patricio David Ponce Herrera"/>
    <m/>
    <m/>
    <m/>
    <s v="Martes 21 "/>
    <n v="0"/>
    <m/>
    <s v="Patricio David Ponce"/>
    <s v="Patricio David PonceNuñez Camacho Berner Eduardo"/>
    <m/>
    <x v="33"/>
    <n v="0"/>
    <m/>
    <s v="Excelente (20 puntos)"/>
    <n v="20"/>
    <m/>
    <s v="Excelente (20 puntos)"/>
    <n v="20"/>
    <m/>
    <s v="Excelente (20 puntos)"/>
    <n v="20"/>
    <m/>
    <s v="Excelente (10 puntos)"/>
    <n v="10"/>
    <m/>
    <s v="Muy bueno (8 puntos)"/>
    <n v="8"/>
    <m/>
    <s v="Excelente (10 puntos)"/>
    <n v="10"/>
    <m/>
    <s v="Excelente (10 puntos)"/>
    <n v="10"/>
    <m/>
    <m/>
  </r>
  <r>
    <n v="80"/>
    <d v="2026-04-21T11:34:51"/>
    <d v="2026-04-21T11:55:53"/>
    <s v="nathaly.orozco@udla.edu.ec"/>
    <s v="Nathaly Veronica Orozco"/>
    <m/>
    <m/>
    <m/>
    <s v="Martes 21 "/>
    <n v="0"/>
    <m/>
    <s v="Nathaly Verónica Orozco"/>
    <s v="Nathaly Verónica OrozcoBravo Brito Camila Arahí"/>
    <m/>
    <x v="32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81"/>
    <d v="2026-04-21T11:55:29"/>
    <d v="2026-04-21T11:56:18"/>
    <s v="marco.galarza@udla.edu.ec"/>
    <s v="Marco Galarza"/>
    <m/>
    <m/>
    <m/>
    <s v="Martes 21 "/>
    <n v="0"/>
    <m/>
    <s v="Marco Antonio Galarza Castillo"/>
    <s v="Marco Antonio Galarza CastilloNuñez Camacho Berner Eduardo"/>
    <m/>
    <x v="33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82"/>
    <d v="2026-04-21T11:55:46"/>
    <d v="2026-04-21T11:56:27"/>
    <s v="patricio.ponce.herrera@udla.edu.ec"/>
    <s v="Patricio David Ponce Herrera"/>
    <m/>
    <m/>
    <m/>
    <s v="Martes 21 "/>
    <n v="0"/>
    <m/>
    <s v="Patricio David Ponce"/>
    <s v="Patricio David PonceBravo Brito Camila Arahí"/>
    <m/>
    <x v="32"/>
    <n v="0"/>
    <m/>
    <s v="Excelente (20 puntos)"/>
    <n v="20"/>
    <m/>
    <s v="Excelente (20 puntos)"/>
    <n v="20"/>
    <m/>
    <s v="Excelente (20 puntos)"/>
    <n v="20"/>
    <m/>
    <s v="Excelente (10 puntos)"/>
    <n v="10"/>
    <m/>
    <s v="Muy bueno (8 puntos)"/>
    <n v="8"/>
    <m/>
    <s v="Muy bueno (8 puntos)"/>
    <n v="8"/>
    <m/>
    <s v="Excelente (10 puntos)"/>
    <n v="10"/>
    <m/>
    <m/>
  </r>
  <r>
    <n v="83"/>
    <d v="2026-04-21T11:55:59"/>
    <d v="2026-04-21T11:57:12"/>
    <s v="nathaly.orozco@udla.edu.ec"/>
    <s v="Nathaly Veronica Orozco"/>
    <m/>
    <m/>
    <m/>
    <s v="Martes 21 "/>
    <n v="0"/>
    <m/>
    <s v="Nathaly Verónica Orozco"/>
    <s v="Nathaly Verónica OrozcoNuñez Camacho Berner Eduardo"/>
    <m/>
    <x v="33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84"/>
    <d v="2026-04-21T12:03:39"/>
    <d v="2026-04-21T12:06:35"/>
    <s v="washington.luna@udla.edu.ec"/>
    <s v="Oswaldo Luna"/>
    <m/>
    <m/>
    <m/>
    <s v="Martes 21 "/>
    <n v="0"/>
    <m/>
    <s v="Oswaldo Luna"/>
    <s v="Oswaldo LunaMaldonado Gonzalez Alfredo"/>
    <m/>
    <x v="29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85"/>
    <d v="2026-04-21T12:06:39"/>
    <d v="2026-04-21T12:08:57"/>
    <s v="washington.luna@udla.edu.ec"/>
    <s v="Oswaldo Luna"/>
    <m/>
    <m/>
    <m/>
    <s v="Martes 21 "/>
    <n v="0"/>
    <m/>
    <s v="Oswaldo Luna"/>
    <s v="Oswaldo LunaRios Carrillo Luis Fernando"/>
    <m/>
    <x v="30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86"/>
    <d v="2026-04-21T12:09:04"/>
    <d v="2026-04-21T12:10:33"/>
    <s v="washington.luna@udla.edu.ec"/>
    <s v="Oswaldo Luna"/>
    <m/>
    <m/>
    <m/>
    <s v="Martes 21 "/>
    <n v="0"/>
    <m/>
    <s v="Oswaldo Luna"/>
    <s v="Oswaldo LunaVelez Echeverria Cristhian Andres"/>
    <m/>
    <x v="31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87"/>
    <d v="2026-04-21T12:20:47"/>
    <d v="2026-04-21T12:21:42"/>
    <s v="marco.galarza@udla.edu.ec"/>
    <s v="Marco Galarza"/>
    <m/>
    <m/>
    <m/>
    <s v="Martes 21 "/>
    <n v="0"/>
    <m/>
    <s v="Marco Antonio Galarza Castillo"/>
    <s v="Marco Antonio Galarza CastilloCaviedes Aristizábal Javier Alejandro"/>
    <m/>
    <x v="34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88"/>
    <d v="2026-04-21T12:10:51"/>
    <d v="2026-04-21T12:22:01"/>
    <s v="ana.tulcanaza@udla.edu.ec"/>
    <s v="Ana Belen Tulcanaza"/>
    <m/>
    <m/>
    <m/>
    <s v="Martes 21 "/>
    <n v="0"/>
    <m/>
    <s v="Ana Belén Tulcanaza Prieto"/>
    <s v="Ana Belén Tulcanaza PrietoFreire Yánez Carlos Esteban"/>
    <m/>
    <x v="35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Muy bueno (8 puntos)"/>
    <n v="8"/>
    <m/>
    <m/>
  </r>
  <r>
    <n v="89"/>
    <d v="2026-04-21T12:10:54"/>
    <d v="2026-04-21T12:22:42"/>
    <s v="ana.tulcanaza@udla.edu.ec"/>
    <s v="Ana Belen Tulcanaza"/>
    <m/>
    <m/>
    <m/>
    <s v="Martes 21 "/>
    <n v="0"/>
    <m/>
    <s v="Ana Belén Tulcanaza Prieto"/>
    <s v="Ana Belén Tulcanaza PrietoHerrera Donoso María Isabel"/>
    <m/>
    <x v="36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Muy bueno (8 puntos)"/>
    <n v="8"/>
    <m/>
    <m/>
  </r>
  <r>
    <n v="90"/>
    <d v="2026-04-21T12:21:43"/>
    <d v="2026-04-21T12:22:42"/>
    <s v="marco.galarza@udla.edu.ec"/>
    <s v="Marco Galarza"/>
    <m/>
    <m/>
    <m/>
    <s v="Martes 21 "/>
    <n v="0"/>
    <m/>
    <s v="Marco Antonio Galarza Castillo"/>
    <s v="Marco Antonio Galarza CastilloGutiérrez Rueda Ismael David"/>
    <m/>
    <x v="37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91"/>
    <d v="2026-04-21T12:22:44"/>
    <d v="2026-04-21T12:23:38"/>
    <s v="marco.galarza@udla.edu.ec"/>
    <s v="Marco Galarza"/>
    <m/>
    <m/>
    <m/>
    <s v="Martes 21 "/>
    <n v="0"/>
    <m/>
    <s v="Marco Antonio Galarza Castillo"/>
    <s v="Marco Antonio Galarza CastilloRengel Zambrano Kelvin Sebastián"/>
    <m/>
    <x v="38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92"/>
    <d v="2026-04-21T12:10:58"/>
    <d v="2026-04-21T12:25:39"/>
    <s v="ana.tulcanaza@udla.edu.ec"/>
    <s v="Ana Belen Tulcanaza"/>
    <m/>
    <m/>
    <m/>
    <s v="Martes 21 "/>
    <n v="0"/>
    <m/>
    <s v="Ana Belén Tulcanaza Prieto"/>
    <s v="Ana Belén Tulcanaza PrietoMuglisa Puma Kevin Israel"/>
    <m/>
    <x v="39"/>
    <n v="0"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Muy bueno (8 puntos)"/>
    <n v="8"/>
    <m/>
    <m/>
  </r>
  <r>
    <n v="93"/>
    <d v="2026-04-21T11:54:45"/>
    <d v="2026-04-21T12:25:56"/>
    <s v="santiago.solorzano@udla.edu.ec"/>
    <s v="Santiago Leonardo Solórzano"/>
    <m/>
    <m/>
    <m/>
    <s v="Martes 21 "/>
    <n v="0"/>
    <m/>
    <s v="Santiago Leonardo Solórzano"/>
    <s v="Santiago Leonardo SolórzanoHerrera Donoso María Isabel"/>
    <m/>
    <x v="36"/>
    <n v="0"/>
    <m/>
    <s v="Excelente (20 puntos)"/>
    <n v="20"/>
    <m/>
    <s v="Excelente (20 puntos)"/>
    <n v="20"/>
    <m/>
    <s v="Excelente (20 puntos)"/>
    <n v="20"/>
    <m/>
    <s v="Muy bueno (8 puntos)"/>
    <n v="8"/>
    <m/>
    <s v="Muy bueno (8 puntos)"/>
    <n v="8"/>
    <m/>
    <s v="Excelente (10 puntos)"/>
    <n v="10"/>
    <m/>
    <s v="Excelente (10 puntos)"/>
    <n v="10"/>
    <m/>
    <m/>
  </r>
  <r>
    <n v="94"/>
    <d v="2026-04-21T11:54:48"/>
    <d v="2026-04-21T12:26:18"/>
    <s v="santiago.solorzano@udla.edu.ec"/>
    <s v="Santiago Leonardo Solórzano"/>
    <m/>
    <m/>
    <m/>
    <s v="Martes 21 "/>
    <n v="0"/>
    <m/>
    <s v="Santiago Leonardo Solórzano"/>
    <s v="Santiago Leonardo SolórzanoMuglisa Puma Kevin Israel"/>
    <m/>
    <x v="39"/>
    <n v="0"/>
    <m/>
    <s v="Excelente (20 puntos)"/>
    <n v="20"/>
    <m/>
    <s v="Excelente (20 puntos)"/>
    <n v="20"/>
    <m/>
    <s v="Excelente (20 puntos)"/>
    <n v="20"/>
    <m/>
    <s v="Muy bueno (8 puntos)"/>
    <n v="8"/>
    <m/>
    <s v="Muy bueno (8 puntos)"/>
    <n v="8"/>
    <m/>
    <s v="Excelente (10 puntos)"/>
    <n v="10"/>
    <m/>
    <s v="Excelente (10 puntos)"/>
    <n v="10"/>
    <m/>
    <m/>
  </r>
  <r>
    <n v="95"/>
    <d v="2026-04-21T12:04:23"/>
    <d v="2026-04-21T12:26:39"/>
    <s v="santiago.solorzano@udla.edu.ec"/>
    <s v="Santiago Leonardo Solórzano"/>
    <m/>
    <m/>
    <m/>
    <s v="Viernes 24"/>
    <n v="0"/>
    <m/>
    <s v="Santiago Leonardo Solórzano"/>
    <s v="Santiago Leonardo SolórzanoFreire Yánez Carlos Esteban"/>
    <m/>
    <x v="35"/>
    <n v="0"/>
    <m/>
    <s v="Excelente (20 puntos)"/>
    <n v="20"/>
    <m/>
    <s v="Excelente (20 puntos)"/>
    <n v="20"/>
    <m/>
    <s v="Excelente (20 puntos)"/>
    <n v="20"/>
    <m/>
    <s v="Muy bueno (8 puntos)"/>
    <n v="8"/>
    <m/>
    <s v="Muy bueno (8 puntos)"/>
    <n v="8"/>
    <m/>
    <s v="Excelente (10 puntos)"/>
    <n v="10"/>
    <m/>
    <s v="Excelente (10 puntos)"/>
    <n v="10"/>
    <m/>
    <m/>
  </r>
  <r>
    <n v="96"/>
    <d v="2026-04-21T11:56:29"/>
    <d v="2026-04-21T12:28:43"/>
    <s v="patricio.ponce.herrera@udla.edu.ec"/>
    <s v="Patricio David Ponce Herrera"/>
    <m/>
    <m/>
    <m/>
    <s v="Martes 21 "/>
    <n v="0"/>
    <m/>
    <s v="Patricio David Ponce"/>
    <s v="Patricio David PonceRengel Zambrano Kelvin Sebastián"/>
    <m/>
    <x v="38"/>
    <n v="0"/>
    <m/>
    <s v="Excelente (20 puntos)"/>
    <n v="20"/>
    <m/>
    <s v="Excelente (20 puntos)"/>
    <n v="20"/>
    <m/>
    <s v="Muy bueno (16 puntos)"/>
    <n v="16"/>
    <m/>
    <s v="Excelente (10 puntos)"/>
    <n v="10"/>
    <m/>
    <s v="Excelente (10 puntos)"/>
    <n v="10"/>
    <m/>
    <s v="Muy bueno (8 puntos)"/>
    <n v="8"/>
    <m/>
    <s v="Muy bueno (8 puntos)"/>
    <n v="8"/>
    <m/>
    <m/>
  </r>
  <r>
    <n v="97"/>
    <d v="2026-04-21T12:28:45"/>
    <d v="2026-04-21T12:29:29"/>
    <s v="patricio.ponce.herrera@udla.edu.ec"/>
    <s v="Patricio David Ponce Herrera"/>
    <m/>
    <m/>
    <m/>
    <s v="Martes 21 "/>
    <n v="0"/>
    <m/>
    <s v="Patricio David Ponce"/>
    <s v="Patricio David PonceCaviedes Aristizábal Javier Alejandro"/>
    <m/>
    <x v="34"/>
    <n v="0"/>
    <m/>
    <s v="Excelente (20 puntos)"/>
    <n v="20"/>
    <m/>
    <s v="Excelente (20 puntos)"/>
    <n v="20"/>
    <m/>
    <s v="Muy bueno (16 puntos)"/>
    <n v="16"/>
    <m/>
    <s v="Excelente (10 puntos)"/>
    <n v="10"/>
    <m/>
    <s v="Muy bueno (8 puntos)"/>
    <n v="8"/>
    <m/>
    <s v="Muy bueno (8 puntos)"/>
    <n v="8"/>
    <m/>
    <s v="Muy bueno (8 puntos)"/>
    <n v="8"/>
    <m/>
    <m/>
  </r>
  <r>
    <n v="98"/>
    <d v="2026-04-21T12:29:34"/>
    <d v="2026-04-21T12:31:41"/>
    <s v="patricio.ponce.herrera@udla.edu.ec"/>
    <s v="Patricio David Ponce Herrera"/>
    <m/>
    <m/>
    <m/>
    <s v="Martes 21 "/>
    <n v="0"/>
    <m/>
    <s v="Patricio David Ponce"/>
    <s v="Patricio David PonceGutiérrez Rueda Ismael David"/>
    <m/>
    <x v="37"/>
    <n v="0"/>
    <m/>
    <s v="Excelente (20 puntos)"/>
    <n v="20"/>
    <m/>
    <s v="Excelente (20 puntos)"/>
    <n v="20"/>
    <m/>
    <s v="Muy bueno (16 puntos)"/>
    <n v="16"/>
    <m/>
    <s v="Excelente (10 puntos)"/>
    <n v="10"/>
    <m/>
    <s v="Muy bueno (8 puntos)"/>
    <n v="8"/>
    <m/>
    <s v="Muy bueno (8 puntos)"/>
    <n v="8"/>
    <m/>
    <s v="Muy bueno (8 puntos)"/>
    <n v="8"/>
    <m/>
    <m/>
  </r>
  <r>
    <n v="99"/>
    <d v="2026-04-21T12:37:18"/>
    <d v="2026-04-21T12:47:46"/>
    <s v="santiago.solorzano@udla.edu.ec"/>
    <s v="Santiago Leonardo Solórzano"/>
    <m/>
    <m/>
    <m/>
    <s v="Martes 21 "/>
    <n v="0"/>
    <m/>
    <s v="Santiago Leonardo Solórzano"/>
    <s v="Santiago Leonardo SolórzanoArmas Torres Diego Sebastian"/>
    <m/>
    <x v="40"/>
    <n v="0"/>
    <m/>
    <s v="Excelente (20 puntos)"/>
    <n v="20"/>
    <m/>
    <s v="Excelente (20 puntos)"/>
    <n v="20"/>
    <m/>
    <s v="Excelente (20 puntos)"/>
    <n v="20"/>
    <m/>
    <s v="Excelente (10 puntos)"/>
    <n v="10"/>
    <m/>
    <s v="Muy bueno (8 puntos)"/>
    <n v="8"/>
    <m/>
    <s v="Excelente (10 puntos)"/>
    <n v="10"/>
    <m/>
    <s v="Excelente (10 puntos)"/>
    <n v="10"/>
    <m/>
    <m/>
  </r>
  <r>
    <n v="100"/>
    <d v="2026-04-21T12:37:57"/>
    <d v="2026-04-21T12:47:50"/>
    <s v="santiago.solorzano@udla.edu.ec"/>
    <s v="Santiago Leonardo Solórzano"/>
    <m/>
    <m/>
    <m/>
    <s v="Martes 21 "/>
    <n v="0"/>
    <m/>
    <s v="Santiago Leonardo Solórzano"/>
    <s v="Santiago Leonardo SolórzanoVargas Moreira Marcela Sheccid"/>
    <m/>
    <x v="41"/>
    <n v="0"/>
    <m/>
    <s v="Excelente (20 puntos)"/>
    <n v="20"/>
    <m/>
    <s v="Excelente (20 puntos)"/>
    <n v="20"/>
    <m/>
    <s v="Excelente (20 puntos)"/>
    <n v="20"/>
    <m/>
    <s v="Excelente (10 puntos)"/>
    <n v="10"/>
    <m/>
    <s v="Muy bueno (8 puntos)"/>
    <n v="8"/>
    <m/>
    <s v="Excelente (10 puntos)"/>
    <n v="10"/>
    <m/>
    <s v="Excelente (10 puntos)"/>
    <n v="10"/>
    <m/>
    <m/>
  </r>
  <r>
    <n v="101"/>
    <d v="2026-04-21T12:38:42"/>
    <d v="2026-04-21T12:47:55"/>
    <s v="santiago.solorzano@udla.edu.ec"/>
    <s v="Santiago Leonardo Solórzano"/>
    <m/>
    <m/>
    <m/>
    <s v="Martes 21 "/>
    <m/>
    <m/>
    <s v="Santiago Leonardo Solórzano"/>
    <s v="Santiago Leonardo SolórzanoVillavicencio Quiñonez Alex Santiago"/>
    <m/>
    <x v="42"/>
    <m/>
    <m/>
    <s v="Excelente (20 puntos)"/>
    <n v="20"/>
    <m/>
    <s v="Excelente (20 puntos)"/>
    <n v="20"/>
    <m/>
    <s v="Excelente (20 puntos)"/>
    <n v="20"/>
    <m/>
    <s v="Excelente (10 puntos)"/>
    <n v="10"/>
    <m/>
    <s v="Muy bueno (8 puntos)"/>
    <n v="8"/>
    <m/>
    <s v="Excelente (10 puntos)"/>
    <n v="10"/>
    <m/>
    <s v="Excelente (10 puntos)"/>
    <n v="10"/>
    <m/>
    <m/>
  </r>
  <r>
    <n v="102"/>
    <d v="2026-04-21T12:47:19"/>
    <d v="2026-04-21T12:51:19"/>
    <s v="ana.tulcanaza@udla.edu.ec"/>
    <s v="Ana Belen Tulcanaza"/>
    <m/>
    <m/>
    <m/>
    <s v="Martes 21 "/>
    <m/>
    <m/>
    <s v="Ana Belén Tulcanaza Prieto"/>
    <s v="Ana Belén Tulcanaza PrietoArmas Torres Diego Sebastian"/>
    <m/>
    <x v="40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103"/>
    <d v="2026-04-21T12:47:22"/>
    <d v="2026-04-21T12:51:50"/>
    <s v="ana.tulcanaza@udla.edu.ec"/>
    <s v="Ana Belen Tulcanaza"/>
    <m/>
    <m/>
    <m/>
    <s v="Martes 21 "/>
    <m/>
    <m/>
    <s v="Ana Belén Tulcanaza Prieto"/>
    <s v="Ana Belén Tulcanaza PrietoVargas Moreira Marcela Sheccid"/>
    <m/>
    <x v="41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104"/>
    <d v="2026-04-21T12:47:24"/>
    <d v="2026-04-21T12:52:21"/>
    <s v="ana.tulcanaza@udla.edu.ec"/>
    <s v="Ana Belen Tulcanaza"/>
    <m/>
    <m/>
    <m/>
    <s v="Martes 21 "/>
    <m/>
    <m/>
    <s v="Ana Belén Tulcanaza Prieto"/>
    <s v="Ana Belén Tulcanaza PrietoVillavicencio Quiñonez Alex Santiago"/>
    <m/>
    <x v="42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105"/>
    <d v="2026-04-21T12:23:40"/>
    <d v="2026-04-21T12:53:35"/>
    <s v="marco.galarza@udla.edu.ec"/>
    <s v="Marco Galarza"/>
    <m/>
    <m/>
    <m/>
    <s v="Martes 21 "/>
    <m/>
    <m/>
    <s v="Marco Antonio Galarza Castillo"/>
    <s v="Marco Antonio Galarza CastilloGaleas Andino Marco Vinicio"/>
    <m/>
    <x v="43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106"/>
    <d v="2026-04-21T12:51:41"/>
    <d v="2026-04-21T12:54:41"/>
    <s v="patricia.acosta@udla.edu.ec"/>
    <s v="Patricia Acosta"/>
    <m/>
    <m/>
    <m/>
    <s v="Martes 21 "/>
    <m/>
    <m/>
    <s v="Nelly Patricia Acosta Vargas"/>
    <s v="Nelly Patricia Acosta VargasGaleas Andino Marco Vinicio"/>
    <m/>
    <x v="43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107"/>
    <d v="2026-04-21T13:00:48"/>
    <d v="2026-04-21T13:09:18"/>
    <s v="patricia.acosta@udla.edu.ec"/>
    <s v="Patricia Acosta"/>
    <m/>
    <m/>
    <m/>
    <s v="Martes 21 "/>
    <m/>
    <m/>
    <s v="Nelly Patricia Acosta Vargas"/>
    <s v="Nelly Patricia Acosta VargasCalderón Saravia Alex Javier"/>
    <m/>
    <x v="44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108"/>
    <d v="2026-04-21T13:09:21"/>
    <d v="2026-04-21T13:10:39"/>
    <s v="patricia.acosta@udla.edu.ec"/>
    <s v="Patricia Acosta"/>
    <m/>
    <m/>
    <m/>
    <s v="Martes 21 "/>
    <m/>
    <m/>
    <s v="Nelly Patricia Acosta Vargas"/>
    <s v="Nelly Patricia Acosta VargasLincango Ninahualpa Pablo Andrés"/>
    <m/>
    <x v="45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109"/>
    <d v="2026-04-21T13:10:45"/>
    <d v="2026-04-21T13:15:50"/>
    <s v="patricia.acosta@udla.edu.ec"/>
    <s v="Patricia Acosta"/>
    <m/>
    <m/>
    <m/>
    <s v="Martes 21 "/>
    <m/>
    <m/>
    <s v="Nelly Patricia Acosta Vargas"/>
    <s v="Nelly Patricia Acosta VargasCabrera Santamaría Jimena Marcela"/>
    <m/>
    <x v="46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110"/>
    <d v="2026-04-21T12:54:25"/>
    <d v="2026-04-21T13:25:12"/>
    <s v="santiago.solorzano@udla.edu.ec"/>
    <s v="Santiago Leonardo Solórzano"/>
    <m/>
    <m/>
    <m/>
    <s v="Martes 21 "/>
    <m/>
    <m/>
    <s v="Santiago Leonardo Solórzano"/>
    <s v="Santiago Leonardo SolórzanoBeltrán Basantes Oscar Omar"/>
    <m/>
    <x v="47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111"/>
    <d v="2026-04-21T12:54:27"/>
    <d v="2026-04-21T13:25:15"/>
    <s v="santiago.solorzano@udla.edu.ec"/>
    <s v="Santiago Leonardo Solórzano"/>
    <m/>
    <m/>
    <m/>
    <s v="Martes 21 "/>
    <m/>
    <m/>
    <s v="Santiago Leonardo Solórzano"/>
    <s v="Santiago Leonardo SolórzanoPazmiño Carrera Sonia Lucia"/>
    <m/>
    <x v="48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112"/>
    <d v="2026-04-21T13:25:55"/>
    <d v="2026-04-21T13:26:53"/>
    <s v="patricio.ponce.herrera@udla.edu.ec"/>
    <s v="Patricio David Ponce Herrera"/>
    <m/>
    <m/>
    <m/>
    <s v="Martes 21 "/>
    <m/>
    <m/>
    <s v="Patricio David Ponce"/>
    <s v="Patricio David PonceLincango Ninahualpa Pablo Andrés"/>
    <m/>
    <x v="45"/>
    <m/>
    <m/>
    <s v="Excelente (20 puntos)"/>
    <n v="20"/>
    <m/>
    <s v="Excelente (20 puntos)"/>
    <n v="20"/>
    <m/>
    <s v="Excelente (20 puntos)"/>
    <n v="20"/>
    <m/>
    <s v="Excelente (10 puntos)"/>
    <n v="10"/>
    <m/>
    <s v="Muy bueno (8 puntos)"/>
    <n v="8"/>
    <m/>
    <s v="Muy bueno (8 puntos)"/>
    <n v="8"/>
    <m/>
    <s v="Excelente (10 puntos)"/>
    <n v="10"/>
    <m/>
    <m/>
  </r>
  <r>
    <n v="113"/>
    <d v="2026-04-21T13:26:55"/>
    <d v="2026-04-21T13:27:35"/>
    <s v="patricio.ponce.herrera@udla.edu.ec"/>
    <s v="Patricio David Ponce Herrera"/>
    <m/>
    <m/>
    <m/>
    <s v="Martes 21 "/>
    <m/>
    <m/>
    <s v="Patricio David Ponce"/>
    <s v="Patricio David PonceCabrera Santamaría Jimena Marcela"/>
    <m/>
    <x v="46"/>
    <m/>
    <m/>
    <s v="Excelente (20 puntos)"/>
    <n v="20"/>
    <m/>
    <s v="Excelente (20 puntos)"/>
    <n v="20"/>
    <m/>
    <s v="Excelente (20 puntos)"/>
    <n v="20"/>
    <m/>
    <s v="Excelente (10 puntos)"/>
    <n v="10"/>
    <m/>
    <s v="Muy bueno (8 puntos)"/>
    <n v="8"/>
    <m/>
    <s v="Muy bueno (8 puntos)"/>
    <n v="8"/>
    <m/>
    <s v="Excelente (10 puntos)"/>
    <n v="10"/>
    <m/>
    <m/>
  </r>
  <r>
    <n v="114"/>
    <d v="2026-04-21T13:27:36"/>
    <d v="2026-04-21T13:28:04"/>
    <s v="patricio.ponce.herrera@udla.edu.ec"/>
    <s v="Patricio David Ponce Herrera"/>
    <m/>
    <m/>
    <m/>
    <s v="Martes 21 "/>
    <m/>
    <m/>
    <s v="Patricio David Ponce"/>
    <s v="Patricio David PonceCalderón Saravia Alex Javier"/>
    <m/>
    <x v="44"/>
    <m/>
    <m/>
    <s v="Excelente (20 puntos)"/>
    <n v="20"/>
    <m/>
    <s v="Excelente (20 puntos)"/>
    <n v="20"/>
    <m/>
    <s v="Excelente (20 puntos)"/>
    <n v="20"/>
    <m/>
    <s v="Excelente (10 puntos)"/>
    <n v="10"/>
    <m/>
    <s v="Muy bueno (8 puntos)"/>
    <n v="8"/>
    <m/>
    <s v="Muy bueno (8 puntos)"/>
    <n v="8"/>
    <m/>
    <s v="Excelente (10 puntos)"/>
    <n v="10"/>
    <m/>
    <m/>
  </r>
  <r>
    <n v="115"/>
    <d v="2026-04-21T13:29:56"/>
    <d v="2026-04-21T13:31:05"/>
    <s v="anamaria.pazmino@udla.edu.ec"/>
    <s v="Ana María Pazmiño Delgado"/>
    <m/>
    <m/>
    <m/>
    <s v="Martes 21 "/>
    <m/>
    <m/>
    <s v="Ana María Pazmiño Delgado"/>
    <s v="Ana María Pazmiño DelgadoPazmiño Carrera Sonia Lucia"/>
    <m/>
    <x v="48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116"/>
    <d v="2026-04-21T13:31:23"/>
    <d v="2026-04-21T13:31:52"/>
    <s v="anamaria.pazmino@udla.edu.ec"/>
    <s v="Ana María Pazmiño Delgado"/>
    <m/>
    <m/>
    <m/>
    <s v="Martes 21 "/>
    <m/>
    <m/>
    <s v="Ana María Pazmiño Delgado"/>
    <s v="Ana María Pazmiño DelgadoBeltrán Basantes Oscar Omar"/>
    <m/>
    <x v="47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117"/>
    <d v="2026-04-21T13:26:58"/>
    <d v="2026-04-21T13:33:42"/>
    <s v="hugo.chimbo@udla.edu.ec"/>
    <s v="Hugo Fernando Chimbo Acosta"/>
    <m/>
    <m/>
    <m/>
    <s v="Martes 21 "/>
    <m/>
    <m/>
    <s v="Hugo Fernando Chimbo Acosta"/>
    <s v="Hugo Fernando Chimbo AcostaCabrera Santamaría Jimena Marcela"/>
    <m/>
    <x v="46"/>
    <m/>
    <m/>
    <s v="Muy bueno (16 puntos)"/>
    <n v="16"/>
    <m/>
    <s v="Muy bueno (16 puntos)"/>
    <n v="16"/>
    <m/>
    <s v="Muy bueno (16 puntos)"/>
    <n v="16"/>
    <m/>
    <s v="Excelente (10 puntos)"/>
    <n v="10"/>
    <m/>
    <s v="Excelente (10 puntos)"/>
    <n v="10"/>
    <m/>
    <s v="Excelente (10 puntos)"/>
    <n v="10"/>
    <m/>
    <s v="Muy bueno (8 puntos)"/>
    <n v="8"/>
    <m/>
    <m/>
  </r>
  <r>
    <n v="118"/>
    <d v="2026-04-21T13:33:44"/>
    <d v="2026-04-21T13:34:45"/>
    <s v="hugo.chimbo@udla.edu.ec"/>
    <s v="Hugo Fernando Chimbo Acosta"/>
    <m/>
    <m/>
    <m/>
    <s v="Martes 21 "/>
    <m/>
    <m/>
    <s v="Hugo Fernando Chimbo Acosta"/>
    <s v="Hugo Fernando Chimbo AcostaCalderón Saravia Alex Javier"/>
    <m/>
    <x v="44"/>
    <m/>
    <m/>
    <s v="Muy bueno (16 puntos)"/>
    <n v="16"/>
    <m/>
    <s v="Muy bueno (16 puntos)"/>
    <n v="16"/>
    <m/>
    <s v="Muy bueno (16 puntos)"/>
    <n v="16"/>
    <m/>
    <s v="Excelente (10 puntos)"/>
    <n v="10"/>
    <m/>
    <s v="Excelente (10 puntos)"/>
    <n v="10"/>
    <m/>
    <s v="Excelente (10 puntos)"/>
    <n v="10"/>
    <m/>
    <s v="Muy bueno (8 puntos)"/>
    <n v="8"/>
    <m/>
    <m/>
  </r>
  <r>
    <n v="119"/>
    <d v="2026-04-21T12:53:38"/>
    <d v="2026-04-21T13:35:17"/>
    <s v="marco.galarza@udla.edu.ec"/>
    <s v="Marco Galarza"/>
    <m/>
    <m/>
    <m/>
    <s v="Martes 21 "/>
    <m/>
    <m/>
    <s v="Marco Antonio Galarza Castillo"/>
    <s v="Marco Antonio Galarza CastilloBeltrán Basantes Oscar Omar"/>
    <m/>
    <x v="47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120"/>
    <d v="2026-04-21T13:34:47"/>
    <d v="2026-04-21T13:35:52"/>
    <s v="hugo.chimbo@udla.edu.ec"/>
    <s v="Hugo Fernando Chimbo Acosta"/>
    <m/>
    <m/>
    <m/>
    <s v="Martes 21 "/>
    <m/>
    <m/>
    <s v="Hugo Fernando Chimbo Acosta"/>
    <s v="Hugo Fernando Chimbo AcostaLincango Ninahualpa Pablo Andrés"/>
    <m/>
    <x v="45"/>
    <m/>
    <m/>
    <s v="Muy bueno (16 puntos)"/>
    <n v="16"/>
    <m/>
    <s v="Muy bueno (16 puntos)"/>
    <n v="16"/>
    <m/>
    <s v="Muy bueno (16 puntos)"/>
    <n v="16"/>
    <m/>
    <s v="Excelente (10 puntos)"/>
    <n v="10"/>
    <m/>
    <s v="Excelente (10 puntos)"/>
    <n v="10"/>
    <m/>
    <s v="Excelente (10 puntos)"/>
    <n v="10"/>
    <m/>
    <s v="Muy bueno (8 puntos)"/>
    <n v="8"/>
    <m/>
    <m/>
  </r>
  <r>
    <n v="121"/>
    <d v="2026-04-21T13:35:19"/>
    <d v="2026-04-21T13:35:52"/>
    <s v="marco.galarza@udla.edu.ec"/>
    <s v="Marco Galarza"/>
    <m/>
    <m/>
    <m/>
    <s v="Martes 21 "/>
    <m/>
    <m/>
    <s v="Marco Antonio Galarza Castillo"/>
    <s v="Marco Antonio Galarza CastilloPazmiño Carrera Sonia Lucia"/>
    <m/>
    <x v="48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122"/>
    <d v="2026-04-21T13:26:42"/>
    <d v="2026-04-21T13:49:49"/>
    <s v="patricia.acosta@udla.edu.ec"/>
    <s v="Patricia Acosta"/>
    <m/>
    <m/>
    <m/>
    <s v="Martes 21 "/>
    <m/>
    <m/>
    <s v="Nelly Patricia Acosta Vargas"/>
    <s v="Nelly Patricia Acosta VargasPalomeque Núñez Mateo Nicolas"/>
    <m/>
    <x v="49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123"/>
    <d v="2026-04-21T13:49:40"/>
    <d v="2026-04-21T13:50:58"/>
    <s v="cesar.larrea@udla.edu.ec"/>
    <s v="César Alberto Larrea Araujo"/>
    <m/>
    <m/>
    <m/>
    <s v="Martes 21 "/>
    <m/>
    <m/>
    <s v="César Alberto Larrea Araujo"/>
    <s v="César Alberto Larrea AraujoHuera Anrrango Leidy Carolina"/>
    <m/>
    <x v="50"/>
    <m/>
    <m/>
    <s v="Excelente (20 puntos)"/>
    <n v="20"/>
    <m/>
    <s v="Excelente (20 puntos)"/>
    <n v="20"/>
    <m/>
    <s v="Excelente (20 puntos)"/>
    <n v="20"/>
    <m/>
    <s v="Excelente (10 puntos)"/>
    <n v="10"/>
    <m/>
    <s v="Muy bueno (8 puntos)"/>
    <n v="8"/>
    <m/>
    <s v="Excelente (10 puntos)"/>
    <n v="10"/>
    <m/>
    <s v="Excelente (10 puntos)"/>
    <n v="10"/>
    <m/>
    <m/>
  </r>
  <r>
    <n v="124"/>
    <d v="2026-04-21T13:51:01"/>
    <d v="2026-04-21T13:51:53"/>
    <s v="cesar.larrea@udla.edu.ec"/>
    <s v="César Alberto Larrea Araujo"/>
    <m/>
    <m/>
    <m/>
    <s v="Martes 21 "/>
    <m/>
    <m/>
    <s v="César Alberto Larrea Araujo"/>
    <s v="César Alberto Larrea AraujoTaco Sosa Luis Roberto"/>
    <m/>
    <x v="51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125"/>
    <d v="2026-04-21T13:49:57"/>
    <d v="2026-04-21T13:51:55"/>
    <s v="patricia.acosta@udla.edu.ec"/>
    <s v="Patricia Acosta"/>
    <m/>
    <m/>
    <m/>
    <s v="Martes 21 "/>
    <m/>
    <m/>
    <s v="Nelly Patricia Acosta Vargas"/>
    <s v="Nelly Patricia Acosta VargasSango Simbaña Edisson Oswaldo"/>
    <m/>
    <x v="52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126"/>
    <d v="2026-04-21T12:54:29"/>
    <d v="2026-04-21T13:52:15"/>
    <s v="santiago.solorzano@udla.edu.ec"/>
    <s v="Santiago Leonardo Solórzano"/>
    <m/>
    <m/>
    <m/>
    <s v="Martes 21 "/>
    <m/>
    <m/>
    <s v="Santiago Leonardo Solórzano"/>
    <s v="Santiago Leonardo SolórzanoSango Simbaña Edisson Oswaldo"/>
    <m/>
    <x v="52"/>
    <m/>
    <m/>
    <s v="Excelente (20 puntos)"/>
    <n v="20"/>
    <m/>
    <s v="Excelente (20 puntos)"/>
    <n v="20"/>
    <m/>
    <s v="Excelente (20 puntos)"/>
    <n v="20"/>
    <m/>
    <s v="Muy bueno (8 puntos)"/>
    <n v="8"/>
    <m/>
    <s v="Muy bueno (8 puntos)"/>
    <n v="8"/>
    <m/>
    <s v="Excelente (10 puntos)"/>
    <n v="10"/>
    <m/>
    <s v="Muy bueno (8 puntos)"/>
    <n v="8"/>
    <m/>
    <m/>
  </r>
  <r>
    <n v="127"/>
    <d v="2026-04-21T13:31:28"/>
    <d v="2026-04-21T13:52:40"/>
    <s v="santiago.solorzano@udla.edu.ec"/>
    <s v="Santiago Leonardo Solórzano"/>
    <m/>
    <m/>
    <m/>
    <s v="Martes 21 "/>
    <m/>
    <m/>
    <s v="Santiago Leonardo Solórzano"/>
    <s v="Santiago Leonardo SolórzanoPalomeque Núñez Mateo Nicolas"/>
    <m/>
    <x v="49"/>
    <m/>
    <m/>
    <s v="Excelente (20 puntos)"/>
    <n v="20"/>
    <m/>
    <s v="Excelente (20 puntos)"/>
    <n v="20"/>
    <m/>
    <s v="Excelente (20 puntos)"/>
    <n v="20"/>
    <m/>
    <s v="Muy bueno (8 puntos)"/>
    <n v="8"/>
    <m/>
    <s v="Muy bueno (8 puntos)"/>
    <n v="8"/>
    <m/>
    <s v="Excelente (10 puntos)"/>
    <n v="10"/>
    <m/>
    <s v="Muy bueno (8 puntos)"/>
    <n v="8"/>
    <m/>
    <m/>
  </r>
  <r>
    <n v="128"/>
    <d v="2026-04-21T13:51:55"/>
    <d v="2026-04-21T13:52:49"/>
    <s v="cesar.larrea@udla.edu.ec"/>
    <s v="César Alberto Larrea Araujo"/>
    <m/>
    <m/>
    <m/>
    <s v="Martes 21 "/>
    <m/>
    <m/>
    <s v="César Alberto Larrea Araujo"/>
    <s v="César Alberto Larrea AraujoSarango Romero César Antonio"/>
    <m/>
    <x v="53"/>
    <m/>
    <m/>
    <s v="Excelente (20 puntos)"/>
    <n v="20"/>
    <m/>
    <s v="Excelente (20 puntos)"/>
    <n v="20"/>
    <m/>
    <s v="Excelente (20 puntos)"/>
    <n v="20"/>
    <m/>
    <s v="Excelente (10 puntos)"/>
    <n v="10"/>
    <m/>
    <s v="Muy bueno (8 puntos)"/>
    <n v="8"/>
    <m/>
    <s v="Bueno (6 puntos)"/>
    <n v="6"/>
    <m/>
    <s v="Excelente (10 puntos)"/>
    <n v="10"/>
    <m/>
    <m/>
  </r>
  <r>
    <n v="129"/>
    <d v="2026-04-21T13:31:26"/>
    <d v="2026-04-21T13:52:58"/>
    <s v="santiago.solorzano@udla.edu.ec"/>
    <s v="Santiago Leonardo Solórzano"/>
    <m/>
    <m/>
    <m/>
    <s v="Martes 21 "/>
    <m/>
    <m/>
    <s v="Santiago Leonardo Solórzano"/>
    <s v="Santiago Leonardo SolórzanoVelasco Macias Jastin Geovanny"/>
    <m/>
    <x v="54"/>
    <m/>
    <m/>
    <s v="Excelente (20 puntos)"/>
    <n v="20"/>
    <m/>
    <s v="Excelente (20 puntos)"/>
    <n v="20"/>
    <m/>
    <s v="Excelente (20 puntos)"/>
    <n v="20"/>
    <m/>
    <s v="Muy bueno (8 puntos)"/>
    <n v="8"/>
    <m/>
    <s v="Muy bueno (8 puntos)"/>
    <n v="8"/>
    <m/>
    <s v="Excelente (10 puntos)"/>
    <n v="10"/>
    <m/>
    <s v="Muy bueno (8 puntos)"/>
    <n v="8"/>
    <m/>
    <m/>
  </r>
  <r>
    <n v="130"/>
    <d v="2026-04-21T13:52:06"/>
    <d v="2026-04-21T13:53:26"/>
    <s v="patricia.acosta@udla.edu.ec"/>
    <s v="Patricia Acosta"/>
    <m/>
    <m/>
    <m/>
    <s v="Martes 21 "/>
    <m/>
    <m/>
    <s v="Nelly Patricia Acosta Vargas"/>
    <s v="Nelly Patricia Acosta VargasVelasco Macias Jastin Geovanny"/>
    <m/>
    <x v="54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131"/>
    <d v="2026-04-21T13:28:07"/>
    <d v="2026-04-21T13:56:45"/>
    <s v="patricio.ponce.herrera@udla.edu.ec"/>
    <s v="Patricio David Ponce Herrera"/>
    <m/>
    <m/>
    <m/>
    <s v="Martes 21 "/>
    <m/>
    <m/>
    <s v="Patricio David Ponce"/>
    <s v="Patricio David PonceHuera Anrrango Leidy Carolina"/>
    <m/>
    <x v="50"/>
    <m/>
    <m/>
    <s v="Excelente (20 puntos)"/>
    <n v="20"/>
    <m/>
    <s v="Excelente (20 puntos)"/>
    <n v="20"/>
    <m/>
    <s v="Excelente (20 puntos)"/>
    <n v="20"/>
    <m/>
    <s v="Excelente (10 puntos)"/>
    <n v="10"/>
    <m/>
    <s v="Muy bueno (8 puntos)"/>
    <n v="8"/>
    <m/>
    <s v="Excelente (10 puntos)"/>
    <n v="10"/>
    <m/>
    <s v="Muy bueno (8 puntos)"/>
    <n v="8"/>
    <m/>
    <m/>
  </r>
  <r>
    <n v="132"/>
    <d v="2026-04-21T13:56:46"/>
    <d v="2026-04-21T13:57:23"/>
    <s v="patricio.ponce.herrera@udla.edu.ec"/>
    <s v="Patricio David Ponce Herrera"/>
    <m/>
    <m/>
    <m/>
    <s v="Martes 21 "/>
    <m/>
    <m/>
    <s v="Patricio David Ponce"/>
    <s v="Patricio David PonceSarango Romero César Antonio"/>
    <m/>
    <x v="53"/>
    <m/>
    <m/>
    <s v="Excelente (20 puntos)"/>
    <n v="20"/>
    <m/>
    <s v="Excelente (20 puntos)"/>
    <n v="20"/>
    <m/>
    <s v="Excelente (20 puntos)"/>
    <n v="20"/>
    <m/>
    <s v="Excelente (10 puntos)"/>
    <n v="10"/>
    <m/>
    <s v="Muy bueno (8 puntos)"/>
    <n v="8"/>
    <m/>
    <s v="Excelente (10 puntos)"/>
    <n v="10"/>
    <m/>
    <s v="Muy bueno (8 puntos)"/>
    <n v="8"/>
    <m/>
    <m/>
  </r>
  <r>
    <n v="133"/>
    <d v="2026-04-21T13:35:54"/>
    <d v="2026-04-21T13:58:14"/>
    <s v="marco.galarza@udla.edu.ec"/>
    <s v="Marco Galarza"/>
    <m/>
    <m/>
    <m/>
    <s v="Martes 21 "/>
    <m/>
    <m/>
    <s v="Marco Antonio Galarza Castillo"/>
    <s v="Marco Antonio Galarza CastilloHuera Anrrango Leidy Carolina"/>
    <m/>
    <x v="50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134"/>
    <d v="2026-04-21T13:57:24"/>
    <d v="2026-04-21T13:58:17"/>
    <s v="patricio.ponce.herrera@udla.edu.ec"/>
    <s v="Patricio David Ponce Herrera"/>
    <m/>
    <m/>
    <m/>
    <s v="Martes 21 "/>
    <m/>
    <m/>
    <s v="Patricio David Ponce"/>
    <s v="Patricio David PonceTaco Sosa Luis Roberto"/>
    <m/>
    <x v="51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Muy bueno (8 puntos)"/>
    <n v="8"/>
    <m/>
    <m/>
  </r>
  <r>
    <n v="135"/>
    <d v="2026-04-21T13:58:15"/>
    <d v="2026-04-21T13:58:49"/>
    <s v="marco.galarza@udla.edu.ec"/>
    <s v="Marco Galarza"/>
    <m/>
    <m/>
    <m/>
    <s v="Martes 21 "/>
    <m/>
    <m/>
    <s v="Marco Antonio Galarza Castillo"/>
    <s v="Marco Antonio Galarza CastilloSarango Romero César Antonio"/>
    <m/>
    <x v="53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136"/>
    <d v="2026-04-21T13:58:51"/>
    <d v="2026-04-21T13:59:19"/>
    <s v="marco.galarza@udla.edu.ec"/>
    <s v="Marco Galarza"/>
    <m/>
    <m/>
    <m/>
    <s v="Martes 21 "/>
    <m/>
    <m/>
    <s v="Marco Antonio Galarza Castillo"/>
    <s v="Marco Antonio Galarza CastilloTaco Sosa Luis Roberto"/>
    <m/>
    <x v="51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137"/>
    <d v="2026-04-21T13:56:00"/>
    <d v="2026-04-21T14:20:40"/>
    <s v="santiago.solorzano@udla.edu.ec"/>
    <s v="Santiago Leonardo Solórzano"/>
    <m/>
    <m/>
    <m/>
    <s v="Martes 21 "/>
    <m/>
    <m/>
    <s v="Santiago Leonardo Solórzano"/>
    <s v="Santiago Leonardo SolórzanoGonzález Dávila José Luis"/>
    <m/>
    <x v="55"/>
    <m/>
    <m/>
    <s v="Excelente (20 puntos)"/>
    <n v="20"/>
    <m/>
    <s v="Excelente (20 puntos)"/>
    <n v="20"/>
    <m/>
    <s v="Muy bueno (16 puntos)"/>
    <n v="16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138"/>
    <d v="2026-04-21T13:56:02"/>
    <d v="2026-04-21T14:21:16"/>
    <s v="santiago.solorzano@udla.edu.ec"/>
    <s v="Santiago Leonardo Solórzano"/>
    <m/>
    <m/>
    <m/>
    <s v="Martes 21 "/>
    <m/>
    <m/>
    <s v="Santiago Leonardo Solórzano"/>
    <s v="Santiago Leonardo SolórzanoYandún Rodríguez Daniel Martín"/>
    <m/>
    <x v="56"/>
    <m/>
    <m/>
    <s v="Excelente (20 puntos)"/>
    <n v="20"/>
    <m/>
    <s v="Excelente (20 puntos)"/>
    <n v="20"/>
    <m/>
    <s v="Muy bueno (16 puntos)"/>
    <n v="16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139"/>
    <d v="2026-04-21T14:00:05"/>
    <d v="2026-04-21T14:31:20"/>
    <s v="cesar.ron@udla.edu.ec"/>
    <s v="Cesar Andres Ron Cusme"/>
    <m/>
    <m/>
    <m/>
    <s v="Martes 21 "/>
    <m/>
    <m/>
    <s v="Cesar Andres Ron Cusme"/>
    <s v="Cesar Andres Ron CusmeGonzález Dávila José Luis"/>
    <m/>
    <x v="55"/>
    <m/>
    <m/>
    <s v="Muy bueno (16 puntos)"/>
    <n v="16"/>
    <m/>
    <s v="Muy bueno (16 puntos)"/>
    <n v="16"/>
    <m/>
    <s v="Muy bueno (16 puntos)"/>
    <n v="16"/>
    <m/>
    <s v="Excelente (10 puntos)"/>
    <n v="10"/>
    <m/>
    <s v="Muy bueno (8 puntos)"/>
    <n v="8"/>
    <m/>
    <s v="Muy bueno (8 puntos)"/>
    <n v="8"/>
    <m/>
    <s v="Muy bueno (8 puntos)"/>
    <n v="8"/>
    <m/>
    <m/>
  </r>
  <r>
    <n v="140"/>
    <d v="2026-04-21T14:01:17"/>
    <d v="2026-04-21T14:31:32"/>
    <s v="cesar.ron@udla.edu.ec"/>
    <s v="Cesar Andres Ron Cusme"/>
    <m/>
    <m/>
    <m/>
    <s v="Martes 21 "/>
    <m/>
    <m/>
    <s v="Cesar Andres Ron Cusme"/>
    <s v="Cesar Andres Ron CusmeYandún Rodríguez Daniel Martín"/>
    <m/>
    <x v="56"/>
    <m/>
    <m/>
    <s v="Muy bueno (16 puntos)"/>
    <n v="16"/>
    <m/>
    <s v="Muy bueno (16 puntos)"/>
    <n v="16"/>
    <m/>
    <s v="Muy bueno (16 puntos)"/>
    <n v="16"/>
    <m/>
    <s v="Excelente (10 puntos)"/>
    <n v="10"/>
    <m/>
    <s v="Muy bueno (8 puntos)"/>
    <n v="8"/>
    <m/>
    <s v="Excelente (10 puntos)"/>
    <n v="10"/>
    <m/>
    <s v="Excelente (10 puntos)"/>
    <n v="10"/>
    <m/>
    <m/>
  </r>
  <r>
    <n v="141"/>
    <d v="2026-04-21T13:58:20"/>
    <d v="2026-04-21T15:05:44"/>
    <s v="patricio.ponce.herrera@udla.edu.ec"/>
    <s v="Patricio David Ponce Herrera"/>
    <m/>
    <m/>
    <m/>
    <s v="Martes 21 "/>
    <m/>
    <m/>
    <s v="Patricio David Ponce"/>
    <s v="Patricio David PonceGonzález Dávila José Luis"/>
    <m/>
    <x v="55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142"/>
    <d v="2026-04-21T15:05:46"/>
    <d v="2026-04-21T15:06:10"/>
    <s v="patricio.ponce.herrera@udla.edu.ec"/>
    <s v="Patricio David Ponce Herrera"/>
    <m/>
    <m/>
    <m/>
    <s v="Martes 21 "/>
    <m/>
    <m/>
    <s v="Patricio David Ponce"/>
    <s v="Patricio David PonceYandún Rodríguez Daniel Martín"/>
    <m/>
    <x v="56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143"/>
    <d v="2026-04-21T15:06:12"/>
    <d v="2026-04-21T15:08:21"/>
    <s v="patricio.ponce.herrera@udla.edu.ec"/>
    <s v="Patricio David Ponce Herrera"/>
    <m/>
    <m/>
    <m/>
    <s v="Martes 21 "/>
    <m/>
    <m/>
    <s v="Patricio David Ponce"/>
    <s v="Patricio David PonceVillavicencio Quiñonez Alex Santiago"/>
    <m/>
    <x v="42"/>
    <m/>
    <m/>
    <s v="Excelente (20 puntos)"/>
    <n v="20"/>
    <m/>
    <s v="Excelente (20 puntos)"/>
    <n v="20"/>
    <m/>
    <s v="Excelente (20 puntos)"/>
    <n v="20"/>
    <m/>
    <s v="Excelente (10 puntos)"/>
    <n v="10"/>
    <m/>
    <s v="Muy bueno (8 puntos)"/>
    <n v="8"/>
    <m/>
    <s v="Muy bueno (8 puntos)"/>
    <n v="8"/>
    <m/>
    <s v="Excelente (10 puntos)"/>
    <n v="10"/>
    <m/>
    <m/>
  </r>
  <r>
    <n v="144"/>
    <d v="2026-04-21T15:08:23"/>
    <d v="2026-04-21T15:09:04"/>
    <s v="patricio.ponce.herrera@udla.edu.ec"/>
    <s v="Patricio David Ponce Herrera"/>
    <m/>
    <m/>
    <m/>
    <s v="Martes 21 "/>
    <m/>
    <m/>
    <s v="Patricio David Ponce"/>
    <s v="Patricio David PonceVargas Moreira Marcela Sheccid"/>
    <m/>
    <x v="41"/>
    <m/>
    <m/>
    <s v="Excelente (20 puntos)"/>
    <n v="20"/>
    <m/>
    <s v="Excelente (20 puntos)"/>
    <n v="20"/>
    <m/>
    <s v="Excelente (20 puntos)"/>
    <n v="20"/>
    <m/>
    <s v="Excelente (10 puntos)"/>
    <n v="10"/>
    <m/>
    <s v="Muy bueno (8 puntos)"/>
    <n v="8"/>
    <m/>
    <s v="Muy bueno (8 puntos)"/>
    <n v="8"/>
    <m/>
    <s v="Excelente (10 puntos)"/>
    <n v="10"/>
    <m/>
    <m/>
  </r>
  <r>
    <n v="145"/>
    <d v="2026-04-21T15:09:05"/>
    <d v="2026-04-21T15:09:38"/>
    <s v="patricio.ponce.herrera@udla.edu.ec"/>
    <s v="Patricio David Ponce Herrera"/>
    <m/>
    <m/>
    <m/>
    <s v="Martes 21 "/>
    <m/>
    <m/>
    <s v="Patricio David Ponce"/>
    <s v="Patricio David PonceArmas Torres Diego Sebastian"/>
    <m/>
    <x v="40"/>
    <m/>
    <m/>
    <s v="Excelente (20 puntos)"/>
    <n v="20"/>
    <m/>
    <s v="Excelente (20 puntos)"/>
    <n v="20"/>
    <m/>
    <s v="Excelente (20 puntos)"/>
    <n v="20"/>
    <m/>
    <s v="Muy bueno (8 puntos)"/>
    <n v="8"/>
    <m/>
    <s v="Muy bueno (8 puntos)"/>
    <n v="8"/>
    <m/>
    <s v="Muy bueno (8 puntos)"/>
    <n v="8"/>
    <m/>
    <s v="Excelente (10 puntos)"/>
    <n v="10"/>
    <m/>
    <m/>
  </r>
  <r>
    <n v="146"/>
    <d v="2026-04-21T15:09:40"/>
    <d v="2026-04-21T15:11:39"/>
    <s v="patricio.ponce.herrera@udla.edu.ec"/>
    <s v="Patricio David Ponce Herrera"/>
    <m/>
    <m/>
    <m/>
    <s v="Martes 21 "/>
    <m/>
    <m/>
    <s v="Patricio David Ponce"/>
    <s v="Patricio David PoncePuente Ramírez María José"/>
    <m/>
    <x v="28"/>
    <m/>
    <m/>
    <s v="Excelente (20 puntos)"/>
    <n v="20"/>
    <m/>
    <s v="Muy bueno (16 puntos)"/>
    <n v="16"/>
    <m/>
    <s v="Muy bueno (16 puntos)"/>
    <n v="16"/>
    <m/>
    <s v="Muy bueno (8 puntos)"/>
    <n v="8"/>
    <m/>
    <s v="Excelente (10 puntos)"/>
    <n v="10"/>
    <m/>
    <s v="Excelente (10 puntos)"/>
    <n v="10"/>
    <m/>
    <s v="Excelente (10 puntos)"/>
    <n v="10"/>
    <m/>
    <m/>
  </r>
  <r>
    <n v="147"/>
    <d v="2026-04-21T15:11:41"/>
    <d v="2026-04-21T15:12:33"/>
    <s v="patricio.ponce.herrera@udla.edu.ec"/>
    <s v="Patricio David Ponce Herrera"/>
    <m/>
    <m/>
    <m/>
    <s v="Martes 21 "/>
    <m/>
    <m/>
    <s v="Patricio David Ponce"/>
    <s v="Patricio David PonceOrtiz Guamancela Lunix Efrén"/>
    <m/>
    <x v="27"/>
    <m/>
    <m/>
    <s v="Excelente (20 puntos)"/>
    <n v="20"/>
    <m/>
    <s v="Muy bueno (16 puntos)"/>
    <n v="16"/>
    <m/>
    <s v="Muy bueno (16 puntos)"/>
    <n v="16"/>
    <m/>
    <s v="Muy bueno (8 puntos)"/>
    <n v="8"/>
    <m/>
    <s v="Excelente (10 puntos)"/>
    <n v="10"/>
    <m/>
    <s v="Excelente (10 puntos)"/>
    <n v="10"/>
    <m/>
    <s v="Excelente (10 puntos)"/>
    <n v="10"/>
    <m/>
    <m/>
  </r>
  <r>
    <n v="148"/>
    <d v="2026-04-21T15:12:35"/>
    <d v="2026-04-21T15:13:04"/>
    <s v="patricio.ponce.herrera@udla.edu.ec"/>
    <s v="Patricio David Ponce Herrera"/>
    <m/>
    <m/>
    <m/>
    <s v="Martes 21 "/>
    <m/>
    <m/>
    <s v="Patricio David Ponce"/>
    <s v="Patricio David PonceÁlvarez Vásquez Marcelo"/>
    <m/>
    <x v="25"/>
    <m/>
    <m/>
    <s v="Excelente (20 puntos)"/>
    <n v="20"/>
    <m/>
    <s v="Muy bueno (16 puntos)"/>
    <n v="16"/>
    <m/>
    <s v="Muy bueno (16 puntos)"/>
    <n v="16"/>
    <m/>
    <s v="Muy bueno (8 puntos)"/>
    <n v="8"/>
    <m/>
    <s v="Excelente (10 puntos)"/>
    <n v="10"/>
    <m/>
    <s v="Excelente (10 puntos)"/>
    <n v="10"/>
    <m/>
    <s v="Excelente (10 puntos)"/>
    <n v="10"/>
    <m/>
    <m/>
  </r>
  <r>
    <n v="149"/>
    <d v="2026-04-21T15:13:06"/>
    <d v="2026-04-21T15:17:28"/>
    <s v="patricio.ponce.herrera@udla.edu.ec"/>
    <s v="Patricio David Ponce Herrera"/>
    <m/>
    <m/>
    <m/>
    <s v="Martes 21 "/>
    <m/>
    <m/>
    <s v="Patricio David Ponce"/>
    <s v="Patricio David PonceToapanta Sandoval Nicole Germania"/>
    <m/>
    <x v="11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Muy bueno (8 puntos)"/>
    <n v="8"/>
    <m/>
    <m/>
  </r>
  <r>
    <n v="150"/>
    <d v="2026-04-21T15:17:30"/>
    <d v="2026-04-21T15:18:14"/>
    <s v="patricio.ponce.herrera@udla.edu.ec"/>
    <s v="Patricio David Ponce Herrera"/>
    <m/>
    <m/>
    <m/>
    <s v="Martes 21 "/>
    <m/>
    <m/>
    <s v="Patricio David Ponce"/>
    <s v="Patricio David PoncePalomeque Núñez Oscar Esteban"/>
    <m/>
    <x v="12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Muy bueno (8 puntos)"/>
    <n v="8"/>
    <m/>
    <m/>
  </r>
  <r>
    <n v="151"/>
    <d v="2026-04-21T15:18:17"/>
    <d v="2026-04-21T15:19:26"/>
    <s v="patricio.ponce.herrera@udla.edu.ec"/>
    <s v="Patricio David Ponce Herrera"/>
    <m/>
    <m/>
    <m/>
    <s v="Martes 21 "/>
    <m/>
    <m/>
    <s v="Patricio David Ponce"/>
    <s v="Patricio David PonceSacoto Macías Alicia Fernanda"/>
    <m/>
    <x v="9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152"/>
    <d v="2026-04-21T15:19:27"/>
    <d v="2026-04-21T15:22:07"/>
    <s v="patricio.ponce.herrera@udla.edu.ec"/>
    <s v="Patricio David Ponce Herrera"/>
    <m/>
    <m/>
    <m/>
    <s v="Martes 21 "/>
    <m/>
    <m/>
    <s v="Patricio David Ponce"/>
    <s v="Patricio David PonceFernández Lazcano María José"/>
    <m/>
    <x v="8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153"/>
    <d v="2026-04-21T15:22:08"/>
    <d v="2026-04-21T15:22:40"/>
    <s v="patricio.ponce.herrera@udla.edu.ec"/>
    <s v="Patricio David Ponce Herrera"/>
    <m/>
    <m/>
    <m/>
    <s v="Martes 21 "/>
    <m/>
    <m/>
    <s v="Patricio David Ponce"/>
    <s v="Patricio David PonceZaldumbide Egas Ana Cristina"/>
    <m/>
    <x v="10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154"/>
    <d v="2026-04-21T15:22:43"/>
    <d v="2026-04-21T15:23:59"/>
    <s v="patricio.ponce.herrera@udla.edu.ec"/>
    <s v="Patricio David Ponce Herrera"/>
    <m/>
    <m/>
    <m/>
    <s v="Martes 21 "/>
    <m/>
    <m/>
    <s v="Patricio David Ponce"/>
    <s v="Patricio David PonceRojas González María Fernanda"/>
    <m/>
    <x v="1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155"/>
    <d v="2026-04-21T15:24:00"/>
    <d v="2026-04-21T15:24:32"/>
    <s v="patricio.ponce.herrera@udla.edu.ec"/>
    <s v="Patricio David Ponce Herrera"/>
    <m/>
    <m/>
    <m/>
    <s v="Martes 21 "/>
    <m/>
    <m/>
    <s v="Patricio David Ponce"/>
    <s v="Patricio David PonceRueda Bravo Erick Josué"/>
    <m/>
    <x v="3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156"/>
    <d v="2026-04-21T15:24:34"/>
    <d v="2026-04-21T15:26:15"/>
    <s v="patricio.ponce.herrera@udla.edu.ec"/>
    <s v="Patricio David Ponce Herrera"/>
    <m/>
    <m/>
    <m/>
    <s v="Martes 21 "/>
    <m/>
    <m/>
    <s v="Patricio David Ponce"/>
    <s v="Patricio David PonceMartínez Porte Carlos Sebastián"/>
    <m/>
    <x v="5"/>
    <m/>
    <m/>
    <s v="Excelente (20 puntos)"/>
    <n v="20"/>
    <m/>
    <s v="Excelente (20 puntos)"/>
    <n v="20"/>
    <m/>
    <s v="Excelente (20 puntos)"/>
    <n v="20"/>
    <m/>
    <s v="Muy bueno (8 puntos)"/>
    <n v="8"/>
    <m/>
    <s v="Muy bueno (8 puntos)"/>
    <n v="8"/>
    <m/>
    <s v="Muy bueno (8 puntos)"/>
    <n v="8"/>
    <m/>
    <s v="Muy bueno (8 puntos)"/>
    <n v="8"/>
    <m/>
    <m/>
  </r>
  <r>
    <n v="157"/>
    <d v="2026-04-21T15:26:17"/>
    <d v="2026-04-21T15:26:43"/>
    <s v="patricio.ponce.herrera@udla.edu.ec"/>
    <s v="Patricio David Ponce Herrera"/>
    <m/>
    <m/>
    <m/>
    <s v="Martes 21 "/>
    <m/>
    <m/>
    <s v="Patricio David Ponce"/>
    <s v="Patricio David PonceCalderón Tuárez Diana Alejandra"/>
    <m/>
    <x v="4"/>
    <m/>
    <m/>
    <s v="Excelente (20 puntos)"/>
    <n v="20"/>
    <m/>
    <s v="Excelente (20 puntos)"/>
    <n v="20"/>
    <m/>
    <s v="Excelente (20 puntos)"/>
    <n v="20"/>
    <m/>
    <s v="Muy bueno (8 puntos)"/>
    <n v="8"/>
    <m/>
    <s v="Muy bueno (8 puntos)"/>
    <n v="8"/>
    <m/>
    <s v="Muy bueno (8 puntos)"/>
    <n v="8"/>
    <m/>
    <s v="Muy bueno (8 puntos)"/>
    <n v="8"/>
    <m/>
    <m/>
  </r>
  <r>
    <n v="158"/>
    <d v="2026-04-22T06:54:48"/>
    <d v="2026-04-22T06:56:38"/>
    <s v="raul.paredes.loor@udla.edu.ec"/>
    <s v="Raul Vicente Paredes Loor"/>
    <m/>
    <m/>
    <m/>
    <s v="Martes 21 "/>
    <m/>
    <m/>
    <s v="Raul Vicente Paredes Loor"/>
    <s v="Raul Vicente Paredes LoorCaviedes Aristizábal Javier Alejandro"/>
    <m/>
    <x v="34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159"/>
    <d v="2026-04-22T06:56:45"/>
    <d v="2026-04-22T06:57:31"/>
    <s v="raul.paredes.loor@udla.edu.ec"/>
    <s v="Raul Vicente Paredes Loor"/>
    <m/>
    <m/>
    <m/>
    <s v="Martes 21 "/>
    <m/>
    <m/>
    <s v="Raul Vicente Paredes Loor"/>
    <s v="Raul Vicente Paredes LoorGutiérrez Rueda Ismael David"/>
    <m/>
    <x v="37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160"/>
    <d v="2026-04-22T06:57:34"/>
    <d v="2026-04-22T06:58:18"/>
    <s v="raul.paredes.loor@udla.edu.ec"/>
    <s v="Raul Vicente Paredes Loor"/>
    <m/>
    <m/>
    <m/>
    <s v="Martes 21 "/>
    <m/>
    <m/>
    <s v="Raul Vicente Paredes Loor"/>
    <s v="Raul Vicente Paredes LoorRengel Zambrano Kelvin Sebastián"/>
    <m/>
    <x v="38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161"/>
    <d v="2026-04-22T06:58:21"/>
    <d v="2026-04-22T06:59:22"/>
    <s v="raul.paredes.loor@udla.edu.ec"/>
    <s v="Raul Vicente Paredes Loor"/>
    <m/>
    <m/>
    <m/>
    <s v="Martes 21 "/>
    <m/>
    <m/>
    <s v="Raul Vicente Paredes Loor"/>
    <s v="Raul Vicente Paredes LoorPalomeque Núñez Mateo Nicolas"/>
    <m/>
    <x v="49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162"/>
    <d v="2026-04-22T06:59:25"/>
    <d v="2026-04-22T07:00:01"/>
    <s v="raul.paredes.loor@udla.edu.ec"/>
    <s v="Raul Vicente Paredes Loor"/>
    <m/>
    <m/>
    <m/>
    <s v="Martes 21 "/>
    <m/>
    <m/>
    <s v="Raul Vicente Paredes Loor"/>
    <s v="Raul Vicente Paredes LoorSango Simbaña Edisson Oswaldo"/>
    <m/>
    <x v="52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163"/>
    <d v="2026-04-22T07:00:03"/>
    <d v="2026-04-22T07:00:43"/>
    <s v="raul.paredes.loor@udla.edu.ec"/>
    <s v="Raul Vicente Paredes Loor"/>
    <m/>
    <m/>
    <m/>
    <s v="Martes 21 "/>
    <m/>
    <m/>
    <s v="Raul Vicente Paredes Loor"/>
    <s v="Raul Vicente Paredes LoorVelasco Macias Jastin Geovanny"/>
    <m/>
    <x v="54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Muy bueno (8 puntos)"/>
    <n v="8"/>
    <m/>
    <m/>
  </r>
  <r>
    <n v="164"/>
    <d v="2026-04-22T07:54:27"/>
    <d v="2026-04-22T08:27:51"/>
    <s v="patricio.ponce.herrera@udla.edu.ec"/>
    <s v="Patricio David Ponce Herrera"/>
    <m/>
    <m/>
    <m/>
    <s v="Miércoles 22"/>
    <m/>
    <m/>
    <s v="Patricio David Ponce"/>
    <s v="Patricio David PonceGarzón Vega Carlos Andrés"/>
    <m/>
    <x v="57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165"/>
    <d v="2026-04-22T08:18:59"/>
    <d v="2026-04-22T08:28:18"/>
    <s v="santiago.solorzano@udla.edu.ec"/>
    <s v="Santiago Leonardo Solórzano"/>
    <m/>
    <m/>
    <m/>
    <s v="Miércoles 22"/>
    <m/>
    <m/>
    <s v="Santiago Leonardo Solórzano"/>
    <s v="Santiago Leonardo SolórzanoTorres Vinueza Israel Francisco"/>
    <m/>
    <x v="58"/>
    <m/>
    <m/>
    <s v="Excelente (20 puntos)"/>
    <n v="20"/>
    <m/>
    <s v="Excelente (20 puntos)"/>
    <n v="20"/>
    <m/>
    <s v="Excelente (20 puntos)"/>
    <n v="20"/>
    <m/>
    <s v="Muy bueno (8 puntos)"/>
    <n v="8"/>
    <m/>
    <s v="Muy bueno (8 puntos)"/>
    <n v="8"/>
    <m/>
    <s v="Excelente (10 puntos)"/>
    <n v="10"/>
    <m/>
    <s v="Excelente (10 puntos)"/>
    <n v="10"/>
    <m/>
    <m/>
  </r>
  <r>
    <n v="166"/>
    <d v="2026-04-22T08:27:57"/>
    <d v="2026-04-22T08:28:59"/>
    <s v="patricio.ponce.herrera@udla.edu.ec"/>
    <s v="Patricio David Ponce Herrera"/>
    <m/>
    <m/>
    <m/>
    <s v="Miércoles 22"/>
    <m/>
    <m/>
    <s v="Patricio David Ponce"/>
    <s v="Patricio David PonceRobles Santamaría David Alejandro"/>
    <m/>
    <x v="59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167"/>
    <d v="2026-04-22T08:27:34"/>
    <d v="2026-04-22T08:29:20"/>
    <s v="victor.gomez@udla.edu.ec"/>
    <s v="Victor Gomez Regalado"/>
    <m/>
    <m/>
    <m/>
    <s v="Miércoles 22"/>
    <m/>
    <m/>
    <s v="Víctor Javier Gómez Regalado"/>
    <s v="Víctor Javier Gómez RegaladoTorres Vinueza Israel Francisco"/>
    <m/>
    <x v="58"/>
    <m/>
    <m/>
    <s v="Excelente (20 puntos)"/>
    <n v="20"/>
    <m/>
    <s v="Excelente (20 puntos)"/>
    <n v="20"/>
    <m/>
    <s v="Excelente (20 puntos)"/>
    <n v="20"/>
    <m/>
    <s v="Muy bueno (8 puntos)"/>
    <n v="8"/>
    <m/>
    <s v="Excelente (10 puntos)"/>
    <n v="10"/>
    <m/>
    <s v="Excelente (10 puntos)"/>
    <n v="10"/>
    <m/>
    <s v="Excelente (10 puntos)"/>
    <n v="10"/>
    <m/>
    <m/>
  </r>
  <r>
    <n v="168"/>
    <d v="2026-04-22T08:03:10"/>
    <d v="2026-04-22T08:31:52"/>
    <s v="marco.galarza@udla.edu.ec"/>
    <s v="Marco Galarza"/>
    <m/>
    <m/>
    <m/>
    <s v="Miércoles 22"/>
    <m/>
    <m/>
    <s v="Marco Antonio Galarza Castillo"/>
    <s v="Marco Antonio Galarza CastilloGarzón Vega Carlos Andrés"/>
    <m/>
    <x v="57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169"/>
    <d v="2026-04-22T08:31:54"/>
    <d v="2026-04-22T08:32:28"/>
    <s v="marco.galarza@udla.edu.ec"/>
    <s v="Marco Galarza"/>
    <m/>
    <m/>
    <m/>
    <s v="Miércoles 22"/>
    <m/>
    <m/>
    <s v="Marco Antonio Galarza Castillo"/>
    <s v="Marco Antonio Galarza CastilloRobles Santamaría David Alejandro"/>
    <m/>
    <x v="59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170"/>
    <d v="2026-04-22T08:35:38"/>
    <d v="2026-04-22T08:51:12"/>
    <s v="ana.tulcanaza@udla.edu.ec"/>
    <s v="Ana Belen Tulcanaza"/>
    <m/>
    <m/>
    <m/>
    <s v="Miércoles 22"/>
    <m/>
    <m/>
    <s v="Ana Belén Tulcanaza Prieto"/>
    <s v="Ana Belén Tulcanaza PrietoSalgado Cueva Vicente Antonio"/>
    <m/>
    <x v="60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171"/>
    <d v="2026-04-22T08:32:31"/>
    <d v="2026-04-22T08:52:28"/>
    <s v="patricia.acosta@udla.edu.ec"/>
    <s v="Patricia Acosta"/>
    <m/>
    <m/>
    <m/>
    <s v="Miércoles 22"/>
    <m/>
    <m/>
    <s v="Nelly Patricia Acosta Vargas"/>
    <s v="Nelly Patricia Acosta VargasOrtiz Puga Danny Alejandro"/>
    <m/>
    <x v="61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172"/>
    <d v="2026-04-22T08:52:58"/>
    <d v="2026-04-22T08:53:55"/>
    <s v="anamaria.pazmino@udla.edu.ec"/>
    <s v="Ana María Pazmiño Delgado"/>
    <m/>
    <m/>
    <m/>
    <s v="Miércoles 22"/>
    <m/>
    <m/>
    <s v="Ana María Pazmiño Delgado"/>
    <s v="Ana María Pazmiño DelgadoUrbina Yunda Santiago Andrés"/>
    <m/>
    <x v="62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173"/>
    <d v="2026-04-22T08:32:30"/>
    <d v="2026-04-22T08:54:21"/>
    <s v="marco.galarza@udla.edu.ec"/>
    <s v="Marco Galarza"/>
    <m/>
    <m/>
    <m/>
    <s v="Miércoles 22"/>
    <m/>
    <m/>
    <s v="Marco Antonio Galarza Castillo"/>
    <s v="Marco Antonio Galarza CastilloArias Basantes Jeanpierre"/>
    <m/>
    <x v="63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174"/>
    <d v="2026-04-22T08:52:37"/>
    <d v="2026-04-22T08:54:45"/>
    <s v="patricia.acosta@udla.edu.ec"/>
    <s v="Patricia Acosta"/>
    <m/>
    <m/>
    <m/>
    <s v="Miércoles 22"/>
    <m/>
    <m/>
    <s v="Nelly Patricia Acosta Vargas"/>
    <s v="Nelly Patricia Acosta VargasArias Basantes Jeanpierre"/>
    <m/>
    <x v="63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175"/>
    <d v="2026-04-22T08:54:23"/>
    <d v="2026-04-22T08:54:59"/>
    <s v="marco.galarza@udla.edu.ec"/>
    <s v="Marco Galarza"/>
    <m/>
    <m/>
    <m/>
    <s v="Miércoles 22"/>
    <m/>
    <m/>
    <s v="Marco Antonio Galarza Castillo"/>
    <s v="Marco Antonio Galarza CastilloOrtiz Puga Danny Alejandro"/>
    <m/>
    <x v="61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176"/>
    <d v="2026-04-22T08:40:43"/>
    <d v="2026-04-22T08:55:34"/>
    <s v="cristian.fabara@udla.edu.ec"/>
    <s v="Cristian Paúl Fabara Rodríguez"/>
    <m/>
    <m/>
    <m/>
    <s v="Miércoles 22"/>
    <m/>
    <m/>
    <s v="Cristian Paúl Fabara Rodríguez"/>
    <s v="Cristian Paúl Fabara RodríguezUrbina Yunda Santiago Andrés"/>
    <m/>
    <x v="62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177"/>
    <d v="2026-04-22T08:53:57"/>
    <d v="2026-04-22T08:55:58"/>
    <s v="anamaria.pazmino@udla.edu.ec"/>
    <s v="Ana María Pazmiño Delgado"/>
    <m/>
    <m/>
    <m/>
    <s v="Miércoles 22"/>
    <m/>
    <m/>
    <s v="Ana María Pazmiño Delgado"/>
    <s v="Ana María Pazmiño DelgadoJapón Lapo Tupak Pachakutik"/>
    <m/>
    <x v="64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Muy bueno (8 puntos)"/>
    <n v="8"/>
    <m/>
    <m/>
  </r>
  <r>
    <n v="178"/>
    <d v="2026-04-22T08:55:39"/>
    <d v="2026-04-22T08:57:58"/>
    <s v="cristian.fabara@udla.edu.ec"/>
    <s v="Cristian Paúl Fabara Rodríguez"/>
    <m/>
    <m/>
    <m/>
    <s v="Miércoles 22"/>
    <m/>
    <m/>
    <s v="Cristian Paúl Fabara Rodríguez"/>
    <s v="Cristian Paúl Fabara RodríguezJapón Lapo Tupak Pachakutik"/>
    <m/>
    <x v="64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179"/>
    <d v="2026-04-22T08:29:23"/>
    <d v="2026-04-22T08:58:21"/>
    <s v="santiago.solorzano@udla.edu.ec"/>
    <s v="Santiago Leonardo Solórzano"/>
    <m/>
    <m/>
    <m/>
    <s v="Miércoles 22"/>
    <m/>
    <m/>
    <s v="Santiago Leonardo Solórzano"/>
    <s v="Santiago Leonardo SolórzanoUrbina Yunda Santiago Andrés"/>
    <m/>
    <x v="62"/>
    <m/>
    <m/>
    <s v="Excelente (20 puntos)"/>
    <n v="20"/>
    <m/>
    <s v="Excelente (20 puntos)"/>
    <n v="20"/>
    <m/>
    <s v="Muy bueno (16 puntos)"/>
    <n v="16"/>
    <m/>
    <s v="Muy bueno (8 puntos)"/>
    <n v="8"/>
    <m/>
    <s v="Muy bueno (8 puntos)"/>
    <n v="8"/>
    <m/>
    <s v="Excelente (10 puntos)"/>
    <n v="10"/>
    <m/>
    <s v="Excelente (10 puntos)"/>
    <n v="10"/>
    <m/>
    <m/>
  </r>
  <r>
    <n v="180"/>
    <d v="2026-04-22T08:29:02"/>
    <d v="2026-04-22T08:58:31"/>
    <s v="patricio.ponce.herrera@udla.edu.ec"/>
    <s v="Patricio David Ponce Herrera"/>
    <m/>
    <m/>
    <m/>
    <s v="Miércoles 22"/>
    <m/>
    <m/>
    <s v="Patricio David Ponce"/>
    <s v="Patricio David PonceSalgado Cueva Vicente Antonio"/>
    <m/>
    <x v="60"/>
    <m/>
    <m/>
    <s v="Excelente (20 puntos)"/>
    <n v="20"/>
    <m/>
    <s v="Excelente (20 puntos)"/>
    <n v="20"/>
    <m/>
    <s v="Muy bueno (16 puntos)"/>
    <n v="16"/>
    <m/>
    <s v="Muy bueno (8 puntos)"/>
    <n v="8"/>
    <m/>
    <s v="Muy bueno (8 puntos)"/>
    <n v="8"/>
    <m/>
    <s v="Muy bueno (8 puntos)"/>
    <n v="8"/>
    <m/>
    <s v="Excelente (10 puntos)"/>
    <n v="10"/>
    <m/>
    <m/>
  </r>
  <r>
    <n v="181"/>
    <d v="2026-04-22T08:29:25"/>
    <d v="2026-04-22T08:59:00"/>
    <s v="santiago.solorzano@udla.edu.ec"/>
    <s v="Santiago Leonardo Solórzano"/>
    <m/>
    <m/>
    <m/>
    <s v="Miércoles 22"/>
    <m/>
    <m/>
    <s v="Santiago Leonardo Solórzano"/>
    <s v="Santiago Leonardo SolórzanoJapón Lapo Tupak Pachakutik"/>
    <m/>
    <x v="64"/>
    <m/>
    <m/>
    <s v="Excelente (20 puntos)"/>
    <n v="20"/>
    <m/>
    <s v="Excelente (20 puntos)"/>
    <n v="20"/>
    <m/>
    <s v="Muy bueno (16 puntos)"/>
    <n v="16"/>
    <m/>
    <s v="Muy bueno (8 puntos)"/>
    <n v="8"/>
    <m/>
    <s v="Muy bueno (8 puntos)"/>
    <n v="8"/>
    <m/>
    <s v="Excelente (10 puntos)"/>
    <n v="10"/>
    <m/>
    <s v="Excelente (10 puntos)"/>
    <n v="10"/>
    <m/>
    <m/>
  </r>
  <r>
    <n v="182"/>
    <d v="2026-04-22T09:16:32"/>
    <d v="2026-04-22T09:19:49"/>
    <s v="jorge.najera@udla.edu.ec"/>
    <s v="Jorge Hernán Nájera Gómez"/>
    <m/>
    <m/>
    <m/>
    <s v="Miércoles 22"/>
    <m/>
    <m/>
    <s v="Jorge Nájera"/>
    <s v="Jorge NájeraGarzón Vega Carlos Andrés"/>
    <m/>
    <x v="57"/>
    <m/>
    <m/>
    <s v="Muy bueno (16 puntos)"/>
    <n v="16"/>
    <m/>
    <s v="Excelente (20 puntos)"/>
    <n v="20"/>
    <m/>
    <s v="Muy bueno (16 puntos)"/>
    <n v="16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183"/>
    <d v="2026-04-22T09:20:00"/>
    <d v="2026-04-22T09:21:31"/>
    <s v="jorge.najera@udla.edu.ec"/>
    <s v="Jorge Hernán Nájera Gómez"/>
    <m/>
    <m/>
    <m/>
    <s v="Miércoles 22"/>
    <m/>
    <m/>
    <s v="Jorge Nájera"/>
    <s v="Jorge NájeraRobles Santamaría David Alejandro"/>
    <m/>
    <x v="59"/>
    <m/>
    <m/>
    <s v="Muy bueno (16 puntos)"/>
    <n v="16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184"/>
    <d v="2026-04-22T08:59:42"/>
    <d v="2026-04-22T09:24:18"/>
    <s v="santiago.solorzano@udla.edu.ec"/>
    <s v="Santiago Leonardo Solórzano"/>
    <m/>
    <m/>
    <m/>
    <s v="Miércoles 22"/>
    <m/>
    <m/>
    <s v="Santiago Leonardo Solórzano"/>
    <s v="Santiago Leonardo SolórzanoEspinosa Ramos Alex Roberto"/>
    <m/>
    <x v="65"/>
    <m/>
    <m/>
    <s v="Excelente (20 puntos)"/>
    <n v="20"/>
    <m/>
    <s v="Excelente (20 puntos)"/>
    <n v="20"/>
    <m/>
    <s v="Muy bueno (16 puntos)"/>
    <n v="16"/>
    <m/>
    <s v="Muy bueno (8 puntos)"/>
    <n v="8"/>
    <m/>
    <s v="Muy bueno (8 puntos)"/>
    <n v="8"/>
    <m/>
    <s v="Muy bueno (8 puntos)"/>
    <n v="8"/>
    <m/>
    <s v="Excelente (10 puntos)"/>
    <n v="10"/>
    <m/>
    <m/>
  </r>
  <r>
    <n v="185"/>
    <d v="2026-04-22T09:00:31"/>
    <d v="2026-04-22T09:24:20"/>
    <s v="santiago.solorzano@udla.edu.ec"/>
    <s v="Santiago Leonardo Solórzano"/>
    <m/>
    <m/>
    <m/>
    <s v="Miércoles 22"/>
    <m/>
    <m/>
    <s v="Santiago Leonardo Solórzano"/>
    <s v="Santiago Leonardo SolórzanoBenavides Guerrero Santiago Nicolás"/>
    <m/>
    <x v="66"/>
    <m/>
    <m/>
    <s v="Excelente (20 puntos)"/>
    <n v="20"/>
    <m/>
    <s v="Excelente (20 puntos)"/>
    <n v="20"/>
    <m/>
    <s v="Muy bueno (16 puntos)"/>
    <n v="16"/>
    <m/>
    <s v="Muy bueno (8 puntos)"/>
    <n v="8"/>
    <m/>
    <s v="Muy bueno (8 puntos)"/>
    <n v="8"/>
    <m/>
    <s v="Muy bueno (8 puntos)"/>
    <n v="8"/>
    <m/>
    <s v="Excelente (10 puntos)"/>
    <n v="10"/>
    <m/>
    <m/>
  </r>
  <r>
    <n v="186"/>
    <d v="2026-04-22T08:59:44"/>
    <d v="2026-04-22T09:24:23"/>
    <s v="santiago.solorzano@udla.edu.ec"/>
    <s v="Santiago Leonardo Solórzano"/>
    <m/>
    <m/>
    <m/>
    <s v="Miércoles 22"/>
    <m/>
    <m/>
    <s v="Santiago Leonardo Solórzano"/>
    <s v="Santiago Leonardo SolórzanoEspinosa Ramos Miguel"/>
    <m/>
    <x v="67"/>
    <m/>
    <m/>
    <s v="Excelente (20 puntos)"/>
    <n v="20"/>
    <m/>
    <s v="Excelente (20 puntos)"/>
    <n v="20"/>
    <m/>
    <s v="Muy bueno (16 puntos)"/>
    <n v="16"/>
    <m/>
    <s v="Muy bueno (8 puntos)"/>
    <n v="8"/>
    <m/>
    <s v="Muy bueno (8 puntos)"/>
    <n v="8"/>
    <m/>
    <s v="Muy bueno (8 puntos)"/>
    <n v="8"/>
    <m/>
    <s v="Excelente (10 puntos)"/>
    <n v="10"/>
    <m/>
    <m/>
  </r>
  <r>
    <n v="187"/>
    <d v="2026-04-22T09:26:35"/>
    <d v="2026-04-22T09:26:46"/>
    <s v="marco.galarza@udla.edu.ec"/>
    <s v="Marco Galarza"/>
    <m/>
    <m/>
    <m/>
    <s v="Miércoles 22"/>
    <m/>
    <m/>
    <s v="Marco Antonio Galarza Castillo"/>
    <s v="Marco Antonio Galarza CastilloEspinosa Ramos Alex Roberto"/>
    <m/>
    <x v="65"/>
    <m/>
    <m/>
    <s v="Muy bueno (16 puntos)"/>
    <n v="16"/>
    <m/>
    <s v="Excelente (20 puntos)"/>
    <n v="20"/>
    <m/>
    <s v="Muy bueno (16 puntos)"/>
    <n v="16"/>
    <m/>
    <s v="Excelente (10 puntos)"/>
    <n v="10"/>
    <m/>
    <s v="Muy bueno (8 puntos)"/>
    <n v="8"/>
    <m/>
    <s v="Muy bueno (8 puntos)"/>
    <n v="8"/>
    <m/>
    <s v="Muy bueno (8 puntos)"/>
    <n v="8"/>
    <m/>
    <m/>
  </r>
  <r>
    <n v="188"/>
    <d v="2026-04-22T09:26:47"/>
    <d v="2026-04-22T09:27:15"/>
    <s v="marco.galarza@udla.edu.ec"/>
    <s v="Marco Galarza"/>
    <m/>
    <m/>
    <m/>
    <s v="Miércoles 22"/>
    <m/>
    <m/>
    <s v="Marco Antonio Galarza Castillo"/>
    <s v="Marco Antonio Galarza CastilloEspinosa Ramos Miguel"/>
    <m/>
    <x v="67"/>
    <m/>
    <m/>
    <s v="Excelente (20 puntos)"/>
    <n v="20"/>
    <m/>
    <s v="Excelente (20 puntos)"/>
    <n v="20"/>
    <m/>
    <s v="Muy bueno (16 puntos)"/>
    <n v="16"/>
    <m/>
    <s v="Excelente (10 puntos)"/>
    <n v="10"/>
    <m/>
    <s v="Muy bueno (8 puntos)"/>
    <n v="8"/>
    <m/>
    <s v="Muy bueno (8 puntos)"/>
    <n v="8"/>
    <m/>
    <s v="Muy bueno (8 puntos)"/>
    <n v="8"/>
    <m/>
    <m/>
  </r>
  <r>
    <n v="189"/>
    <d v="2026-04-22T09:27:16"/>
    <d v="2026-04-22T09:27:42"/>
    <s v="marco.galarza@udla.edu.ec"/>
    <s v="Marco Galarza"/>
    <m/>
    <m/>
    <m/>
    <s v="Miércoles 22"/>
    <m/>
    <m/>
    <s v="Marco Antonio Galarza Castillo"/>
    <s v="Marco Antonio Galarza CastilloBenavides Guerrero Santiago Nicolás"/>
    <m/>
    <x v="66"/>
    <m/>
    <m/>
    <s v="Muy bueno (16 puntos)"/>
    <n v="16"/>
    <m/>
    <s v="Excelente (20 puntos)"/>
    <n v="20"/>
    <m/>
    <s v="Muy bueno (16 puntos)"/>
    <n v="16"/>
    <m/>
    <s v="Excelente (10 puntos)"/>
    <n v="10"/>
    <m/>
    <s v="Muy bueno (8 puntos)"/>
    <n v="8"/>
    <m/>
    <s v="Muy bueno (8 puntos)"/>
    <n v="8"/>
    <m/>
    <s v="Muy bueno (8 puntos)"/>
    <n v="8"/>
    <m/>
    <m/>
  </r>
  <r>
    <n v="190"/>
    <d v="2026-04-22T08:56:08"/>
    <d v="2026-04-22T09:29:10"/>
    <s v="victor.gomez@udla.edu.ec"/>
    <s v="Victor Gomez Regalado"/>
    <m/>
    <m/>
    <m/>
    <s v="Miércoles 22"/>
    <m/>
    <m/>
    <s v="Víctor Javier Gómez Regalado"/>
    <s v="Víctor Javier Gómez RegaladoDonoso Márquez Renato Fabricio"/>
    <m/>
    <x v="68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191"/>
    <d v="2026-04-21T21:03:36"/>
    <d v="2026-04-22T09:29:19"/>
    <s v="cesar.ron@udla.edu.ec"/>
    <s v="Cesar Andres Ron Cusme"/>
    <m/>
    <m/>
    <m/>
    <s v="Miércoles 22"/>
    <m/>
    <m/>
    <s v="Cesar Andres Ron Cusme"/>
    <s v="Cesar Andres Ron CusmeEspinosa Ramos Miguel"/>
    <m/>
    <x v="67"/>
    <m/>
    <m/>
    <s v="Muy bueno (16 puntos)"/>
    <n v="16"/>
    <m/>
    <s v="Muy bueno (16 puntos)"/>
    <n v="16"/>
    <m/>
    <s v="Muy bueno (16 puntos)"/>
    <n v="16"/>
    <m/>
    <s v="Excelente (10 puntos)"/>
    <n v="10"/>
    <m/>
    <s v="Muy bueno (8 puntos)"/>
    <n v="8"/>
    <m/>
    <s v="Bueno (6 puntos)"/>
    <n v="6"/>
    <m/>
    <s v="Excelente (10 puntos)"/>
    <n v="10"/>
    <m/>
    <m/>
  </r>
  <r>
    <n v="192"/>
    <d v="2026-04-21T21:03:32"/>
    <d v="2026-04-22T09:29:21"/>
    <s v="cesar.ron@udla.edu.ec"/>
    <s v="Cesar Andres Ron Cusme"/>
    <m/>
    <m/>
    <m/>
    <s v="Miércoles 22"/>
    <m/>
    <m/>
    <s v="Cesar Andres Ron Cusme"/>
    <s v="Cesar Andres Ron CusmeEspinosa Ramos Alex Roberto"/>
    <m/>
    <x v="65"/>
    <m/>
    <m/>
    <s v="Muy bueno (16 puntos)"/>
    <n v="16"/>
    <m/>
    <s v="Muy bueno (16 puntos)"/>
    <n v="16"/>
    <m/>
    <s v="Muy bueno (16 puntos)"/>
    <n v="16"/>
    <m/>
    <s v="Excelente (10 puntos)"/>
    <n v="10"/>
    <m/>
    <s v="Muy bueno (8 puntos)"/>
    <n v="8"/>
    <m/>
    <s v="Bueno (6 puntos)"/>
    <n v="6"/>
    <m/>
    <s v="Excelente (10 puntos)"/>
    <n v="10"/>
    <m/>
    <m/>
  </r>
  <r>
    <n v="193"/>
    <d v="2026-04-21T21:03:29"/>
    <d v="2026-04-22T09:29:28"/>
    <s v="cesar.ron@udla.edu.ec"/>
    <s v="Cesar Andres Ron Cusme"/>
    <m/>
    <m/>
    <m/>
    <s v="Miércoles 22"/>
    <m/>
    <m/>
    <s v="Cesar Andres Ron Cusme"/>
    <s v="Cesar Andres Ron CusmeBenavides Guerrero Santiago Nicolás"/>
    <m/>
    <x v="66"/>
    <m/>
    <m/>
    <s v="Muy bueno (16 puntos)"/>
    <n v="16"/>
    <m/>
    <s v="Muy bueno (16 puntos)"/>
    <n v="16"/>
    <m/>
    <s v="Muy bueno (16 puntos)"/>
    <n v="16"/>
    <m/>
    <s v="Excelente (10 puntos)"/>
    <n v="10"/>
    <m/>
    <s v="Muy bueno (8 puntos)"/>
    <n v="8"/>
    <m/>
    <s v="Bueno (6 puntos)"/>
    <n v="6"/>
    <m/>
    <s v="Excelente (10 puntos)"/>
    <n v="10"/>
    <m/>
    <m/>
  </r>
  <r>
    <n v="194"/>
    <d v="2026-04-22T09:26:33"/>
    <d v="2026-04-22T09:31:04"/>
    <s v="pavlova.sigcha@udla.edu.ec"/>
    <s v="Pavlova Sigcha"/>
    <m/>
    <m/>
    <m/>
    <s v="Miércoles 22"/>
    <m/>
    <m/>
    <s v="Pavlova Sigcha"/>
    <s v="Pavlova SigchaDonoso Márquez Renato Fabricio"/>
    <m/>
    <x v="68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195"/>
    <d v="2026-04-22T09:29:21"/>
    <d v="2026-04-22T09:31:39"/>
    <s v="victor.gomez@udla.edu.ec"/>
    <s v="Victor Gomez Regalado"/>
    <m/>
    <m/>
    <m/>
    <s v="Miércoles 22"/>
    <m/>
    <m/>
    <s v="Víctor Javier Gómez Regalado"/>
    <s v="Víctor Javier Gómez RegaladoGuevara Zambrano Vivian Salomé"/>
    <m/>
    <x v="69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196"/>
    <d v="2026-04-22T09:31:06"/>
    <d v="2026-04-22T09:31:59"/>
    <s v="pavlova.sigcha@udla.edu.ec"/>
    <s v="Pavlova Sigcha"/>
    <m/>
    <m/>
    <m/>
    <s v="Miércoles 22"/>
    <m/>
    <m/>
    <s v="Pavlova Sigcha"/>
    <s v="Pavlova SigchaGuevara Zambrano Vivian Salomé"/>
    <m/>
    <x v="69"/>
    <m/>
    <m/>
    <s v="Excelente (20 puntos)"/>
    <n v="20"/>
    <m/>
    <s v="Excelente (20 puntos)"/>
    <n v="20"/>
    <m/>
    <s v="Muy bueno (16 puntos)"/>
    <n v="16"/>
    <m/>
    <s v="Excelente (10 puntos)"/>
    <n v="10"/>
    <m/>
    <s v="Muy bueno (8 puntos)"/>
    <n v="8"/>
    <m/>
    <s v="Muy bueno (8 puntos)"/>
    <n v="8"/>
    <m/>
    <s v="Excelente (10 puntos)"/>
    <n v="10"/>
    <m/>
    <m/>
  </r>
  <r>
    <n v="197"/>
    <d v="2026-04-22T09:32:01"/>
    <d v="2026-04-22T09:32:39"/>
    <s v="pavlova.sigcha@udla.edu.ec"/>
    <s v="Pavlova Sigcha"/>
    <m/>
    <m/>
    <m/>
    <s v="Miércoles 22"/>
    <m/>
    <m/>
    <s v="Pavlova Sigcha"/>
    <s v="Pavlova SigchaRomero Lozano Michelle Stephanie"/>
    <m/>
    <x v="70"/>
    <m/>
    <m/>
    <s v="Muy bueno (16 puntos)"/>
    <n v="16"/>
    <m/>
    <s v="Muy bueno (16 puntos)"/>
    <n v="16"/>
    <m/>
    <s v="Muy bueno (16 puntos)"/>
    <n v="16"/>
    <m/>
    <s v="Muy bueno (8 puntos)"/>
    <n v="8"/>
    <m/>
    <s v="Muy bueno (8 puntos)"/>
    <n v="8"/>
    <m/>
    <s v="Bueno (6 puntos)"/>
    <n v="6"/>
    <m/>
    <s v="Muy bueno (8 puntos)"/>
    <n v="8"/>
    <m/>
    <m/>
  </r>
  <r>
    <n v="198"/>
    <d v="2026-04-22T09:31:49"/>
    <d v="2026-04-22T09:33:02"/>
    <s v="victor.gomez@udla.edu.ec"/>
    <s v="Victor Gomez Regalado"/>
    <m/>
    <m/>
    <m/>
    <s v="Miércoles 22"/>
    <m/>
    <m/>
    <s v="Víctor Javier Gómez Regalado"/>
    <s v="Víctor Javier Gómez RegaladoRomero Lozano Michelle Stephanie"/>
    <m/>
    <x v="70"/>
    <m/>
    <m/>
    <s v="Muy bueno (16 puntos)"/>
    <n v="16"/>
    <m/>
    <s v="Muy bueno (16 puntos)"/>
    <n v="16"/>
    <m/>
    <s v="Muy bueno (16 puntos)"/>
    <n v="16"/>
    <m/>
    <s v="Muy bueno (8 puntos)"/>
    <n v="8"/>
    <m/>
    <s v="Muy bueno (8 puntos)"/>
    <n v="8"/>
    <m/>
    <s v="Muy bueno (8 puntos)"/>
    <n v="8"/>
    <m/>
    <s v="Muy bueno (8 puntos)"/>
    <n v="8"/>
    <m/>
    <m/>
  </r>
  <r>
    <n v="199"/>
    <d v="2026-04-22T08:51:39"/>
    <d v="2026-04-22T09:48:21"/>
    <s v="ana.tulcanaza@udla.edu.ec"/>
    <s v="Ana Belen Tulcanaza"/>
    <m/>
    <m/>
    <m/>
    <s v="Miércoles 22"/>
    <m/>
    <m/>
    <s v="Ana Belén Tulcanaza Prieto"/>
    <s v="Ana Belén Tulcanaza PrietoCarrillo Viera Ariel Fernando"/>
    <m/>
    <x v="71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00"/>
    <d v="2026-04-22T09:33:06"/>
    <d v="2026-04-22T09:53:19"/>
    <s v="victor.gomez@udla.edu.ec"/>
    <s v="Victor Gomez Regalado"/>
    <m/>
    <m/>
    <m/>
    <s v="Miércoles 22"/>
    <m/>
    <m/>
    <s v="Víctor Javier Gómez Regalado"/>
    <s v="Víctor Javier Gómez RegaladoTerán Aguilar Julio Alejandro"/>
    <m/>
    <x v="72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01"/>
    <d v="2026-04-22T09:27:44"/>
    <d v="2026-04-22T09:55:37"/>
    <s v="marco.galarza@udla.edu.ec"/>
    <s v="Marco Galarza"/>
    <m/>
    <m/>
    <m/>
    <s v="Miércoles 22"/>
    <m/>
    <m/>
    <s v="Marco Antonio Galarza Castillo"/>
    <s v="Marco Antonio Galarza CastilloGarrido Mejía Luis Alejandro"/>
    <m/>
    <x v="73"/>
    <m/>
    <m/>
    <s v="Excelente (20 puntos)"/>
    <n v="20"/>
    <m/>
    <s v="Excelente (20 puntos)"/>
    <n v="20"/>
    <m/>
    <s v="Excelente (20 puntos)"/>
    <n v="20"/>
    <m/>
    <s v="Muy bueno (8 puntos)"/>
    <n v="8"/>
    <m/>
    <s v="Excelente (10 puntos)"/>
    <n v="10"/>
    <m/>
    <s v="Excelente (10 puntos)"/>
    <n v="10"/>
    <m/>
    <s v="Excelente (10 puntos)"/>
    <n v="10"/>
    <m/>
    <m/>
  </r>
  <r>
    <n v="202"/>
    <d v="2026-04-22T09:53:22"/>
    <d v="2026-04-22T09:56:02"/>
    <s v="victor.gomez@udla.edu.ec"/>
    <s v="Victor Gomez Regalado"/>
    <m/>
    <m/>
    <m/>
    <s v="Miércoles 22"/>
    <m/>
    <m/>
    <s v="Víctor Javier Gómez Regalado"/>
    <s v="Víctor Javier Gómez RegaladoGarrido Mejía Luis Alejandro"/>
    <m/>
    <x v="73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03"/>
    <d v="2026-04-22T09:55:39"/>
    <d v="2026-04-22T09:56:18"/>
    <s v="marco.galarza@udla.edu.ec"/>
    <s v="Marco Galarza"/>
    <m/>
    <m/>
    <m/>
    <s v="Miércoles 22"/>
    <m/>
    <m/>
    <s v="Marco Antonio Galarza Castillo"/>
    <s v="Marco Antonio Galarza CastilloTerán Aguilar Julio Alejandro"/>
    <m/>
    <x v="72"/>
    <m/>
    <m/>
    <s v="Excelente (20 puntos)"/>
    <n v="20"/>
    <m/>
    <s v="Excelente (20 puntos)"/>
    <n v="20"/>
    <m/>
    <s v="Excelente (20 puntos)"/>
    <n v="20"/>
    <m/>
    <s v="Muy bueno (8 puntos)"/>
    <n v="8"/>
    <m/>
    <s v="Excelente (10 puntos)"/>
    <n v="10"/>
    <m/>
    <s v="Excelente (10 puntos)"/>
    <n v="10"/>
    <m/>
    <s v="Excelente (10 puntos)"/>
    <n v="10"/>
    <m/>
    <m/>
  </r>
  <r>
    <n v="204"/>
    <d v="2026-04-22T09:56:46"/>
    <d v="2026-04-22T10:02:51"/>
    <s v="eddy.armas@udla.edu.ec"/>
    <s v="Eddy Mauricio Armas"/>
    <m/>
    <m/>
    <m/>
    <s v="Miércoles 22"/>
    <m/>
    <m/>
    <s v="Eddy Mauricio Armas"/>
    <s v="Eddy Mauricio ArmasCarrillo Viera Ariel Fernando"/>
    <m/>
    <x v="71"/>
    <m/>
    <m/>
    <s v="Excelente (20 puntos)"/>
    <n v="20"/>
    <m/>
    <s v="Muy bueno (16 puntos)"/>
    <n v="16"/>
    <m/>
    <s v="Muy bueno (16 puntos)"/>
    <n v="16"/>
    <m/>
    <s v="Excelente (10 puntos)"/>
    <n v="10"/>
    <m/>
    <s v="Excelente (10 puntos)"/>
    <n v="10"/>
    <m/>
    <s v="Muy bueno (8 puntos)"/>
    <n v="8"/>
    <m/>
    <s v="Muy bueno (8 puntos)"/>
    <n v="8"/>
    <m/>
    <m/>
  </r>
  <r>
    <n v="205"/>
    <d v="2026-04-22T10:07:46"/>
    <d v="2026-04-22T10:25:23"/>
    <s v="patricia.acosta@udla.edu.ec"/>
    <s v="Patricia Acosta"/>
    <m/>
    <m/>
    <m/>
    <s v="Miércoles 22"/>
    <m/>
    <m/>
    <s v="Nelly Patricia Acosta Vargas"/>
    <s v="Nelly Patricia Acosta VargasOrtiz Esquivel Luz Eidy"/>
    <m/>
    <x v="74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06"/>
    <d v="2026-04-22T10:25:39"/>
    <d v="2026-04-22T10:26:57"/>
    <s v="patricia.acosta@udla.edu.ec"/>
    <s v="Patricia Acosta"/>
    <m/>
    <m/>
    <m/>
    <s v="Miércoles 22"/>
    <m/>
    <m/>
    <s v="Nelly Patricia Acosta Vargas"/>
    <s v="Nelly Patricia Acosta VargasArévalo Yépez Lucio Plácido"/>
    <m/>
    <x v="75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07"/>
    <d v="2026-04-22T09:58:58"/>
    <d v="2026-04-22T10:27:38"/>
    <s v="santiago.solorzano@udla.edu.ec"/>
    <s v="Santiago Leonardo Solórzano"/>
    <m/>
    <m/>
    <m/>
    <s v="Miércoles 22"/>
    <m/>
    <m/>
    <s v="Santiago Leonardo Solórzano"/>
    <s v="Santiago Leonardo SolórzanoZurita Landázuri Diego Alejandro"/>
    <m/>
    <x v="76"/>
    <m/>
    <m/>
    <s v="Muy bueno (16 puntos)"/>
    <n v="16"/>
    <m/>
    <s v="Muy bueno (16 puntos)"/>
    <n v="16"/>
    <m/>
    <s v="Muy bueno (16 puntos)"/>
    <n v="16"/>
    <m/>
    <s v="Bueno (6 puntos)"/>
    <n v="6"/>
    <m/>
    <s v="Muy bueno (8 puntos)"/>
    <n v="8"/>
    <m/>
    <s v="Bueno (6 puntos)"/>
    <n v="6"/>
    <m/>
    <s v="Muy bueno (8 puntos)"/>
    <n v="8"/>
    <m/>
    <m/>
  </r>
  <r>
    <n v="208"/>
    <d v="2026-04-22T09:58:57"/>
    <d v="2026-04-22T10:27:45"/>
    <s v="santiago.solorzano@udla.edu.ec"/>
    <s v="Santiago Leonardo Solórzano"/>
    <m/>
    <m/>
    <m/>
    <s v="Miércoles 22"/>
    <m/>
    <m/>
    <s v="Santiago Leonardo Solórzano"/>
    <s v="Santiago Leonardo SolórzanoRuano Flores Rubén Alexander"/>
    <m/>
    <x v="77"/>
    <m/>
    <m/>
    <s v="Muy bueno (16 puntos)"/>
    <n v="16"/>
    <m/>
    <s v="Muy bueno (16 puntos)"/>
    <n v="16"/>
    <m/>
    <s v="Muy bueno (16 puntos)"/>
    <n v="16"/>
    <m/>
    <s v="Bueno (6 puntos)"/>
    <n v="6"/>
    <m/>
    <s v="Muy bueno (8 puntos)"/>
    <n v="8"/>
    <m/>
    <s v="Bueno (6 puntos)"/>
    <n v="6"/>
    <m/>
    <s v="Muy bueno (8 puntos)"/>
    <n v="8"/>
    <m/>
    <m/>
  </r>
  <r>
    <n v="209"/>
    <d v="2026-04-22T10:27:03"/>
    <d v="2026-04-22T10:28:42"/>
    <s v="patricia.acosta@udla.edu.ec"/>
    <s v="Patricia Acosta"/>
    <m/>
    <m/>
    <m/>
    <s v="Miércoles 22"/>
    <m/>
    <m/>
    <s v="Nelly Patricia Acosta Vargas"/>
    <s v="Nelly Patricia Acosta VargasChimbo Naranjo Christian Leonardo"/>
    <m/>
    <x v="78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10"/>
    <d v="2026-04-22T09:56:20"/>
    <d v="2026-04-22T10:30:26"/>
    <s v="victor.gomez@udla.edu.ec"/>
    <s v="Victor Gomez Regalado"/>
    <m/>
    <m/>
    <m/>
    <s v="Miércoles 22"/>
    <m/>
    <m/>
    <s v="Víctor Javier Gómez Regalado"/>
    <s v="Víctor Javier Gómez RegaladoRuano Flores Rubén Alexander"/>
    <m/>
    <x v="77"/>
    <m/>
    <m/>
    <s v="Muy bueno (16 puntos)"/>
    <n v="16"/>
    <m/>
    <s v="Excelente (20 puntos)"/>
    <n v="20"/>
    <m/>
    <s v="Excelente (20 puntos)"/>
    <n v="20"/>
    <m/>
    <s v="Excelente (10 puntos)"/>
    <n v="10"/>
    <m/>
    <s v="Excelente (10 puntos)"/>
    <n v="10"/>
    <m/>
    <s v="Bueno (6 puntos)"/>
    <n v="6"/>
    <m/>
    <s v="Muy bueno (8 puntos)"/>
    <n v="8"/>
    <m/>
    <m/>
  </r>
  <r>
    <n v="211"/>
    <d v="2026-04-22T10:30:35"/>
    <d v="2026-04-22T10:31:23"/>
    <s v="victor.gomez@udla.edu.ec"/>
    <s v="Victor Gomez Regalado"/>
    <m/>
    <m/>
    <m/>
    <s v="Miércoles 22"/>
    <m/>
    <m/>
    <s v="Víctor Javier Gómez Regalado"/>
    <s v="Víctor Javier Gómez RegaladoZurita Landázuri Diego Alejandro"/>
    <m/>
    <x v="76"/>
    <m/>
    <m/>
    <s v="Muy bueno (16 puntos)"/>
    <n v="16"/>
    <m/>
    <s v="Excelente (20 puntos)"/>
    <n v="20"/>
    <m/>
    <s v="Excelente (20 puntos)"/>
    <n v="20"/>
    <m/>
    <s v="Excelente (10 puntos)"/>
    <n v="10"/>
    <m/>
    <s v="Muy bueno (8 puntos)"/>
    <n v="8"/>
    <m/>
    <s v="Bueno (6 puntos)"/>
    <n v="6"/>
    <m/>
    <s v="Muy bueno (8 puntos)"/>
    <n v="8"/>
    <m/>
    <m/>
  </r>
  <r>
    <n v="212"/>
    <d v="2026-04-22T10:32:33"/>
    <d v="2026-04-22T10:33:03"/>
    <s v="marco.galarza@udla.edu.ec"/>
    <s v="Marco Galarza"/>
    <m/>
    <m/>
    <m/>
    <s v="Miércoles 22"/>
    <m/>
    <m/>
    <s v="Marco Antonio Galarza Castillo"/>
    <s v="Marco Antonio Galarza CastilloArévalo Yépez Lucio Plácido"/>
    <m/>
    <x v="75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213"/>
    <d v="2026-04-22T10:33:05"/>
    <d v="2026-04-22T10:33:31"/>
    <s v="marco.galarza@udla.edu.ec"/>
    <s v="Marco Galarza"/>
    <m/>
    <m/>
    <m/>
    <s v="Miércoles 22"/>
    <m/>
    <m/>
    <s v="Marco Antonio Galarza Castillo"/>
    <s v="Marco Antonio Galarza CastilloChimbo Naranjo Christian Leonardo"/>
    <m/>
    <x v="78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14"/>
    <d v="2026-04-22T10:33:33"/>
    <d v="2026-04-22T10:34:03"/>
    <s v="marco.galarza@udla.edu.ec"/>
    <s v="Marco Galarza"/>
    <m/>
    <m/>
    <m/>
    <s v="Miércoles 22"/>
    <m/>
    <m/>
    <s v="Marco Antonio Galarza Castillo"/>
    <s v="Marco Antonio Galarza CastilloOrtiz Esquivel Luz Eidy"/>
    <m/>
    <x v="74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15"/>
    <d v="2026-04-22T09:28:27"/>
    <d v="2026-04-22T10:35:12"/>
    <s v="edwin.garcia.aucatoma@udla.edu.ec"/>
    <s v="Edwin Garcia Aucatoma"/>
    <m/>
    <m/>
    <m/>
    <s v="Miércoles 22"/>
    <m/>
    <m/>
    <s v="Edwin García Aucatoma"/>
    <s v="Edwin García AucatomaGarrido Mejía Luis Alejandro"/>
    <m/>
    <x v="73"/>
    <m/>
    <m/>
    <s v="Excelente (20 puntos)"/>
    <n v="20"/>
    <m/>
    <s v="Muy bueno (16 puntos)"/>
    <n v="16"/>
    <m/>
    <s v="Excelente (20 puntos)"/>
    <n v="20"/>
    <m/>
    <s v="Bueno (6 puntos)"/>
    <n v="6"/>
    <m/>
    <s v="Excelente (10 puntos)"/>
    <n v="10"/>
    <m/>
    <s v="Excelente (10 puntos)"/>
    <n v="10"/>
    <m/>
    <s v="Excelente (10 puntos)"/>
    <n v="10"/>
    <m/>
    <m/>
  </r>
  <r>
    <n v="216"/>
    <d v="2026-04-22T09:35:35"/>
    <d v="2026-04-22T10:36:15"/>
    <s v="edwin.garcia.aucatoma@udla.edu.ec"/>
    <s v="Edwin Garcia Aucatoma"/>
    <m/>
    <m/>
    <m/>
    <s v="Miércoles 22"/>
    <m/>
    <m/>
    <s v="Edwin García Aucatoma"/>
    <s v="Edwin García AucatomaTerán Aguilar Julio Alejandro"/>
    <m/>
    <x v="72"/>
    <m/>
    <m/>
    <s v="Excelente (20 puntos)"/>
    <n v="20"/>
    <m/>
    <s v="Muy bueno (16 puntos)"/>
    <n v="16"/>
    <m/>
    <s v="Excelente (20 puntos)"/>
    <n v="20"/>
    <m/>
    <s v="Bueno (6 puntos)"/>
    <n v="6"/>
    <m/>
    <s v="Excelente (10 puntos)"/>
    <n v="10"/>
    <m/>
    <s v="Excelente (10 puntos)"/>
    <n v="10"/>
    <m/>
    <s v="Excelente (10 puntos)"/>
    <n v="10"/>
    <m/>
    <m/>
  </r>
  <r>
    <n v="217"/>
    <d v="2026-04-22T10:29:57"/>
    <d v="2026-04-22T10:41:45"/>
    <s v="bernarda.sandoval@udla.edu.ec"/>
    <s v="Bernarda Cecibel Sandoval"/>
    <m/>
    <m/>
    <m/>
    <s v="Miércoles 22"/>
    <m/>
    <m/>
    <s v="Bernarda Sandoval Romo"/>
    <s v="Bernarda Sandoval RomoZurita Landázuri Diego Alejandro"/>
    <m/>
    <x v="76"/>
    <m/>
    <m/>
    <s v="Muy bueno (16 puntos)"/>
    <n v="16"/>
    <m/>
    <s v="Bueno (12 puntos)"/>
    <n v="12"/>
    <m/>
    <s v="Bueno (12 puntos)"/>
    <n v="12"/>
    <m/>
    <s v="Insuficiente (2 puntos)"/>
    <n v="2"/>
    <m/>
    <s v="Muy bueno (8 puntos)"/>
    <n v="8"/>
    <m/>
    <s v="Bueno (6 puntos)"/>
    <n v="6"/>
    <m/>
    <s v="Insuficiente (2 puntos)"/>
    <n v="2"/>
    <m/>
    <m/>
  </r>
  <r>
    <n v="218"/>
    <d v="2026-04-22T10:41:48"/>
    <d v="2026-04-22T10:44:41"/>
    <s v="bernarda.sandoval@udla.edu.ec"/>
    <s v="Bernarda Cecibel Sandoval"/>
    <m/>
    <m/>
    <m/>
    <s v="Miércoles 22"/>
    <m/>
    <m/>
    <s v="Bernarda Sandoval Romo"/>
    <s v="Bernarda Sandoval RomoRuano Flores Rubén Alexander"/>
    <m/>
    <x v="77"/>
    <m/>
    <m/>
    <s v="Excelente (20 puntos)"/>
    <n v="20"/>
    <m/>
    <s v="Muy bueno (16 puntos)"/>
    <n v="16"/>
    <m/>
    <s v="Bueno (12 puntos)"/>
    <n v="12"/>
    <m/>
    <s v="Bueno (6 puntos)"/>
    <n v="6"/>
    <m/>
    <s v="Muy bueno (8 puntos)"/>
    <n v="8"/>
    <m/>
    <s v="Bueno (6 puntos)"/>
    <n v="6"/>
    <m/>
    <s v="Insuficiente (2 puntos)"/>
    <n v="2"/>
    <m/>
    <m/>
  </r>
  <r>
    <n v="219"/>
    <d v="2026-04-22T10:33:19"/>
    <d v="2026-04-22T10:50:04"/>
    <s v="ana.tulcanaza@udla.edu.ec"/>
    <s v="Ana Belen Tulcanaza"/>
    <m/>
    <m/>
    <m/>
    <s v="Miércoles 22"/>
    <m/>
    <m/>
    <s v="Ana Belén Tulcanaza Prieto"/>
    <s v="Ana Belén Tulcanaza PrietoJácome Macías Anne"/>
    <m/>
    <x v="79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21"/>
    <d v="2026-04-22T10:53:46"/>
    <d v="2026-04-22T10:56:48"/>
    <s v="anamaria.pazmino@udla.edu.ec"/>
    <s v="Ana María Pazmiño Delgado"/>
    <m/>
    <m/>
    <m/>
    <s v="Miércoles 22"/>
    <m/>
    <m/>
    <s v="Ana María Pazmiño Delgado"/>
    <s v="Ana María Pazmiño DelgadoPulupa Quishpe Francisco Miguel"/>
    <m/>
    <x v="80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22"/>
    <d v="2026-04-22T10:34:05"/>
    <d v="2026-04-22T10:57:00"/>
    <s v="marco.galarza@udla.edu.ec"/>
    <s v="Marco Galarza"/>
    <m/>
    <m/>
    <m/>
    <s v="Miércoles 22"/>
    <m/>
    <m/>
    <s v="Marco Antonio Galarza Castillo"/>
    <s v="Marco Antonio Galarza CastilloCastro Suasnavas Diego Fernando"/>
    <m/>
    <x v="81"/>
    <m/>
    <m/>
    <s v="Excelente (20 puntos)"/>
    <n v="20"/>
    <m/>
    <s v="Excelente (20 puntos)"/>
    <n v="20"/>
    <m/>
    <s v="Excelente (20 puntos)"/>
    <n v="20"/>
    <m/>
    <s v="Muy bueno (8 puntos)"/>
    <n v="8"/>
    <m/>
    <s v="Excelente (10 puntos)"/>
    <n v="10"/>
    <m/>
    <s v="Excelente (10 puntos)"/>
    <n v="10"/>
    <m/>
    <s v="Excelente (10 puntos)"/>
    <n v="10"/>
    <m/>
    <m/>
  </r>
  <r>
    <n v="223"/>
    <d v="2026-04-22T10:33:22"/>
    <d v="2026-04-22T10:57:20"/>
    <s v="santiago.solorzano@udla.edu.ec"/>
    <s v="Santiago Leonardo Solórzano"/>
    <m/>
    <m/>
    <m/>
    <s v="Miércoles 22"/>
    <m/>
    <m/>
    <s v="Santiago Leonardo Solórzano"/>
    <s v="Santiago Leonardo SolórzanoRosero Guevara Ariana Micaela"/>
    <m/>
    <x v="82"/>
    <m/>
    <m/>
    <s v="Excelente (20 puntos)"/>
    <n v="20"/>
    <m/>
    <s v="Excelente (20 puntos)"/>
    <n v="20"/>
    <m/>
    <s v="Muy bueno (16 puntos)"/>
    <n v="16"/>
    <m/>
    <s v="Excelente (10 puntos)"/>
    <n v="10"/>
    <m/>
    <s v="Muy bueno (8 puntos)"/>
    <n v="8"/>
    <m/>
    <s v="Excelente (10 puntos)"/>
    <n v="10"/>
    <m/>
    <s v="Excelente (10 puntos)"/>
    <n v="10"/>
    <m/>
    <m/>
  </r>
  <r>
    <n v="224"/>
    <d v="2026-04-22T10:57:02"/>
    <d v="2026-04-22T10:57:34"/>
    <s v="marco.galarza@udla.edu.ec"/>
    <s v="Marco Galarza"/>
    <m/>
    <m/>
    <m/>
    <s v="Miércoles 22"/>
    <m/>
    <m/>
    <s v="Marco Antonio Galarza Castillo"/>
    <s v="Marco Antonio Galarza CastilloFlores Garzón Edwin Patricio"/>
    <m/>
    <x v="83"/>
    <m/>
    <m/>
    <s v="Excelente (20 puntos)"/>
    <n v="20"/>
    <m/>
    <s v="Excelente (20 puntos)"/>
    <n v="20"/>
    <m/>
    <s v="Excelente (20 puntos)"/>
    <n v="20"/>
    <m/>
    <s v="Muy bueno (8 puntos)"/>
    <n v="8"/>
    <m/>
    <s v="Excelente (10 puntos)"/>
    <n v="10"/>
    <m/>
    <s v="Excelente (10 puntos)"/>
    <n v="10"/>
    <m/>
    <s v="Excelente (10 puntos)"/>
    <n v="10"/>
    <m/>
    <m/>
  </r>
  <r>
    <n v="225"/>
    <d v="2026-04-22T10:33:24"/>
    <d v="2026-04-22T10:57:35"/>
    <s v="santiago.solorzano@udla.edu.ec"/>
    <s v="Santiago Leonardo Solórzano"/>
    <m/>
    <m/>
    <m/>
    <s v="Miércoles 22"/>
    <m/>
    <m/>
    <s v="Santiago Leonardo Solórzano"/>
    <s v="Santiago Leonardo SolórzanoPáez Cevallos Santiago Alejandro"/>
    <m/>
    <x v="84"/>
    <m/>
    <m/>
    <s v="Excelente (20 puntos)"/>
    <n v="20"/>
    <m/>
    <s v="Excelente (20 puntos)"/>
    <n v="20"/>
    <m/>
    <s v="Muy bueno (16 puntos)"/>
    <n v="16"/>
    <m/>
    <s v="Excelente (10 puntos)"/>
    <n v="10"/>
    <m/>
    <s v="Muy bueno (8 puntos)"/>
    <n v="8"/>
    <m/>
    <s v="Excelente (10 puntos)"/>
    <n v="10"/>
    <m/>
    <s v="Excelente (10 puntos)"/>
    <n v="10"/>
    <m/>
    <m/>
  </r>
  <r>
    <n v="226"/>
    <d v="2026-04-22T09:58:52"/>
    <d v="2026-04-22T10:57:55"/>
    <s v="santiago.solorzano@udla.edu.ec"/>
    <s v="Santiago Leonardo Solórzano"/>
    <m/>
    <m/>
    <m/>
    <s v="Miércoles 22"/>
    <m/>
    <m/>
    <s v="Santiago Leonardo Solórzano"/>
    <s v="Santiago Leonardo SolórzanoUsiña Esteban Wladimir"/>
    <m/>
    <x v="85"/>
    <m/>
    <m/>
    <s v="Excelente (20 puntos)"/>
    <n v="20"/>
    <m/>
    <s v="Excelente (20 puntos)"/>
    <n v="20"/>
    <m/>
    <s v="Muy bueno (16 puntos)"/>
    <n v="16"/>
    <m/>
    <s v="Excelente (10 puntos)"/>
    <n v="10"/>
    <m/>
    <s v="Muy bueno (8 puntos)"/>
    <n v="8"/>
    <m/>
    <s v="Excelente (10 puntos)"/>
    <n v="10"/>
    <m/>
    <s v="Excelente (10 puntos)"/>
    <n v="10"/>
    <m/>
    <m/>
  </r>
  <r>
    <n v="227"/>
    <d v="2026-04-22T10:57:36"/>
    <d v="2026-04-22T10:58:17"/>
    <s v="marco.galarza@udla.edu.ec"/>
    <s v="Marco Galarza"/>
    <m/>
    <m/>
    <m/>
    <s v="Miércoles 22"/>
    <m/>
    <m/>
    <s v="Marco Antonio Galarza Castillo"/>
    <s v="Marco Antonio Galarza CastilloPulupa Quishpe Francisco Miguel"/>
    <m/>
    <x v="80"/>
    <m/>
    <m/>
    <s v="Excelente (20 puntos)"/>
    <n v="20"/>
    <m/>
    <s v="Excelente (20 puntos)"/>
    <n v="20"/>
    <m/>
    <s v="Excelente (20 puntos)"/>
    <n v="20"/>
    <m/>
    <s v="Muy bueno (8 puntos)"/>
    <n v="8"/>
    <m/>
    <s v="Excelente (10 puntos)"/>
    <n v="10"/>
    <m/>
    <s v="Excelente (10 puntos)"/>
    <n v="10"/>
    <m/>
    <s v="Excelente (10 puntos)"/>
    <n v="10"/>
    <m/>
    <m/>
  </r>
  <r>
    <n v="228"/>
    <d v="2026-04-22T10:58:53"/>
    <d v="2026-04-22T10:59:22"/>
    <s v="anamaria.pazmino@udla.edu.ec"/>
    <s v="Ana María Pazmiño Delgado"/>
    <m/>
    <m/>
    <m/>
    <s v="Miércoles 22"/>
    <m/>
    <m/>
    <s v="Ana María Pazmiño Delgado"/>
    <s v="Ana María Pazmiño DelgadoCastro Suasnavas Diego Fernando"/>
    <m/>
    <x v="81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29"/>
    <d v="2026-04-22T10:03:43"/>
    <d v="2026-04-22T10:59:58"/>
    <s v="aracely.yandun@udla.edu.ec"/>
    <s v="Aracely Ines Yandun Torres"/>
    <m/>
    <m/>
    <m/>
    <s v="Miércoles 22"/>
    <m/>
    <m/>
    <s v="Aracely Ines Yandun Torres"/>
    <s v="Aracely Ines Yandun TorresPulupa Quishpe Francisco Miguel"/>
    <m/>
    <x v="80"/>
    <m/>
    <m/>
    <s v="Excelente (20 puntos)"/>
    <n v="20"/>
    <m/>
    <s v="Muy bueno (16 puntos)"/>
    <n v="16"/>
    <m/>
    <s v="Excelente (20 puntos)"/>
    <n v="20"/>
    <m/>
    <s v="Excelente (10 puntos)"/>
    <n v="10"/>
    <m/>
    <s v="Excelente (10 puntos)"/>
    <n v="10"/>
    <m/>
    <s v="Excelente (10 puntos)"/>
    <n v="10"/>
    <m/>
    <s v="Muy bueno (8 puntos)"/>
    <n v="8"/>
    <m/>
    <m/>
  </r>
  <r>
    <n v="230"/>
    <d v="2026-04-22T10:59:27"/>
    <d v="2026-04-22T11:00:08"/>
    <s v="anamaria.pazmino@udla.edu.ec"/>
    <s v="Ana María Pazmiño Delgado"/>
    <m/>
    <m/>
    <m/>
    <s v="Miércoles 22"/>
    <m/>
    <m/>
    <s v="Ana María Pazmiño Delgado"/>
    <s v="Ana María Pazmiño DelgadoFlores Garzón Edwin Patricio"/>
    <m/>
    <x v="83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31"/>
    <d v="2026-04-22T10:59:59"/>
    <d v="2026-04-22T11:00:58"/>
    <s v="aracely.yandun@udla.edu.ec"/>
    <s v="Aracely Ines Yandun Torres"/>
    <m/>
    <m/>
    <m/>
    <s v="Miércoles 22"/>
    <m/>
    <m/>
    <s v="Aracely Ines Yandun Torres"/>
    <s v="Aracely Ines Yandun TorresFlores Garzón Edwin Patricio"/>
    <m/>
    <x v="83"/>
    <m/>
    <m/>
    <s v="Excelente (20 puntos)"/>
    <n v="20"/>
    <m/>
    <s v="Muy bueno (16 puntos)"/>
    <n v="16"/>
    <m/>
    <s v="Excelente (20 puntos)"/>
    <n v="20"/>
    <m/>
    <s v="Excelente (10 puntos)"/>
    <n v="10"/>
    <m/>
    <s v="Excelente (10 puntos)"/>
    <n v="10"/>
    <m/>
    <s v="Excelente (10 puntos)"/>
    <n v="10"/>
    <m/>
    <s v="Muy bueno (8 puntos)"/>
    <n v="8"/>
    <m/>
    <m/>
  </r>
  <r>
    <n v="232"/>
    <d v="2026-04-22T11:01:00"/>
    <d v="2026-04-22T11:02:34"/>
    <s v="aracely.yandun@udla.edu.ec"/>
    <s v="Aracely Ines Yandun Torres"/>
    <m/>
    <m/>
    <m/>
    <s v="Miércoles 22"/>
    <m/>
    <m/>
    <s v="Aracely Ines Yandun Torres"/>
    <s v="Aracely Ines Yandun TorresCastro Suasnavas Diego Fernando"/>
    <m/>
    <x v="81"/>
    <m/>
    <m/>
    <s v="Excelente (20 puntos)"/>
    <n v="20"/>
    <m/>
    <s v="Muy bueno (16 puntos)"/>
    <n v="16"/>
    <m/>
    <s v="Excelente (20 puntos)"/>
    <n v="20"/>
    <m/>
    <s v="Excelente (10 puntos)"/>
    <n v="10"/>
    <m/>
    <s v="Excelente (10 puntos)"/>
    <n v="10"/>
    <m/>
    <s v="Excelente (10 puntos)"/>
    <n v="10"/>
    <m/>
    <s v="Muy bueno (8 puntos)"/>
    <n v="8"/>
    <m/>
    <m/>
  </r>
  <r>
    <n v="233"/>
    <d v="2026-04-22T11:15:32"/>
    <d v="2026-04-22T11:16:47"/>
    <s v="anamaria.pazmino@udla.edu.ec"/>
    <s v="Ana María Pazmiño Delgado"/>
    <m/>
    <m/>
    <m/>
    <s v="Miércoles 22"/>
    <m/>
    <m/>
    <s v="Ana María Pazmiño Delgado"/>
    <s v="Ana María Pazmiño DelgadoSuárez Minchala Lizbeth Alejandra"/>
    <m/>
    <x v="86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234"/>
    <d v="2026-04-22T11:16:51"/>
    <d v="2026-04-22T11:17:25"/>
    <s v="anamaria.pazmino@udla.edu.ec"/>
    <s v="Ana María Pazmiño Delgado"/>
    <m/>
    <m/>
    <m/>
    <s v="Miércoles 22"/>
    <m/>
    <m/>
    <s v="Ana María Pazmiño Delgado"/>
    <s v="Ana María Pazmiño DelgadoVaca Condor Edwin Alexis"/>
    <m/>
    <x v="87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35"/>
    <d v="2026-04-22T11:00:42"/>
    <d v="2026-04-22T11:25:41"/>
    <s v="santiago.solorzano@udla.edu.ec"/>
    <s v="Santiago Leonardo Solórzano"/>
    <m/>
    <m/>
    <m/>
    <s v="Miércoles 22"/>
    <m/>
    <m/>
    <s v="Santiago Leonardo Solórzano"/>
    <s v="Santiago Leonardo SolórzanoCaizaluisa Cruz Héctor Rodrigo"/>
    <m/>
    <x v="88"/>
    <m/>
    <m/>
    <s v="Excelente (20 puntos)"/>
    <n v="20"/>
    <m/>
    <s v="Excelente (20 puntos)"/>
    <n v="20"/>
    <m/>
    <s v="Excelente (20 puntos)"/>
    <n v="20"/>
    <m/>
    <s v="Excelente (10 puntos)"/>
    <n v="10"/>
    <m/>
    <s v="Muy bueno (8 puntos)"/>
    <n v="8"/>
    <m/>
    <s v="Excelente (10 puntos)"/>
    <n v="10"/>
    <m/>
    <s v="Excelente (10 puntos)"/>
    <n v="10"/>
    <m/>
    <m/>
  </r>
  <r>
    <n v="236"/>
    <d v="2026-04-22T11:00:44"/>
    <d v="2026-04-22T11:25:46"/>
    <s v="santiago.solorzano@udla.edu.ec"/>
    <s v="Santiago Leonardo Solórzano"/>
    <m/>
    <m/>
    <m/>
    <s v="Miércoles 22"/>
    <m/>
    <m/>
    <s v="Santiago Leonardo Solórzano"/>
    <s v="Santiago Leonardo SolórzanoMosquera Valenzuela Giovani David"/>
    <m/>
    <x v="89"/>
    <m/>
    <m/>
    <s v="Excelente (20 puntos)"/>
    <n v="20"/>
    <m/>
    <s v="Excelente (20 puntos)"/>
    <n v="20"/>
    <m/>
    <s v="Excelente (20 puntos)"/>
    <n v="20"/>
    <m/>
    <s v="Excelente (10 puntos)"/>
    <n v="10"/>
    <m/>
    <s v="Muy bueno (8 puntos)"/>
    <n v="8"/>
    <m/>
    <s v="Excelente (10 puntos)"/>
    <n v="10"/>
    <m/>
    <s v="Excelente (10 puntos)"/>
    <n v="10"/>
    <m/>
    <m/>
  </r>
  <r>
    <n v="237"/>
    <d v="2026-04-22T11:28:33"/>
    <d v="2026-04-22T11:29:35"/>
    <s v="diego.gonzalez.segovia@udla.edu.ec"/>
    <s v="Diego Xavier Gonzalez Segovia"/>
    <m/>
    <m/>
    <m/>
    <s v="Miércoles 22"/>
    <m/>
    <m/>
    <s v="Diego Xavier Gonzalez Segovia"/>
    <s v="Diego Xavier Gonzalez SegoviaVaca Condor Edwin Alexis"/>
    <m/>
    <x v="87"/>
    <m/>
    <m/>
    <s v="Excelente (20 puntos)"/>
    <n v="20"/>
    <m/>
    <s v="Excelente (20 puntos)"/>
    <n v="20"/>
    <m/>
    <s v="Muy bueno (16 puntos)"/>
    <n v="16"/>
    <m/>
    <s v="Excelente (10 puntos)"/>
    <n v="10"/>
    <m/>
    <s v="Excelente (10 puntos)"/>
    <n v="10"/>
    <m/>
    <s v="Muy bueno (8 puntos)"/>
    <n v="8"/>
    <m/>
    <s v="Muy bueno (8 puntos)"/>
    <n v="8"/>
    <m/>
    <m/>
  </r>
  <r>
    <n v="238"/>
    <d v="2026-04-22T11:06:43"/>
    <d v="2026-04-22T11:30:06"/>
    <s v="cristian.fabara@udla.edu.ec"/>
    <s v="Cristian Paúl Fabara Rodríguez"/>
    <m/>
    <m/>
    <m/>
    <s v="Miércoles 22"/>
    <m/>
    <m/>
    <s v="Cristian Paúl Fabara Rodríguez"/>
    <s v="Cristian Paúl Fabara RodríguezCaizaluisa Cruz Héctor Rodrigo"/>
    <m/>
    <x v="88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39"/>
    <d v="2026-04-22T11:29:39"/>
    <d v="2026-04-22T11:30:42"/>
    <s v="diego.gonzalez.segovia@udla.edu.ec"/>
    <s v="Diego Xavier Gonzalez Segovia"/>
    <m/>
    <m/>
    <m/>
    <s v="Miércoles 22"/>
    <m/>
    <m/>
    <s v="Diego Xavier Gonzalez Segovia"/>
    <s v="Diego Xavier Gonzalez SegoviaSuárez Minchala Lizbeth Alejandra"/>
    <m/>
    <x v="86"/>
    <m/>
    <m/>
    <s v="Excelente (20 puntos)"/>
    <n v="20"/>
    <m/>
    <s v="Excelente (20 puntos)"/>
    <n v="20"/>
    <m/>
    <s v="Muy bueno (16 puntos)"/>
    <n v="16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240"/>
    <d v="2026-04-22T10:58:19"/>
    <d v="2026-04-22T11:31:15"/>
    <s v="marco.galarza@udla.edu.ec"/>
    <s v="Marco Galarza"/>
    <m/>
    <m/>
    <m/>
    <s v="Miércoles 22"/>
    <m/>
    <m/>
    <s v="Marco Antonio Galarza Castillo"/>
    <s v="Marco Antonio Galarza CastilloCaizaluisa Cruz Héctor Rodrigo"/>
    <m/>
    <x v="88"/>
    <m/>
    <m/>
    <s v="Excelente (20 puntos)"/>
    <n v="20"/>
    <m/>
    <s v="Excelente (20 puntos)"/>
    <n v="20"/>
    <m/>
    <s v="Excelente (20 puntos)"/>
    <n v="20"/>
    <m/>
    <s v="Muy bueno (8 puntos)"/>
    <n v="8"/>
    <m/>
    <s v="Excelente (10 puntos)"/>
    <n v="10"/>
    <m/>
    <s v="Excelente (10 puntos)"/>
    <n v="10"/>
    <m/>
    <s v="Excelente (10 puntos)"/>
    <n v="10"/>
    <m/>
    <m/>
  </r>
  <r>
    <n v="241"/>
    <d v="2026-04-22T11:31:17"/>
    <d v="2026-04-22T11:31:54"/>
    <s v="marco.galarza@udla.edu.ec"/>
    <s v="Marco Galarza"/>
    <m/>
    <m/>
    <m/>
    <s v="Miércoles 22"/>
    <m/>
    <m/>
    <s v="Marco Antonio Galarza Castillo"/>
    <s v="Marco Antonio Galarza CastilloMosquera Valenzuela Giovani David"/>
    <m/>
    <x v="89"/>
    <m/>
    <m/>
    <s v="Excelente (20 puntos)"/>
    <n v="20"/>
    <m/>
    <s v="Excelente (20 puntos)"/>
    <n v="20"/>
    <m/>
    <s v="Excelente (20 puntos)"/>
    <n v="20"/>
    <m/>
    <s v="Muy bueno (8 puntos)"/>
    <n v="8"/>
    <m/>
    <s v="Excelente (10 puntos)"/>
    <n v="10"/>
    <m/>
    <s v="Excelente (10 puntos)"/>
    <n v="10"/>
    <m/>
    <s v="Excelente (10 puntos)"/>
    <n v="10"/>
    <m/>
    <m/>
  </r>
  <r>
    <n v="242"/>
    <d v="2026-04-22T11:30:08"/>
    <d v="2026-04-22T11:33:36"/>
    <s v="cristian.fabara@udla.edu.ec"/>
    <s v="Cristian Paúl Fabara Rodríguez"/>
    <m/>
    <m/>
    <m/>
    <s v="Miércoles 22"/>
    <m/>
    <m/>
    <s v="Cristian Paúl Fabara Rodríguez"/>
    <s v="Cristian Paúl Fabara RodríguezMosquera Valenzuela Giovani David"/>
    <m/>
    <x v="89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43"/>
    <d v="2026-04-22T11:31:56"/>
    <d v="2026-04-22T12:01:55"/>
    <s v="marco.galarza@udla.edu.ec"/>
    <s v="Marco Galarza"/>
    <m/>
    <m/>
    <m/>
    <s v="Miércoles 22"/>
    <m/>
    <m/>
    <s v="Marco Antonio Galarza Castillo"/>
    <s v="Marco Antonio Galarza CastilloGarcía Robles Natasha Teresa"/>
    <m/>
    <x v="90"/>
    <m/>
    <m/>
    <s v="Excelente (20 puntos)"/>
    <n v="20"/>
    <m/>
    <s v="Excelente (20 puntos)"/>
    <n v="20"/>
    <m/>
    <s v="Excelente (20 puntos)"/>
    <n v="20"/>
    <m/>
    <s v="Muy bueno (8 puntos)"/>
    <n v="8"/>
    <m/>
    <s v="Excelente (10 puntos)"/>
    <n v="10"/>
    <m/>
    <s v="Excelente (10 puntos)"/>
    <n v="10"/>
    <m/>
    <s v="Excelente (10 puntos)"/>
    <n v="10"/>
    <m/>
    <m/>
  </r>
  <r>
    <n v="244"/>
    <d v="2026-04-22T12:01:57"/>
    <d v="2026-04-22T12:02:27"/>
    <s v="marco.galarza@udla.edu.ec"/>
    <s v="Marco Galarza"/>
    <m/>
    <m/>
    <m/>
    <s v="Miércoles 22"/>
    <m/>
    <m/>
    <s v="Marco Antonio Galarza Castillo"/>
    <s v="Marco Antonio Galarza CastilloAbad Anchundia Carlos Alejandro"/>
    <m/>
    <x v="91"/>
    <m/>
    <m/>
    <s v="Excelente (20 puntos)"/>
    <n v="20"/>
    <m/>
    <s v="Excelente (20 puntos)"/>
    <n v="20"/>
    <m/>
    <s v="Excelente (20 puntos)"/>
    <n v="20"/>
    <m/>
    <s v="Muy bueno (8 puntos)"/>
    <n v="8"/>
    <m/>
    <s v="Excelente (10 puntos)"/>
    <n v="10"/>
    <m/>
    <s v="Excelente (10 puntos)"/>
    <n v="10"/>
    <m/>
    <s v="Excelente (10 puntos)"/>
    <n v="10"/>
    <m/>
    <m/>
  </r>
  <r>
    <n v="245"/>
    <d v="2026-04-22T12:02:29"/>
    <d v="2026-04-22T12:02:57"/>
    <s v="marco.galarza@udla.edu.ec"/>
    <s v="Marco Galarza"/>
    <m/>
    <m/>
    <m/>
    <s v="Miércoles 22"/>
    <m/>
    <m/>
    <s v="Marco Antonio Galarza Castillo"/>
    <s v="Marco Antonio Galarza CastilloTorres Quenoran Christian David"/>
    <m/>
    <x v="92"/>
    <m/>
    <m/>
    <s v="Excelente (20 puntos)"/>
    <n v="20"/>
    <m/>
    <s v="Excelente (20 puntos)"/>
    <n v="20"/>
    <m/>
    <s v="Excelente (20 puntos)"/>
    <n v="20"/>
    <m/>
    <s v="Muy bueno (8 puntos)"/>
    <n v="8"/>
    <m/>
    <s v="Excelente (10 puntos)"/>
    <n v="10"/>
    <m/>
    <s v="Excelente (10 puntos)"/>
    <n v="10"/>
    <m/>
    <s v="Excelente (10 puntos)"/>
    <n v="10"/>
    <m/>
    <m/>
  </r>
  <r>
    <n v="246"/>
    <d v="2026-04-22T11:24:26"/>
    <d v="2026-04-22T12:03:43"/>
    <s v="paulo.guerra.teran@udla.edu.ec"/>
    <s v="Paulo Roberto Guerra"/>
    <m/>
    <m/>
    <m/>
    <s v="Miércoles 22"/>
    <m/>
    <m/>
    <s v="Paulo Roberto Guerra"/>
    <s v="Paulo Roberto GuerraAbad Anchundia Carlos Alejandro"/>
    <m/>
    <x v="91"/>
    <m/>
    <m/>
    <s v="Excelente (20 puntos)"/>
    <n v="20"/>
    <m/>
    <s v="Bueno (12 puntos)"/>
    <n v="12"/>
    <m/>
    <s v="Muy bueno (16 puntos)"/>
    <n v="16"/>
    <m/>
    <s v="Excelente (10 puntos)"/>
    <n v="10"/>
    <m/>
    <s v="Muy bueno (8 puntos)"/>
    <n v="8"/>
    <m/>
    <s v="Muy bueno (8 puntos)"/>
    <n v="8"/>
    <m/>
    <s v="Muy bueno (8 puntos)"/>
    <n v="8"/>
    <m/>
    <m/>
  </r>
  <r>
    <n v="247"/>
    <d v="2026-04-22T12:03:46"/>
    <d v="2026-04-22T12:05:29"/>
    <s v="paulo.guerra.teran@udla.edu.ec"/>
    <s v="Paulo Roberto Guerra"/>
    <m/>
    <m/>
    <m/>
    <s v="Miércoles 22"/>
    <m/>
    <m/>
    <s v="Paulo Roberto Guerra"/>
    <s v="Paulo Roberto GuerraGarcía Robles Natasha Teresa"/>
    <m/>
    <x v="90"/>
    <m/>
    <m/>
    <s v="Excelente (20 puntos)"/>
    <n v="20"/>
    <m/>
    <s v="Bueno (12 puntos)"/>
    <n v="12"/>
    <m/>
    <s v="Muy bueno (16 puntos)"/>
    <n v="16"/>
    <m/>
    <s v="Excelente (10 puntos)"/>
    <n v="10"/>
    <m/>
    <s v="Muy bueno (8 puntos)"/>
    <n v="8"/>
    <m/>
    <s v="Muy bueno (8 puntos)"/>
    <n v="8"/>
    <m/>
    <s v="Muy bueno (8 puntos)"/>
    <n v="8"/>
    <m/>
    <m/>
  </r>
  <r>
    <n v="248"/>
    <d v="2026-04-22T12:05:39"/>
    <d v="2026-04-22T12:07:37"/>
    <s v="paulo.guerra.teran@udla.edu.ec"/>
    <s v="Paulo Roberto Guerra"/>
    <m/>
    <m/>
    <m/>
    <s v="Miércoles 22"/>
    <m/>
    <m/>
    <s v="Paulo Roberto Guerra"/>
    <s v="Paulo Roberto GuerraTorres Quenoran Christian David"/>
    <m/>
    <x v="92"/>
    <m/>
    <m/>
    <s v="Muy bueno (16 puntos)"/>
    <n v="16"/>
    <m/>
    <s v="Bueno (12 puntos)"/>
    <n v="12"/>
    <m/>
    <s v="Muy bueno (16 puntos)"/>
    <n v="16"/>
    <m/>
    <s v="Excelente (10 puntos)"/>
    <n v="10"/>
    <m/>
    <s v="Muy bueno (8 puntos)"/>
    <n v="8"/>
    <m/>
    <s v="Muy bueno (8 puntos)"/>
    <n v="8"/>
    <m/>
    <s v="Muy bueno (8 puntos)"/>
    <n v="8"/>
    <m/>
    <m/>
  </r>
  <r>
    <n v="249"/>
    <d v="2026-04-22T12:02:44"/>
    <d v="2026-04-22T12:33:21"/>
    <s v="washington.luna@udla.edu.ec"/>
    <s v="Oswaldo Luna"/>
    <m/>
    <m/>
    <m/>
    <s v="Miércoles 22"/>
    <m/>
    <m/>
    <s v="Oswaldo Luna"/>
    <s v="Oswaldo LunaPadilla Salgado Jorge Andrés"/>
    <m/>
    <x v="93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50"/>
    <d v="2026-04-22T12:33:24"/>
    <d v="2026-04-22T12:34:06"/>
    <s v="washington.luna@udla.edu.ec"/>
    <s v="Oswaldo Luna"/>
    <m/>
    <m/>
    <m/>
    <s v="Miércoles 22"/>
    <m/>
    <m/>
    <s v="Oswaldo Luna"/>
    <s v="Oswaldo LunaRuales Quezada Alain Mateo"/>
    <m/>
    <x v="94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51"/>
    <d v="2026-04-22T12:03:00"/>
    <d v="2026-04-22T12:48:06"/>
    <s v="marco.galarza@udla.edu.ec"/>
    <s v="Marco Galarza"/>
    <m/>
    <m/>
    <m/>
    <s v="Miércoles 22"/>
    <m/>
    <m/>
    <s v="Marco Antonio Galarza Castillo"/>
    <s v="Marco Antonio Galarza CastilloPadilla Salgado Jorge Andrés"/>
    <m/>
    <x v="93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52"/>
    <d v="2026-04-22T12:48:08"/>
    <d v="2026-04-22T12:48:39"/>
    <s v="marco.galarza@udla.edu.ec"/>
    <s v="Marco Galarza"/>
    <m/>
    <m/>
    <m/>
    <s v="Miércoles 22"/>
    <m/>
    <m/>
    <s v="Marco Antonio Galarza Castillo"/>
    <s v="Marco Antonio Galarza CastilloRuales Quezada Alain Mateo"/>
    <m/>
    <x v="94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53"/>
    <d v="2026-04-22T12:50:49"/>
    <d v="2026-04-22T12:51:42"/>
    <s v="patricia.acosta@udla.edu.ec"/>
    <s v="Patricia Acosta"/>
    <m/>
    <m/>
    <m/>
    <s v="Miércoles 22"/>
    <m/>
    <m/>
    <s v="Nelly Patricia Acosta Vargas"/>
    <s v="Nelly Patricia Acosta VargasVacas Andrade Carlos Andrés"/>
    <m/>
    <x v="95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54"/>
    <d v="2026-04-22T12:51:44"/>
    <d v="2026-04-22T12:52:35"/>
    <s v="patricia.acosta@udla.edu.ec"/>
    <s v="Patricia Acosta"/>
    <m/>
    <m/>
    <m/>
    <s v="Miércoles 22"/>
    <m/>
    <m/>
    <s v="Nelly Patricia Acosta Vargas"/>
    <s v="Nelly Patricia Acosta VargasVillagrán Herrero Carlos Mauricio"/>
    <m/>
    <x v="96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55"/>
    <d v="2026-04-22T12:48:42"/>
    <d v="2026-04-22T12:53:40"/>
    <s v="marco.galarza@udla.edu.ec"/>
    <s v="Marco Galarza"/>
    <m/>
    <m/>
    <m/>
    <s v="Miércoles 22"/>
    <m/>
    <m/>
    <s v="Marco Antonio Galarza Castillo"/>
    <s v="Marco Antonio Galarza CastilloMoreta Gallegos Ángel Andrés"/>
    <m/>
    <x v="97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56"/>
    <d v="2026-04-22T12:53:42"/>
    <d v="2026-04-22T12:54:13"/>
    <s v="marco.galarza@udla.edu.ec"/>
    <s v="Marco Galarza"/>
    <m/>
    <m/>
    <m/>
    <s v="Miércoles 22"/>
    <m/>
    <m/>
    <s v="Marco Antonio Galarza Castillo"/>
    <s v="Marco Antonio Galarza CastilloPacheco Cueva Alan Josueth"/>
    <m/>
    <x v="98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57"/>
    <d v="2026-04-22T12:52:38"/>
    <d v="2026-04-22T12:54:13"/>
    <s v="patricia.acosta@udla.edu.ec"/>
    <s v="Patricia Acosta"/>
    <m/>
    <m/>
    <m/>
    <s v="Miércoles 22"/>
    <m/>
    <m/>
    <s v="Nelly Patricia Acosta Vargas"/>
    <s v="Nelly Patricia Acosta VargasLópez Posso Antonio Francisco"/>
    <m/>
    <x v="99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58"/>
    <d v="2026-04-22T12:32:16"/>
    <d v="2026-04-22T12:56:20"/>
    <s v="santiago.solorzano@udla.edu.ec"/>
    <s v="Santiago Leonardo Solórzano"/>
    <m/>
    <m/>
    <m/>
    <s v="Miércoles 22"/>
    <m/>
    <m/>
    <s v="Santiago Leonardo Solórzano"/>
    <s v="Santiago Leonardo SolórzanoLópez Posso Antonio Francisco"/>
    <m/>
    <x v="99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59"/>
    <d v="2026-04-22T12:31:35"/>
    <d v="2026-04-22T12:57:19"/>
    <s v="santiago.solorzano@udla.edu.ec"/>
    <s v="Santiago Leonardo Solórzano"/>
    <m/>
    <m/>
    <m/>
    <s v="Miércoles 22"/>
    <m/>
    <m/>
    <s v="Santiago Leonardo Solórzano"/>
    <s v="Santiago Leonardo SolórzanoVacas Andrade Carlos Andrés"/>
    <m/>
    <x v="95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260"/>
    <d v="2026-04-22T12:30:37"/>
    <d v="2026-04-22T12:57:42"/>
    <s v="santiago.solorzano@udla.edu.ec"/>
    <s v="Santiago Leonardo Solórzano"/>
    <m/>
    <m/>
    <m/>
    <s v="Miércoles 22"/>
    <m/>
    <m/>
    <s v="Santiago Leonardo Solórzano"/>
    <s v="Santiago Leonardo SolórzanoVillagrán Herrero Carlos Mauricio"/>
    <m/>
    <x v="96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261"/>
    <d v="2026-04-22T12:57:13"/>
    <d v="2026-04-22T12:57:56"/>
    <s v="andrea.escobar.garcia@udla.edu.ec"/>
    <s v="Andrea Mariana Escobar Garcia"/>
    <m/>
    <m/>
    <m/>
    <s v="Miércoles 22"/>
    <m/>
    <m/>
    <s v="Andrea Mariana Escobar García"/>
    <s v="Andrea Mariana Escobar GarcíaMoreta Gallegos Ángel Andrés"/>
    <m/>
    <x v="97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62"/>
    <d v="2026-04-22T12:58:00"/>
    <d v="2026-04-22T12:58:38"/>
    <s v="andrea.escobar.garcia@udla.edu.ec"/>
    <s v="Andrea Mariana Escobar Garcia"/>
    <m/>
    <m/>
    <m/>
    <s v="Miércoles 22"/>
    <m/>
    <m/>
    <s v="Andrea Mariana Escobar García"/>
    <s v="Andrea Mariana Escobar GarcíaPacheco Cueva Alan Josueth"/>
    <m/>
    <x v="98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63"/>
    <d v="2026-04-22T12:58:20"/>
    <d v="2026-04-22T13:02:22"/>
    <s v="eddy.armas@udla.edu.ec"/>
    <s v="Eddy Mauricio Armas"/>
    <m/>
    <m/>
    <m/>
    <s v="Miércoles 22"/>
    <m/>
    <m/>
    <s v="Eddy Mauricio Armas"/>
    <s v="Eddy Mauricio ArmasLópez Posso Antonio Francisco"/>
    <m/>
    <x v="99"/>
    <m/>
    <m/>
    <s v="Muy bueno (16 puntos)"/>
    <n v="16"/>
    <m/>
    <s v="Muy bueno (16 puntos)"/>
    <n v="16"/>
    <m/>
    <s v="Muy bueno (16 puntos)"/>
    <n v="16"/>
    <m/>
    <s v="Muy bueno (8 puntos)"/>
    <n v="8"/>
    <m/>
    <s v="Muy bueno (8 puntos)"/>
    <n v="8"/>
    <m/>
    <s v="Muy bueno (8 puntos)"/>
    <n v="8"/>
    <m/>
    <s v="Excelente (10 puntos)"/>
    <n v="10"/>
    <m/>
    <m/>
  </r>
  <r>
    <n v="264"/>
    <d v="2026-04-22T13:02:30"/>
    <d v="2026-04-22T13:05:09"/>
    <s v="eddy.armas@udla.edu.ec"/>
    <s v="Eddy Mauricio Armas"/>
    <m/>
    <m/>
    <m/>
    <s v="Miércoles 22"/>
    <m/>
    <m/>
    <s v="Eddy Mauricio Armas"/>
    <s v="Eddy Mauricio ArmasVacas Andrade Carlos Andrés"/>
    <m/>
    <x v="95"/>
    <m/>
    <m/>
    <s v="Muy bueno (16 puntos)"/>
    <n v="16"/>
    <m/>
    <s v="Muy bueno (16 puntos)"/>
    <n v="16"/>
    <m/>
    <s v="Muy bueno (16 puntos)"/>
    <n v="16"/>
    <m/>
    <s v="Muy bueno (8 puntos)"/>
    <n v="8"/>
    <m/>
    <s v="Muy bueno (8 puntos)"/>
    <n v="8"/>
    <m/>
    <s v="Regular (4 puntos)"/>
    <n v="4"/>
    <m/>
    <s v="Regular (4 puntos)"/>
    <n v="4"/>
    <m/>
    <m/>
  </r>
  <r>
    <n v="265"/>
    <d v="2026-04-22T13:05:27"/>
    <d v="2026-04-22T13:06:58"/>
    <s v="eddy.armas@udla.edu.ec"/>
    <s v="Eddy Mauricio Armas"/>
    <m/>
    <m/>
    <m/>
    <s v="Miércoles 22"/>
    <m/>
    <m/>
    <s v="Eddy Mauricio Armas"/>
    <s v="Eddy Mauricio ArmasVillagrán Herrero Carlos Mauricio"/>
    <m/>
    <x v="96"/>
    <m/>
    <m/>
    <s v="Muy bueno (16 puntos)"/>
    <n v="16"/>
    <m/>
    <s v="Muy bueno (16 puntos)"/>
    <n v="16"/>
    <m/>
    <s v="Muy bueno (16 puntos)"/>
    <n v="16"/>
    <m/>
    <s v="Muy bueno (8 puntos)"/>
    <n v="8"/>
    <m/>
    <s v="Muy bueno (8 puntos)"/>
    <n v="8"/>
    <m/>
    <s v="Muy bueno (8 puntos)"/>
    <n v="8"/>
    <m/>
    <s v="Bueno (6 puntos)"/>
    <n v="6"/>
    <m/>
    <m/>
  </r>
  <r>
    <n v="266"/>
    <d v="2026-04-22T10:32:20"/>
    <d v="2026-04-22T13:14:24"/>
    <s v="victor.gomez@udla.edu.ec"/>
    <s v="Victor Gomez Regalado"/>
    <m/>
    <m/>
    <m/>
    <s v="Miércoles 22"/>
    <m/>
    <m/>
    <s v="Víctor Javier Gómez Regalado"/>
    <s v="Víctor Javier Gómez RegaladoRosero Guevara Ariana Micaela"/>
    <m/>
    <x v="82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67"/>
    <d v="2026-04-22T13:14:26"/>
    <d v="2026-04-22T13:15:36"/>
    <s v="victor.gomez@udla.edu.ec"/>
    <s v="Victor Gomez Regalado"/>
    <m/>
    <m/>
    <m/>
    <s v="Miércoles 22"/>
    <m/>
    <m/>
    <s v="Víctor Javier Gómez Regalado"/>
    <s v="Víctor Javier Gómez RegaladoPáez Cevallos Santiago Alejandro"/>
    <m/>
    <x v="84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68"/>
    <d v="2026-04-22T13:15:44"/>
    <d v="2026-04-22T13:16:45"/>
    <s v="victor.gomez@udla.edu.ec"/>
    <s v="Victor Gomez Regalado"/>
    <m/>
    <m/>
    <m/>
    <s v="Miércoles 22"/>
    <m/>
    <m/>
    <s v="Víctor Javier Gómez Regalado"/>
    <s v="Víctor Javier Gómez RegaladoUsiña Esteban Wladimir"/>
    <m/>
    <x v="85"/>
    <m/>
    <m/>
    <s v="Muy bueno (16 puntos)"/>
    <n v="16"/>
    <m/>
    <s v="Muy bueno (16 puntos)"/>
    <n v="16"/>
    <m/>
    <s v="Muy bueno (16 puntos)"/>
    <n v="16"/>
    <m/>
    <s v="Muy bueno (8 puntos)"/>
    <n v="8"/>
    <m/>
    <s v="Muy bueno (8 puntos)"/>
    <n v="8"/>
    <m/>
    <s v="Muy bueno (8 puntos)"/>
    <n v="8"/>
    <m/>
    <s v="Muy bueno (8 puntos)"/>
    <n v="8"/>
    <m/>
    <m/>
  </r>
  <r>
    <n v="269"/>
    <d v="2026-04-22T13:07:40"/>
    <d v="2026-04-22T13:20:28"/>
    <s v="patricia.acosta@udla.edu.ec"/>
    <s v="Patricia Acosta"/>
    <m/>
    <m/>
    <m/>
    <s v="Miércoles 22"/>
    <m/>
    <m/>
    <s v="Nelly Patricia Acosta Vargas"/>
    <s v="Nelly Patricia Acosta VargasCano Román Domenica Antonella"/>
    <m/>
    <x v="100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70"/>
    <d v="2026-04-22T13:20:32"/>
    <d v="2026-04-22T13:21:46"/>
    <s v="patricia.acosta@udla.edu.ec"/>
    <s v="Patricia Acosta"/>
    <m/>
    <m/>
    <m/>
    <s v="Miércoles 22"/>
    <m/>
    <m/>
    <s v="Nelly Patricia Acosta Vargas"/>
    <s v="Nelly Patricia Acosta VargasBaldeón Guanín Hernán Andrés"/>
    <m/>
    <x v="101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71"/>
    <d v="2026-04-22T13:21:51"/>
    <d v="2026-04-22T13:23:05"/>
    <s v="patricia.acosta@udla.edu.ec"/>
    <s v="Patricia Acosta"/>
    <m/>
    <m/>
    <m/>
    <s v="Miércoles 22"/>
    <m/>
    <m/>
    <s v="Nelly Patricia Acosta Vargas"/>
    <s v="Nelly Patricia Acosta VargasLozano Delgado Marco Andrei"/>
    <m/>
    <x v="102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72"/>
    <d v="2026-04-22T13:02:34"/>
    <d v="2026-04-22T13:26:09"/>
    <s v="santiago.solorzano@udla.edu.ec"/>
    <s v="Santiago Leonardo Solórzano"/>
    <m/>
    <m/>
    <m/>
    <s v="Viernes 24"/>
    <m/>
    <m/>
    <s v="Santiago Leonardo Solórzano"/>
    <s v="Santiago Leonardo SolórzanoLozano Delgado Marco Andrei"/>
    <m/>
    <x v="102"/>
    <m/>
    <m/>
    <s v="Excelente (20 puntos)"/>
    <n v="20"/>
    <m/>
    <s v="Excelente (20 puntos)"/>
    <n v="20"/>
    <m/>
    <s v="Muy bueno (16 puntos)"/>
    <n v="16"/>
    <m/>
    <s v="Muy bueno (8 puntos)"/>
    <n v="8"/>
    <m/>
    <s v="Muy bueno (8 puntos)"/>
    <n v="8"/>
    <m/>
    <s v="Excelente (10 puntos)"/>
    <n v="10"/>
    <m/>
    <s v="Excelente (10 puntos)"/>
    <n v="10"/>
    <m/>
    <m/>
  </r>
  <r>
    <n v="273"/>
    <d v="2026-04-22T13:00:14"/>
    <d v="2026-04-22T13:26:09"/>
    <s v="santiago.solorzano@udla.edu.ec"/>
    <s v="Santiago Leonardo Solórzano"/>
    <m/>
    <m/>
    <m/>
    <s v="Miércoles 22"/>
    <m/>
    <m/>
    <s v="Santiago Leonardo Solórzano"/>
    <s v="Santiago Leonardo SolórzanoBaldeón Guanín Hernán Andrés"/>
    <m/>
    <x v="101"/>
    <m/>
    <m/>
    <s v="Excelente (20 puntos)"/>
    <n v="20"/>
    <m/>
    <s v="Excelente (20 puntos)"/>
    <n v="20"/>
    <m/>
    <s v="Muy bueno (16 puntos)"/>
    <n v="16"/>
    <m/>
    <s v="Muy bueno (8 puntos)"/>
    <n v="8"/>
    <m/>
    <s v="Muy bueno (8 puntos)"/>
    <n v="8"/>
    <m/>
    <s v="Excelente (10 puntos)"/>
    <n v="10"/>
    <m/>
    <s v="Excelente (10 puntos)"/>
    <n v="10"/>
    <m/>
    <m/>
  </r>
  <r>
    <n v="274"/>
    <d v="2026-04-22T12:59:26"/>
    <d v="2026-04-22T13:26:11"/>
    <s v="santiago.solorzano@udla.edu.ec"/>
    <s v="Santiago Leonardo Solórzano"/>
    <m/>
    <m/>
    <m/>
    <s v="Miércoles 22"/>
    <m/>
    <m/>
    <s v="Santiago Leonardo Solórzano"/>
    <s v="Santiago Leonardo SolórzanoCano Román Domenica Antonella"/>
    <m/>
    <x v="100"/>
    <m/>
    <m/>
    <s v="Excelente (20 puntos)"/>
    <n v="20"/>
    <m/>
    <s v="Excelente (20 puntos)"/>
    <n v="20"/>
    <m/>
    <s v="Muy bueno (16 puntos)"/>
    <n v="16"/>
    <m/>
    <s v="Muy bueno (8 puntos)"/>
    <n v="8"/>
    <m/>
    <s v="Muy bueno (8 puntos)"/>
    <n v="8"/>
    <m/>
    <s v="Excelente (10 puntos)"/>
    <n v="10"/>
    <m/>
    <s v="Excelente (10 puntos)"/>
    <n v="10"/>
    <m/>
    <m/>
  </r>
  <r>
    <n v="275"/>
    <d v="2026-04-22T13:19:57"/>
    <d v="2026-04-22T13:28:41"/>
    <s v="luis.urquiza@udla.edu.ec"/>
    <s v="Luis Felipe Urquiza Aguiar"/>
    <m/>
    <m/>
    <m/>
    <s v="Miércoles 22"/>
    <m/>
    <m/>
    <s v="Luis Felipe Urquiza Aguiar"/>
    <s v="Luis Felipe Urquiza AguiarCano Román Domenica Antonella"/>
    <m/>
    <x v="100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Muy bueno (8 puntos)"/>
    <n v="8"/>
    <m/>
    <m/>
  </r>
  <r>
    <n v="276"/>
    <d v="2026-04-22T12:58:22"/>
    <d v="2026-04-22T13:29:43"/>
    <s v="marco.galarza@udla.edu.ec"/>
    <s v="Marco Galarza"/>
    <m/>
    <m/>
    <m/>
    <s v="Miércoles 22"/>
    <m/>
    <m/>
    <s v="Marco Antonio Galarza Castillo"/>
    <s v="Marco Antonio Galarza CastilloCollaguazo Cuenca Jimmy Vinicio"/>
    <m/>
    <x v="103"/>
    <m/>
    <m/>
    <s v="Muy bueno (16 puntos)"/>
    <n v="16"/>
    <m/>
    <s v="Bueno (12 puntos)"/>
    <n v="12"/>
    <m/>
    <s v="Bueno (12 puntos)"/>
    <n v="12"/>
    <m/>
    <s v="Muy bueno (8 puntos)"/>
    <n v="8"/>
    <m/>
    <s v="Muy bueno (8 puntos)"/>
    <n v="8"/>
    <m/>
    <s v="Bueno (6 puntos)"/>
    <n v="6"/>
    <m/>
    <s v="Muy bueno (8 puntos)"/>
    <n v="8"/>
    <m/>
    <m/>
  </r>
  <r>
    <n v="277"/>
    <d v="2026-04-22T13:28:43"/>
    <d v="2026-04-22T13:30:00"/>
    <s v="luis.urquiza@udla.edu.ec"/>
    <s v="Luis Felipe Urquiza Aguiar"/>
    <m/>
    <m/>
    <m/>
    <s v="Miércoles 22"/>
    <m/>
    <m/>
    <s v="Luis Felipe Urquiza Aguiar"/>
    <s v="Luis Felipe Urquiza AguiarBaldeón Guanín Hernán Andrés"/>
    <m/>
    <x v="101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Muy bueno (8 puntos)"/>
    <n v="8"/>
    <m/>
    <m/>
  </r>
  <r>
    <n v="278"/>
    <d v="2026-04-22T13:30:01"/>
    <d v="2026-04-22T13:31:36"/>
    <s v="luis.urquiza@udla.edu.ec"/>
    <s v="Luis Felipe Urquiza Aguiar"/>
    <m/>
    <m/>
    <m/>
    <s v="Miércoles 22"/>
    <m/>
    <m/>
    <s v="Luis Felipe Urquiza Aguiar"/>
    <s v="Luis Felipe Urquiza AguiarLozano Delgado Marco Andrei"/>
    <m/>
    <x v="102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Muy bueno (8 puntos)"/>
    <n v="8"/>
    <m/>
    <m/>
  </r>
  <r>
    <n v="279"/>
    <d v="2026-04-22T13:27:55"/>
    <d v="2026-04-22T13:53:43"/>
    <s v="santiago.solorzano@udla.edu.ec"/>
    <s v="Santiago Leonardo Solórzano"/>
    <m/>
    <m/>
    <m/>
    <s v="Miércoles 22"/>
    <m/>
    <m/>
    <s v="Santiago Leonardo Solórzano"/>
    <s v="Santiago Leonardo SolórzanoOchoa Larreategui Mateo Nicolás"/>
    <m/>
    <x v="104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280"/>
    <d v="2026-04-22T13:27:56"/>
    <d v="2026-04-22T13:53:47"/>
    <s v="santiago.solorzano@udla.edu.ec"/>
    <s v="Santiago Leonardo Solórzano"/>
    <m/>
    <m/>
    <m/>
    <s v="Miércoles 22"/>
    <m/>
    <m/>
    <s v="Santiago Leonardo Solórzano"/>
    <s v="Santiago Leonardo SolórzanoLeón Fuenmayor Emily Antonella"/>
    <m/>
    <x v="105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281"/>
    <d v="2026-04-22T13:29:45"/>
    <d v="2026-04-22T13:55:21"/>
    <s v="marco.galarza@udla.edu.ec"/>
    <s v="Marco Galarza"/>
    <m/>
    <m/>
    <m/>
    <s v="Miércoles 22"/>
    <m/>
    <m/>
    <s v="Marco Antonio Galarza Castillo"/>
    <s v="Marco Antonio Galarza CastilloLeón Fuenmayor Emily Antonella"/>
    <m/>
    <x v="105"/>
    <m/>
    <m/>
    <s v="Excelente (20 puntos)"/>
    <n v="20"/>
    <m/>
    <s v="Excelente (20 puntos)"/>
    <n v="20"/>
    <m/>
    <s v="Excelente (20 puntos)"/>
    <n v="20"/>
    <m/>
    <s v="Excelente (10 puntos)"/>
    <n v="10"/>
    <m/>
    <s v="Muy bueno (8 puntos)"/>
    <n v="8"/>
    <m/>
    <s v="Excelente (10 puntos)"/>
    <n v="10"/>
    <m/>
    <s v="Excelente (10 puntos)"/>
    <n v="10"/>
    <m/>
    <m/>
  </r>
  <r>
    <n v="282"/>
    <d v="2026-04-22T13:55:25"/>
    <d v="2026-04-22T13:55:52"/>
    <s v="marco.galarza@udla.edu.ec"/>
    <s v="Marco Galarza"/>
    <m/>
    <m/>
    <m/>
    <s v="Miércoles 22"/>
    <m/>
    <m/>
    <s v="Marco Antonio Galarza Castillo"/>
    <s v="Marco Antonio Galarza CastilloOchoa Larreategui Mateo Nicolás"/>
    <m/>
    <x v="104"/>
    <m/>
    <m/>
    <s v="Excelente (20 puntos)"/>
    <n v="20"/>
    <m/>
    <s v="Excelente (20 puntos)"/>
    <n v="20"/>
    <m/>
    <s v="Excelente (20 puntos)"/>
    <n v="20"/>
    <m/>
    <s v="Excelente (10 puntos)"/>
    <n v="10"/>
    <m/>
    <s v="Muy bueno (8 puntos)"/>
    <n v="8"/>
    <m/>
    <s v="Excelente (10 puntos)"/>
    <n v="10"/>
    <m/>
    <s v="Excelente (10 puntos)"/>
    <n v="10"/>
    <m/>
    <m/>
  </r>
  <r>
    <n v="283"/>
    <d v="2026-04-22T13:38:20"/>
    <d v="2026-04-22T13:58:49"/>
    <s v="anamaria.pazmino@udla.edu.ec"/>
    <s v="Ana María Pazmiño Delgado"/>
    <m/>
    <m/>
    <m/>
    <s v="Miércoles 22"/>
    <m/>
    <m/>
    <s v="Ana María Pazmiño Delgado"/>
    <s v="Ana María Pazmiño DelgadoDávila Egred Xavier Alejandro"/>
    <m/>
    <x v="106"/>
    <m/>
    <m/>
    <s v="Excelente (20 puntos)"/>
    <n v="20"/>
    <m/>
    <s v="Muy bueno (16 puntos)"/>
    <n v="16"/>
    <m/>
    <s v="Excelente (20 puntos)"/>
    <n v="20"/>
    <m/>
    <s v="Muy bueno (8 puntos)"/>
    <n v="8"/>
    <m/>
    <s v="Excelente (10 puntos)"/>
    <n v="10"/>
    <m/>
    <s v="Muy bueno (8 puntos)"/>
    <n v="8"/>
    <m/>
    <s v="Muy bueno (8 puntos)"/>
    <n v="8"/>
    <m/>
    <m/>
  </r>
  <r>
    <n v="284"/>
    <d v="2026-04-22T13:57:53"/>
    <d v="2026-04-22T13:59:43"/>
    <s v="edison.chicaiza.salgado@udla.edu.ec"/>
    <s v="Edison Ruben Chicaiza Salgado"/>
    <m/>
    <m/>
    <m/>
    <s v="Miércoles 22"/>
    <m/>
    <m/>
    <s v="Edison Chicaiza"/>
    <s v="Edison ChicaizaCollaguazo Cuenca Jimmy Vinicio"/>
    <m/>
    <x v="103"/>
    <m/>
    <m/>
    <s v="Muy bueno (16 puntos)"/>
    <n v="16"/>
    <m/>
    <s v="Bueno (12 puntos)"/>
    <n v="12"/>
    <m/>
    <s v="Bueno (12 puntos)"/>
    <n v="12"/>
    <m/>
    <s v="Muy bueno (8 puntos)"/>
    <n v="8"/>
    <m/>
    <s v="Muy bueno (8 puntos)"/>
    <n v="8"/>
    <m/>
    <s v="Muy bueno (8 puntos)"/>
    <n v="8"/>
    <m/>
    <s v="Bueno (6 puntos)"/>
    <n v="6"/>
    <m/>
    <m/>
  </r>
  <r>
    <n v="285"/>
    <d v="2026-04-22T13:24:38"/>
    <d v="2026-04-22T14:00:51"/>
    <s v="paulo.guerra.teran@udla.edu.ec"/>
    <s v="Paulo Roberto Guerra"/>
    <m/>
    <m/>
    <m/>
    <s v="Miércoles 22"/>
    <m/>
    <m/>
    <s v="Paulo Roberto Guerra"/>
    <s v="Paulo Roberto GuerraDávila Egred Xavier Alejandro"/>
    <m/>
    <x v="106"/>
    <m/>
    <m/>
    <s v="Muy bueno (16 puntos)"/>
    <n v="16"/>
    <m/>
    <s v="Excelente (20 puntos)"/>
    <n v="20"/>
    <m/>
    <s v="Excelente (20 puntos)"/>
    <n v="20"/>
    <m/>
    <s v="Bueno (6 puntos)"/>
    <n v="6"/>
    <m/>
    <s v="Muy bueno (8 puntos)"/>
    <n v="8"/>
    <m/>
    <s v="Excelente (10 puntos)"/>
    <n v="10"/>
    <m/>
    <s v="Bueno (6 puntos)"/>
    <n v="6"/>
    <m/>
    <m/>
  </r>
  <r>
    <n v="286"/>
    <d v="2026-04-22T08:58:34"/>
    <d v="2026-04-22T16:23:49"/>
    <s v="patricio.ponce.herrera@udla.edu.ec"/>
    <s v="Patricio David Ponce Herrera"/>
    <m/>
    <m/>
    <m/>
    <s v="Miércoles 22"/>
    <m/>
    <m/>
    <s v="Patricio David Ponce"/>
    <s v="Patricio David PonceDávila Egred Xavier Alejandro"/>
    <m/>
    <x v="106"/>
    <m/>
    <m/>
    <s v="Excelente (20 puntos)"/>
    <n v="20"/>
    <m/>
    <s v="Excelente (20 puntos)"/>
    <n v="20"/>
    <m/>
    <s v="Excelente (20 puntos)"/>
    <n v="20"/>
    <m/>
    <s v="Bueno (6 puntos)"/>
    <n v="6"/>
    <m/>
    <s v="Excelente (10 puntos)"/>
    <n v="10"/>
    <m/>
    <s v="Excelente (10 puntos)"/>
    <n v="10"/>
    <m/>
    <s v="Muy bueno (8 puntos)"/>
    <n v="8"/>
    <m/>
    <m/>
  </r>
  <r>
    <n v="287"/>
    <d v="2026-04-22T16:23:51"/>
    <d v="2026-04-22T16:24:49"/>
    <s v="patricio.ponce.herrera@udla.edu.ec"/>
    <s v="Patricio David Ponce Herrera"/>
    <m/>
    <m/>
    <m/>
    <s v="Miércoles 22"/>
    <m/>
    <m/>
    <s v="Patricio David Ponce"/>
    <s v="Patricio David PonceCollaguazo Cuenca Jimmy Vinicio"/>
    <m/>
    <x v="103"/>
    <m/>
    <m/>
    <s v="Muy bueno (16 puntos)"/>
    <n v="16"/>
    <m/>
    <s v="Muy bueno (16 puntos)"/>
    <n v="16"/>
    <m/>
    <s v="Bueno (12 puntos)"/>
    <n v="12"/>
    <m/>
    <s v="Excelente (10 puntos)"/>
    <n v="10"/>
    <m/>
    <s v="Muy bueno (8 puntos)"/>
    <n v="8"/>
    <m/>
    <s v="Bueno (6 puntos)"/>
    <n v="6"/>
    <m/>
    <s v="Bueno (6 puntos)"/>
    <n v="6"/>
    <m/>
    <m/>
  </r>
  <r>
    <n v="288"/>
    <d v="2026-04-22T16:24:51"/>
    <d v="2026-04-22T16:27:44"/>
    <s v="patricio.ponce.herrera@udla.edu.ec"/>
    <s v="Patricio David Ponce Herrera"/>
    <m/>
    <m/>
    <m/>
    <s v="Miércoles 22"/>
    <m/>
    <m/>
    <s v="Patricio David Ponce"/>
    <s v="Patricio David PonceMoreta Gallegos Ángel Andrés"/>
    <m/>
    <x v="97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89"/>
    <d v="2026-04-22T16:27:46"/>
    <d v="2026-04-22T16:28:15"/>
    <s v="patricio.ponce.herrera@udla.edu.ec"/>
    <s v="Patricio David Ponce Herrera"/>
    <m/>
    <m/>
    <m/>
    <s v="Miércoles 22"/>
    <m/>
    <m/>
    <s v="Patricio David Ponce"/>
    <s v="Patricio David PoncePacheco Cueva Alan Josueth"/>
    <m/>
    <x v="98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90"/>
    <d v="2026-04-22T16:28:17"/>
    <d v="2026-04-22T16:29:49"/>
    <s v="patricio.ponce.herrera@udla.edu.ec"/>
    <s v="Patricio David Ponce Herrera"/>
    <m/>
    <m/>
    <m/>
    <s v="Miércoles 22"/>
    <m/>
    <m/>
    <s v="Patricio David Ponce"/>
    <s v="Patricio David PoncePadilla Salgado Jorge Andrés"/>
    <m/>
    <x v="93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91"/>
    <d v="2026-04-22T16:29:51"/>
    <d v="2026-04-22T16:30:21"/>
    <s v="patricio.ponce.herrera@udla.edu.ec"/>
    <s v="Patricio David Ponce Herrera"/>
    <m/>
    <m/>
    <m/>
    <s v="Miércoles 22"/>
    <m/>
    <m/>
    <s v="Patricio David Ponce"/>
    <s v="Patricio David PonceRuales Quezada Alain Mateo"/>
    <m/>
    <x v="94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92"/>
    <d v="2026-04-22T16:30:27"/>
    <d v="2026-04-22T16:31:40"/>
    <s v="patricio.ponce.herrera@udla.edu.ec"/>
    <s v="Patricio David Ponce Herrera"/>
    <m/>
    <m/>
    <m/>
    <s v="Miércoles 22"/>
    <m/>
    <m/>
    <s v="Patricio David Ponce"/>
    <s v="Patricio David PonceAbad Anchundia Carlos Alejandro"/>
    <m/>
    <x v="91"/>
    <m/>
    <m/>
    <s v="Excelente (20 puntos)"/>
    <n v="20"/>
    <m/>
    <s v="Muy bueno (16 puntos)"/>
    <n v="16"/>
    <m/>
    <s v="Excelente (20 puntos)"/>
    <n v="20"/>
    <m/>
    <s v="Muy bueno (8 puntos)"/>
    <n v="8"/>
    <m/>
    <s v="Muy bueno (8 puntos)"/>
    <n v="8"/>
    <m/>
    <s v="Muy bueno (8 puntos)"/>
    <n v="8"/>
    <m/>
    <s v="Muy bueno (8 puntos)"/>
    <n v="8"/>
    <m/>
    <m/>
  </r>
  <r>
    <n v="293"/>
    <d v="2026-04-22T16:31:42"/>
    <d v="2026-04-22T16:32:33"/>
    <s v="patricio.ponce.herrera@udla.edu.ec"/>
    <s v="Patricio David Ponce Herrera"/>
    <m/>
    <m/>
    <m/>
    <s v="Miércoles 22"/>
    <m/>
    <m/>
    <s v="Patricio David Ponce"/>
    <s v="Patricio David PonceGarcía Robles Natasha Teresa"/>
    <m/>
    <x v="90"/>
    <m/>
    <m/>
    <s v="Excelente (20 puntos)"/>
    <n v="20"/>
    <m/>
    <s v="Muy bueno (16 puntos)"/>
    <n v="16"/>
    <m/>
    <s v="Muy bueno (16 puntos)"/>
    <n v="16"/>
    <m/>
    <s v="Muy bueno (8 puntos)"/>
    <n v="8"/>
    <m/>
    <s v="Muy bueno (8 puntos)"/>
    <n v="8"/>
    <m/>
    <s v="Muy bueno (8 puntos)"/>
    <n v="8"/>
    <m/>
    <s v="Muy bueno (8 puntos)"/>
    <n v="8"/>
    <m/>
    <m/>
  </r>
  <r>
    <n v="294"/>
    <d v="2026-04-22T16:32:34"/>
    <d v="2026-04-22T16:33:40"/>
    <s v="patricio.ponce.herrera@udla.edu.ec"/>
    <s v="Patricio David Ponce Herrera"/>
    <m/>
    <m/>
    <m/>
    <s v="Miércoles 22"/>
    <m/>
    <m/>
    <s v="Patricio David Ponce"/>
    <s v="Patricio David PonceTorres Quenoran Christian David"/>
    <m/>
    <x v="92"/>
    <m/>
    <m/>
    <s v="Excelente (20 puntos)"/>
    <n v="20"/>
    <m/>
    <s v="Muy bueno (16 puntos)"/>
    <n v="16"/>
    <m/>
    <s v="Muy bueno (16 puntos)"/>
    <n v="16"/>
    <m/>
    <s v="Muy bueno (8 puntos)"/>
    <n v="8"/>
    <m/>
    <s v="Muy bueno (8 puntos)"/>
    <n v="8"/>
    <m/>
    <s v="Muy bueno (8 puntos)"/>
    <n v="8"/>
    <m/>
    <s v="Muy bueno (8 puntos)"/>
    <n v="8"/>
    <m/>
    <m/>
  </r>
  <r>
    <n v="295"/>
    <d v="2026-04-22T16:33:42"/>
    <d v="2026-04-22T16:34:40"/>
    <s v="patricio.ponce.herrera@udla.edu.ec"/>
    <s v="Patricio David Ponce Herrera"/>
    <m/>
    <m/>
    <m/>
    <s v="Miércoles 22"/>
    <m/>
    <m/>
    <s v="Patricio David Ponce"/>
    <s v="Patricio David PonceSuárez Minchala Lizbeth Alejandra"/>
    <m/>
    <x v="86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96"/>
    <d v="2026-04-22T16:34:43"/>
    <d v="2026-04-22T16:35:12"/>
    <s v="patricio.ponce.herrera@udla.edu.ec"/>
    <s v="Patricio David Ponce Herrera"/>
    <m/>
    <m/>
    <m/>
    <s v="Miércoles 22"/>
    <m/>
    <m/>
    <s v="Patricio David Ponce"/>
    <s v="Patricio David PonceVaca Condor Edwin Alexis"/>
    <m/>
    <x v="87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97"/>
    <d v="2026-04-22T16:35:14"/>
    <d v="2026-04-22T16:36:18"/>
    <s v="patricio.ponce.herrera@udla.edu.ec"/>
    <s v="Patricio David Ponce Herrera"/>
    <m/>
    <m/>
    <m/>
    <s v="Miércoles 22"/>
    <m/>
    <m/>
    <s v="Patricio David Ponce"/>
    <s v="Patricio David PonceJácome Macías Anne"/>
    <m/>
    <x v="79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98"/>
    <d v="2026-04-22T16:36:20"/>
    <d v="2026-04-22T16:36:50"/>
    <s v="patricio.ponce.herrera@udla.edu.ec"/>
    <s v="Patricio David Ponce Herrera"/>
    <m/>
    <m/>
    <m/>
    <s v="Miércoles 22"/>
    <m/>
    <m/>
    <s v="Patricio David Ponce"/>
    <s v="Patricio David PonceTulcán Jaya Iván"/>
    <m/>
    <x v="107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299"/>
    <d v="2026-04-22T16:36:52"/>
    <d v="2026-04-22T16:38:59"/>
    <s v="patricio.ponce.herrera@udla.edu.ec"/>
    <s v="Patricio David Ponce Herrera"/>
    <m/>
    <m/>
    <m/>
    <s v="Miércoles 22"/>
    <m/>
    <m/>
    <s v="Patricio David Ponce"/>
    <s v="Patricio David PonceArévalo Yépez Lucio Plácido"/>
    <m/>
    <x v="75"/>
    <m/>
    <m/>
    <s v="Excelente (20 puntos)"/>
    <n v="20"/>
    <m/>
    <s v="Excelente (20 puntos)"/>
    <n v="20"/>
    <m/>
    <s v="Excelente (20 puntos)"/>
    <n v="20"/>
    <m/>
    <s v="Muy bueno (8 puntos)"/>
    <n v="8"/>
    <m/>
    <s v="Bueno (6 puntos)"/>
    <n v="6"/>
    <m/>
    <s v="Muy bueno (8 puntos)"/>
    <n v="8"/>
    <m/>
    <s v="Muy bueno (8 puntos)"/>
    <n v="8"/>
    <m/>
    <m/>
  </r>
  <r>
    <n v="300"/>
    <d v="2026-04-22T16:39:00"/>
    <d v="2026-04-22T16:40:31"/>
    <s v="patricio.ponce.herrera@udla.edu.ec"/>
    <s v="Patricio David Ponce Herrera"/>
    <m/>
    <m/>
    <m/>
    <s v="Miércoles 22"/>
    <m/>
    <m/>
    <s v="Patricio David Ponce"/>
    <s v="Patricio David PonceChimbo Naranjo Christian Leonardo"/>
    <m/>
    <x v="78"/>
    <m/>
    <m/>
    <s v="Excelente (20 puntos)"/>
    <n v="20"/>
    <m/>
    <s v="Excelente (20 puntos)"/>
    <n v="20"/>
    <m/>
    <s v="Excelente (20 puntos)"/>
    <n v="20"/>
    <m/>
    <s v="Muy bueno (8 puntos)"/>
    <n v="8"/>
    <m/>
    <s v="Bueno (6 puntos)"/>
    <n v="6"/>
    <m/>
    <s v="Muy bueno (8 puntos)"/>
    <n v="8"/>
    <m/>
    <s v="Muy bueno (8 puntos)"/>
    <n v="8"/>
    <m/>
    <m/>
  </r>
  <r>
    <n v="301"/>
    <d v="2026-04-22T16:40:33"/>
    <d v="2026-04-22T16:41:07"/>
    <s v="patricio.ponce.herrera@udla.edu.ec"/>
    <s v="Patricio David Ponce Herrera"/>
    <m/>
    <m/>
    <m/>
    <s v="Miércoles 22"/>
    <m/>
    <m/>
    <s v="Patricio David Ponce"/>
    <s v="Patricio David PonceOrtiz Esquivel Luz Eidy"/>
    <m/>
    <x v="74"/>
    <m/>
    <m/>
    <s v="Excelente (20 puntos)"/>
    <n v="20"/>
    <m/>
    <s v="Excelente (20 puntos)"/>
    <n v="20"/>
    <m/>
    <s v="Excelente (20 puntos)"/>
    <n v="20"/>
    <m/>
    <s v="Muy bueno (8 puntos)"/>
    <n v="8"/>
    <m/>
    <s v="Muy bueno (8 puntos)"/>
    <n v="8"/>
    <m/>
    <s v="Muy bueno (8 puntos)"/>
    <n v="8"/>
    <m/>
    <s v="Muy bueno (8 puntos)"/>
    <n v="8"/>
    <m/>
    <m/>
  </r>
  <r>
    <n v="302"/>
    <d v="2026-04-22T16:41:10"/>
    <d v="2026-04-22T16:42:24"/>
    <s v="patricio.ponce.herrera@udla.edu.ec"/>
    <s v="Patricio David Ponce Herrera"/>
    <m/>
    <m/>
    <m/>
    <s v="Miércoles 22"/>
    <m/>
    <m/>
    <s v="Patricio David Ponce"/>
    <s v="Patricio David PonceCarrillo Viera Ariel Fernando"/>
    <m/>
    <x v="71"/>
    <m/>
    <m/>
    <s v="Excelente (20 puntos)"/>
    <n v="20"/>
    <m/>
    <s v="Muy bueno (16 puntos)"/>
    <n v="16"/>
    <m/>
    <s v="Muy bueno (16 puntos)"/>
    <n v="16"/>
    <m/>
    <s v="Excelente (10 puntos)"/>
    <n v="10"/>
    <m/>
    <s v="Excelente (10 puntos)"/>
    <n v="10"/>
    <m/>
    <s v="Muy bueno (8 puntos)"/>
    <n v="8"/>
    <m/>
    <s v="Muy bueno (8 puntos)"/>
    <n v="8"/>
    <m/>
    <m/>
  </r>
  <r>
    <n v="303"/>
    <d v="2026-04-22T16:42:26"/>
    <d v="2026-04-22T16:43:42"/>
    <s v="patricio.ponce.herrera@udla.edu.ec"/>
    <s v="Patricio David Ponce Herrera"/>
    <m/>
    <m/>
    <m/>
    <s v="Miércoles 22"/>
    <m/>
    <m/>
    <s v="Patricio David Ponce"/>
    <s v="Patricio David PonceDonoso Márquez Renato Fabricio"/>
    <m/>
    <x v="68"/>
    <m/>
    <m/>
    <s v="Excelente (20 puntos)"/>
    <n v="20"/>
    <m/>
    <s v="Excelente (20 puntos)"/>
    <n v="20"/>
    <m/>
    <s v="Excelente (20 puntos)"/>
    <n v="20"/>
    <m/>
    <s v="Excelente (10 puntos)"/>
    <n v="10"/>
    <m/>
    <s v="Bueno (6 puntos)"/>
    <n v="6"/>
    <m/>
    <s v="Excelente (10 puntos)"/>
    <n v="10"/>
    <m/>
    <s v="Excelente (10 puntos)"/>
    <n v="10"/>
    <m/>
    <m/>
  </r>
  <r>
    <n v="304"/>
    <d v="2026-04-22T16:43:43"/>
    <d v="2026-04-22T16:44:22"/>
    <s v="patricio.ponce.herrera@udla.edu.ec"/>
    <s v="Patricio David Ponce Herrera"/>
    <m/>
    <m/>
    <m/>
    <s v="Miércoles 22"/>
    <m/>
    <m/>
    <s v="Patricio David Ponce"/>
    <s v="Patricio David PonceGuevara Zambrano Vivian Salomé"/>
    <m/>
    <x v="69"/>
    <m/>
    <m/>
    <s v="Excelente (20 puntos)"/>
    <n v="20"/>
    <m/>
    <s v="Excelente (20 puntos)"/>
    <n v="20"/>
    <m/>
    <s v="Excelente (20 puntos)"/>
    <n v="20"/>
    <m/>
    <s v="Excelente (10 puntos)"/>
    <n v="10"/>
    <m/>
    <s v="Bueno (6 puntos)"/>
    <n v="6"/>
    <m/>
    <s v="Muy bueno (8 puntos)"/>
    <n v="8"/>
    <m/>
    <s v="Muy bueno (8 puntos)"/>
    <n v="8"/>
    <m/>
    <m/>
  </r>
  <r>
    <n v="305"/>
    <d v="2026-04-22T16:44:23"/>
    <d v="2026-04-22T16:45:06"/>
    <s v="patricio.ponce.herrera@udla.edu.ec"/>
    <s v="Patricio David Ponce Herrera"/>
    <m/>
    <m/>
    <m/>
    <s v="Miércoles 22"/>
    <m/>
    <m/>
    <s v="Patricio David Ponce"/>
    <s v="Patricio David PonceRomero Lozano Michelle Stephanie"/>
    <m/>
    <x v="70"/>
    <m/>
    <m/>
    <s v="Excelente (20 puntos)"/>
    <n v="20"/>
    <m/>
    <s v="Excelente (20 puntos)"/>
    <n v="20"/>
    <m/>
    <s v="Excelente (20 puntos)"/>
    <n v="20"/>
    <m/>
    <s v="Excelente (10 puntos)"/>
    <n v="10"/>
    <m/>
    <s v="Bueno (6 puntos)"/>
    <n v="6"/>
    <m/>
    <s v="Bueno (6 puntos)"/>
    <n v="6"/>
    <m/>
    <s v="Bueno (6 puntos)"/>
    <n v="6"/>
    <m/>
    <m/>
  </r>
  <r>
    <n v="306"/>
    <d v="2026-04-22T20:51:41"/>
    <d v="2026-04-23T08:33:40"/>
    <s v="marco.galarza@udla.edu.ec"/>
    <s v="Marco Galarza"/>
    <m/>
    <m/>
    <m/>
    <s v="Jueves 23"/>
    <m/>
    <m/>
    <s v="Marco Antonio Galarza Castillo"/>
    <s v="Marco Antonio Galarza CastilloMorales Castro Sandy Gabriela"/>
    <m/>
    <x v="108"/>
    <m/>
    <m/>
    <s v="Excelente (20 puntos)"/>
    <n v="20"/>
    <m/>
    <s v="Excelente (20 puntos)"/>
    <n v="20"/>
    <m/>
    <s v="Excelente (20 puntos)"/>
    <n v="20"/>
    <m/>
    <s v="Bueno (6 puntos)"/>
    <n v="6"/>
    <m/>
    <s v="Bueno (6 puntos)"/>
    <n v="6"/>
    <m/>
    <s v="Muy bueno (8 puntos)"/>
    <n v="8"/>
    <m/>
    <s v="Excelente (10 puntos)"/>
    <n v="10"/>
    <m/>
    <m/>
  </r>
  <r>
    <n v="307"/>
    <d v="2026-04-23T08:03:13"/>
    <d v="2026-04-23T08:37:15"/>
    <s v="santiago.solorzano@udla.edu.ec"/>
    <s v="Santiago Leonardo Solórzano"/>
    <m/>
    <m/>
    <m/>
    <s v="Jueves 23"/>
    <m/>
    <m/>
    <s v="Santiago Leonardo Solórzano"/>
    <s v="Santiago Leonardo SolórzanoMorales Castro Sandy Gabriela"/>
    <m/>
    <x v="108"/>
    <m/>
    <m/>
    <s v="Excelente (20 puntos)"/>
    <n v="20"/>
    <m/>
    <s v="Excelente (20 puntos)"/>
    <n v="20"/>
    <m/>
    <s v="Excelente (20 puntos)"/>
    <n v="20"/>
    <m/>
    <s v="Bueno (6 puntos)"/>
    <n v="6"/>
    <m/>
    <s v="Muy bueno (8 puntos)"/>
    <n v="8"/>
    <m/>
    <s v="Muy bueno (8 puntos)"/>
    <n v="8"/>
    <m/>
    <s v="Excelente (10 puntos)"/>
    <n v="10"/>
    <m/>
    <m/>
  </r>
  <r>
    <n v="308"/>
    <d v="2026-04-23T08:53:11"/>
    <d v="2026-04-23T08:54:07"/>
    <s v="patricia.acosta@udla.edu.ec"/>
    <s v="Patricia Acosta"/>
    <m/>
    <m/>
    <m/>
    <s v="Jueves 23"/>
    <m/>
    <m/>
    <s v="Nelly Patricia Acosta Vargas"/>
    <s v="Nelly Patricia Acosta VargasJaramillo Alcázar Erika Salomé"/>
    <m/>
    <x v="109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09"/>
    <d v="2026-04-23T08:54:11"/>
    <d v="2026-04-23T08:55:15"/>
    <s v="patricia.acosta@udla.edu.ec"/>
    <s v="Patricia Acosta"/>
    <m/>
    <m/>
    <m/>
    <s v="Jueves 23"/>
    <m/>
    <m/>
    <s v="Nelly Patricia Acosta Vargas"/>
    <s v="Nelly Patricia Acosta VargasLicto Iler Erick Javier"/>
    <m/>
    <x v="110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10"/>
    <d v="2026-04-23T08:57:47"/>
    <d v="2026-04-23T09:03:05"/>
    <s v="washington.padilla.alarcon@udla.edu.ec"/>
    <s v="Washington Fernando Padilla Alarcon"/>
    <m/>
    <m/>
    <m/>
    <s v="Jueves 23"/>
    <m/>
    <m/>
    <s v="Washington Fernando Padilla Alarcon"/>
    <s v="Washington Fernando Padilla AlarconMora Di Mattia Andrés Antonio"/>
    <m/>
    <x v="111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11"/>
    <d v="2026-04-23T08:33:42"/>
    <d v="2026-04-23T09:03:11"/>
    <s v="marco.galarza@udla.edu.ec"/>
    <s v="Marco Galarza"/>
    <m/>
    <m/>
    <m/>
    <s v="Jueves 23"/>
    <m/>
    <m/>
    <s v="Marco Antonio Galarza Castillo"/>
    <s v="Marco Antonio Galarza CastilloLópez Sosa Gabriela Elizabeth"/>
    <m/>
    <x v="112"/>
    <m/>
    <m/>
    <s v="Excelente (20 puntos)"/>
    <n v="20"/>
    <m/>
    <s v="Excelente (20 puntos)"/>
    <n v="20"/>
    <m/>
    <s v="Excelente (20 puntos)"/>
    <n v="20"/>
    <m/>
    <s v="Bueno (6 puntos)"/>
    <n v="6"/>
    <m/>
    <s v="Excelente (10 puntos)"/>
    <n v="10"/>
    <m/>
    <s v="Excelente (10 puntos)"/>
    <n v="10"/>
    <m/>
    <s v="Excelente (10 puntos)"/>
    <n v="10"/>
    <m/>
    <m/>
  </r>
  <r>
    <n v="312"/>
    <d v="2026-04-23T09:03:12"/>
    <d v="2026-04-23T09:03:34"/>
    <s v="marco.galarza@udla.edu.ec"/>
    <s v="Marco Galarza"/>
    <m/>
    <m/>
    <m/>
    <s v="Jueves 23"/>
    <m/>
    <m/>
    <s v="Marco Antonio Galarza Castillo"/>
    <s v="Marco Antonio Galarza CastilloMora Di Mattia Andrés Antonio"/>
    <m/>
    <x v="111"/>
    <m/>
    <m/>
    <s v="Excelente (20 puntos)"/>
    <n v="20"/>
    <m/>
    <s v="Excelente (20 puntos)"/>
    <n v="20"/>
    <m/>
    <s v="Excelente (20 puntos)"/>
    <n v="20"/>
    <m/>
    <s v="Bueno (6 puntos)"/>
    <n v="6"/>
    <m/>
    <s v="Excelente (10 puntos)"/>
    <n v="10"/>
    <m/>
    <s v="Excelente (10 puntos)"/>
    <n v="10"/>
    <m/>
    <s v="Excelente (10 puntos)"/>
    <n v="10"/>
    <m/>
    <m/>
  </r>
  <r>
    <n v="313"/>
    <d v="2026-04-23T09:03:24"/>
    <d v="2026-04-23T09:05:54"/>
    <s v="washington.padilla.alarcon@udla.edu.ec"/>
    <s v="Washington Fernando Padilla Alarcon"/>
    <m/>
    <m/>
    <m/>
    <s v="Jueves 23"/>
    <m/>
    <m/>
    <s v="Washington Fernando Padilla Alarcon"/>
    <s v="Washington Fernando Padilla AlarconLópez Sosa Gabriela Elizabeth"/>
    <m/>
    <x v="112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14"/>
    <d v="2026-04-23T08:27:31"/>
    <d v="2026-04-23T09:15:52"/>
    <s v="victor.gomez@udla.edu.ec"/>
    <s v="Victor Gomez Regalado"/>
    <m/>
    <m/>
    <m/>
    <s v="Jueves 23"/>
    <m/>
    <m/>
    <s v="Víctor Javier Gómez Regalado"/>
    <s v="Víctor Javier Gómez RegaladoBetancourt Guamán Sixto Vinicio"/>
    <m/>
    <x v="113"/>
    <m/>
    <m/>
    <s v="Excelente (20 puntos)"/>
    <n v="20"/>
    <m/>
    <s v="Excelente (20 puntos)"/>
    <n v="20"/>
    <m/>
    <s v="Excelente (20 puntos)"/>
    <n v="20"/>
    <m/>
    <s v="Muy bueno (8 puntos)"/>
    <n v="8"/>
    <m/>
    <s v="Muy bueno (8 puntos)"/>
    <n v="8"/>
    <m/>
    <s v="Muy bueno (8 puntos)"/>
    <n v="8"/>
    <m/>
    <s v="Muy bueno (8 puntos)"/>
    <n v="8"/>
    <m/>
    <m/>
  </r>
  <r>
    <n v="315"/>
    <d v="2026-04-23T09:15:59"/>
    <d v="2026-04-23T09:17:49"/>
    <s v="victor.gomez@udla.edu.ec"/>
    <s v="Victor Gomez Regalado"/>
    <m/>
    <m/>
    <m/>
    <s v="Jueves 23"/>
    <m/>
    <m/>
    <s v="Víctor Javier Gómez Regalado"/>
    <s v="Víctor Javier Gómez RegaladoSánchez Espinosa Jhon Bryan"/>
    <m/>
    <x v="114"/>
    <m/>
    <m/>
    <s v="Excelente (20 puntos)"/>
    <n v="20"/>
    <m/>
    <s v="Excelente (20 puntos)"/>
    <n v="20"/>
    <m/>
    <s v="Muy bueno (16 puntos)"/>
    <n v="16"/>
    <m/>
    <s v="Muy bueno (8 puntos)"/>
    <n v="8"/>
    <m/>
    <s v="Muy bueno (8 puntos)"/>
    <n v="8"/>
    <m/>
    <s v="Muy bueno (8 puntos)"/>
    <n v="8"/>
    <m/>
    <s v="Muy bueno (8 puntos)"/>
    <n v="8"/>
    <m/>
    <m/>
  </r>
  <r>
    <n v="316"/>
    <d v="2026-04-23T09:16:50"/>
    <d v="2026-04-23T09:21:56"/>
    <s v="david.pozo@udla.edu.ec"/>
    <s v="David Pozo"/>
    <m/>
    <m/>
    <m/>
    <s v="Martes 21 "/>
    <m/>
    <m/>
    <s v="David Pozo"/>
    <s v="David PozoJaramillo Alcázar Erika Salomé"/>
    <m/>
    <x v="109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58"/>
    <d v="2026-04-23T11:56:54"/>
    <d v="2026-04-23T11:58:41"/>
    <s v="edison.chicaiza.salgado@udla.edu.ec"/>
    <s v="Edison Ruben Chicaiza Salgado"/>
    <m/>
    <m/>
    <m/>
    <s v="Jueves 23"/>
    <m/>
    <m/>
    <s v="Edison Chicaiza"/>
    <s v="Edison ChicaizaGuevara Llanos Pahola Del Carmen"/>
    <m/>
    <x v="115"/>
    <m/>
    <m/>
    <s v="Muy bueno (16 puntos)"/>
    <n v="16"/>
    <m/>
    <s v="Muy bueno (16 puntos)"/>
    <n v="16"/>
    <m/>
    <s v="Excelente (20 puntos)"/>
    <n v="20"/>
    <m/>
    <s v="Bueno (6 puntos)"/>
    <n v="6"/>
    <m/>
    <s v="Muy bueno (8 puntos)"/>
    <n v="8"/>
    <m/>
    <s v="Excelente (10 puntos)"/>
    <n v="10"/>
    <m/>
    <s v="Muy bueno (8 puntos)"/>
    <n v="8"/>
    <m/>
    <m/>
  </r>
  <r>
    <n v="318"/>
    <d v="2026-04-23T09:21:59"/>
    <d v="2026-04-23T09:23:27"/>
    <s v="david.pozo@udla.edu.ec"/>
    <s v="David Pozo"/>
    <m/>
    <m/>
    <m/>
    <s v="Jueves 23"/>
    <m/>
    <m/>
    <s v="David Pozo"/>
    <s v="David PozoLicto Iler Erick Javier"/>
    <m/>
    <x v="110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20"/>
    <d v="2026-04-23T07:48:26"/>
    <d v="2026-04-23T09:26:00"/>
    <s v="patricio.ponce.herrera@udla.edu.ec"/>
    <s v="Patricio David Ponce Herrera"/>
    <m/>
    <m/>
    <m/>
    <s v="Jueves 23"/>
    <m/>
    <m/>
    <s v="Patricio David Ponce"/>
    <s v="Patricio David PonceBetancourt Guamán Sixto Vinicio"/>
    <m/>
    <x v="113"/>
    <m/>
    <m/>
    <s v="Muy bueno (16 puntos)"/>
    <n v="16"/>
    <m/>
    <s v="Muy bueno (16 puntos)"/>
    <n v="16"/>
    <m/>
    <s v="Bueno (12 puntos)"/>
    <n v="12"/>
    <m/>
    <s v="Bueno (6 puntos)"/>
    <n v="6"/>
    <m/>
    <s v="Excelente (10 puntos)"/>
    <n v="10"/>
    <m/>
    <s v="Bueno (6 puntos)"/>
    <n v="6"/>
    <m/>
    <s v="Bueno (6 puntos)"/>
    <n v="6"/>
    <m/>
    <m/>
  </r>
  <r>
    <n v="321"/>
    <d v="2026-04-23T09:26:01"/>
    <d v="2026-04-23T09:26:36"/>
    <s v="patricio.ponce.herrera@udla.edu.ec"/>
    <s v="Patricio David Ponce Herrera"/>
    <m/>
    <m/>
    <m/>
    <s v="Jueves 23"/>
    <m/>
    <m/>
    <s v="Patricio David Ponce"/>
    <s v="Patricio David PonceSánchez Espinosa Jhon Bryan"/>
    <m/>
    <x v="114"/>
    <m/>
    <m/>
    <s v="Muy bueno (16 puntos)"/>
    <n v="16"/>
    <m/>
    <s v="Muy bueno (16 puntos)"/>
    <n v="16"/>
    <m/>
    <s v="Bueno (12 puntos)"/>
    <n v="12"/>
    <m/>
    <s v="Bueno (6 puntos)"/>
    <n v="6"/>
    <m/>
    <s v="Excelente (10 puntos)"/>
    <n v="10"/>
    <m/>
    <s v="Bueno (6 puntos)"/>
    <n v="6"/>
    <m/>
    <s v="Bueno (6 puntos)"/>
    <n v="6"/>
    <m/>
    <m/>
  </r>
  <r>
    <n v="322"/>
    <d v="2026-04-23T09:03:37"/>
    <d v="2026-04-23T09:26:36"/>
    <s v="marco.galarza@udla.edu.ec"/>
    <s v="Marco Galarza"/>
    <m/>
    <m/>
    <m/>
    <s v="Jueves 23"/>
    <m/>
    <m/>
    <s v="Marco Antonio Galarza Castillo"/>
    <s v="Marco Antonio Galarza CastilloLópez Arboleda Carla Stephanya"/>
    <m/>
    <x v="116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323"/>
    <d v="2026-04-23T09:17:54"/>
    <d v="2026-04-23T09:26:50"/>
    <s v="victor.gomez@udla.edu.ec"/>
    <s v="Victor Gomez Regalado"/>
    <m/>
    <m/>
    <m/>
    <s v="Jueves 23"/>
    <m/>
    <m/>
    <s v="Víctor Javier Gómez Regalado"/>
    <s v="Víctor Javier Gómez RegaladoMora Di Mattia Andrés Antonio"/>
    <m/>
    <x v="111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24"/>
    <d v="2026-04-23T09:26:43"/>
    <d v="2026-04-23T09:27:10"/>
    <s v="marco.galarza@udla.edu.ec"/>
    <s v="Marco Galarza"/>
    <m/>
    <m/>
    <m/>
    <s v="Jueves 23"/>
    <m/>
    <m/>
    <s v="Marco Antonio Galarza Castillo"/>
    <s v="Marco Antonio Galarza CastilloMartínez Porte Daniela Stephania"/>
    <m/>
    <x v="117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25"/>
    <d v="2026-04-23T09:26:37"/>
    <d v="2026-04-23T09:27:17"/>
    <s v="patricio.ponce.herrera@udla.edu.ec"/>
    <s v="Patricio David Ponce Herrera"/>
    <m/>
    <m/>
    <m/>
    <s v="Jueves 23"/>
    <m/>
    <m/>
    <s v="Patricio David Ponce"/>
    <s v="Patricio David PonceJaramillo Alcázar Erika Salomé"/>
    <m/>
    <x v="109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26"/>
    <d v="2026-04-23T09:27:19"/>
    <d v="2026-04-23T09:27:53"/>
    <s v="patricio.ponce.herrera@udla.edu.ec"/>
    <s v="Patricio David Ponce Herrera"/>
    <m/>
    <m/>
    <m/>
    <s v="Jueves 23"/>
    <m/>
    <m/>
    <s v="Patricio David Ponce"/>
    <s v="Patricio David PonceLicto Iler Erick Javier"/>
    <m/>
    <x v="110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27"/>
    <d v="2026-04-23T09:27:06"/>
    <d v="2026-04-23T09:28:48"/>
    <s v="victor.gomez@udla.edu.ec"/>
    <s v="Victor Gomez Regalado"/>
    <m/>
    <m/>
    <m/>
    <s v="Jueves 23"/>
    <m/>
    <m/>
    <s v="Víctor Javier Gómez Regalado"/>
    <s v="Víctor Javier Gómez RegaladoLópez Sosa Gabriela Elizabeth"/>
    <m/>
    <x v="112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28"/>
    <d v="2026-04-23T09:28:53"/>
    <d v="2026-04-23T09:35:36"/>
    <s v="victor.gomez@udla.edu.ec"/>
    <s v="Victor Gomez Regalado"/>
    <m/>
    <m/>
    <m/>
    <s v="Jueves 23"/>
    <m/>
    <m/>
    <s v="Víctor Javier Gómez Regalado"/>
    <s v="Víctor Javier Gómez RegaladoViteri Mesías Fabián Nicolás"/>
    <m/>
    <x v="118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29"/>
    <d v="2026-04-23T09:35:38"/>
    <d v="2026-04-23T09:37:38"/>
    <s v="victor.gomez@udla.edu.ec"/>
    <s v="Victor Gomez Regalado"/>
    <m/>
    <m/>
    <m/>
    <s v="Jueves 23"/>
    <m/>
    <m/>
    <s v="Víctor Javier Gómez Regalado"/>
    <s v="Víctor Javier Gómez RegaladoJiménez Soto Luis Javier"/>
    <m/>
    <x v="119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30"/>
    <d v="2026-04-23T09:30:45"/>
    <d v="2026-04-23T09:37:50"/>
    <s v="maria.jaramillo.pinos@udla.edu.ec"/>
    <s v="Maria Fernanda Jaramillo Pinos"/>
    <m/>
    <m/>
    <m/>
    <s v="Miércoles 22"/>
    <m/>
    <m/>
    <s v="María Fernanada Jaramillo"/>
    <s v="María Fernanada JaramilloOchoa Larreategui Mateo Nicolás"/>
    <m/>
    <x v="104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31"/>
    <d v="2026-04-23T09:38:19"/>
    <d v="2026-04-23T09:39:37"/>
    <s v="maria.jaramillo.pinos@udla.edu.ec"/>
    <s v="Maria Fernanda Jaramillo Pinos"/>
    <m/>
    <m/>
    <m/>
    <s v="Miércoles 22"/>
    <m/>
    <m/>
    <s v="María Fernanada Jaramillo"/>
    <s v="María Fernanada JaramilloLeón Fuenmayor Emily Antonella"/>
    <m/>
    <x v="105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32"/>
    <d v="2026-04-23T09:39:49"/>
    <d v="2026-04-23T09:42:00"/>
    <s v="maria.jaramillo.pinos@udla.edu.ec"/>
    <s v="Maria Fernanda Jaramillo Pinos"/>
    <m/>
    <m/>
    <m/>
    <s v="Miércoles 22"/>
    <m/>
    <m/>
    <s v="María Fernanada Jaramillo"/>
    <s v="María Fernanada JaramilloRosero Guevara Ariana Micaela"/>
    <m/>
    <x v="82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33"/>
    <d v="2026-04-23T09:42:12"/>
    <d v="2026-04-23T09:43:20"/>
    <s v="maria.jaramillo.pinos@udla.edu.ec"/>
    <s v="Maria Fernanda Jaramillo Pinos"/>
    <m/>
    <m/>
    <m/>
    <s v="Miércoles 22"/>
    <m/>
    <m/>
    <s v="María Fernanada Jaramillo"/>
    <s v="María Fernanada JaramilloPáez Cevallos Santiago Alejandro"/>
    <m/>
    <x v="84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34"/>
    <d v="2026-04-23T09:43:29"/>
    <d v="2026-04-23T09:45:08"/>
    <s v="maria.jaramillo.pinos@udla.edu.ec"/>
    <s v="Maria Fernanda Jaramillo Pinos"/>
    <m/>
    <m/>
    <m/>
    <s v="Miércoles 22"/>
    <m/>
    <m/>
    <s v="María Fernanada Jaramillo"/>
    <s v="María Fernanada JaramilloUsiña Esteban Wladimir"/>
    <m/>
    <x v="85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Muy bueno (8 puntos)"/>
    <n v="8"/>
    <m/>
    <m/>
  </r>
  <r>
    <n v="348"/>
    <d v="2026-04-23T10:32:45"/>
    <d v="2026-04-23T10:58:42"/>
    <s v="anamaria.pazmino@udla.edu.ec"/>
    <s v="Ana María Pazmiño Delgado"/>
    <m/>
    <m/>
    <m/>
    <s v="Jueves 23"/>
    <m/>
    <m/>
    <s v="Ana María Pazmiño Delgado"/>
    <s v="Ana María Pazmiño DelgadoJátiva Ubillús José André"/>
    <m/>
    <x v="120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Bueno (6 puntos)"/>
    <n v="6"/>
    <m/>
    <s v="Excelente (10 puntos)"/>
    <n v="10"/>
    <m/>
    <m/>
  </r>
  <r>
    <n v="337"/>
    <d v="2026-04-23T09:33:54"/>
    <d v="2026-04-23T10:02:13"/>
    <s v="marco.galarza@udla.edu.ec"/>
    <s v="Marco Galarza"/>
    <m/>
    <m/>
    <m/>
    <s v="Jueves 23"/>
    <m/>
    <m/>
    <s v="Marco Antonio Galarza Castillo"/>
    <s v="Marco Antonio Galarza CastilloBenalcazar Redroban Jhon Robert"/>
    <m/>
    <x v="121"/>
    <m/>
    <m/>
    <s v="Excelente (20 puntos)"/>
    <n v="20"/>
    <m/>
    <s v="Excelente (20 puntos)"/>
    <n v="20"/>
    <m/>
    <s v="Excelente (20 puntos)"/>
    <n v="20"/>
    <m/>
    <s v="Bueno (6 puntos)"/>
    <n v="6"/>
    <m/>
    <s v="Excelente (10 puntos)"/>
    <n v="10"/>
    <m/>
    <s v="Excelente (10 puntos)"/>
    <n v="10"/>
    <m/>
    <s v="Excelente (10 puntos)"/>
    <n v="10"/>
    <m/>
    <m/>
  </r>
  <r>
    <n v="338"/>
    <d v="2026-04-23T09:56:38"/>
    <d v="2026-04-23T10:04:18"/>
    <s v="david.pozo@udla.edu.ec"/>
    <s v="David Pozo"/>
    <m/>
    <m/>
    <m/>
    <s v="Jueves 23"/>
    <m/>
    <m/>
    <s v="David Pozo"/>
    <s v="David PozoBenalcazar Redroban Jhon Robert"/>
    <m/>
    <x v="121"/>
    <m/>
    <m/>
    <s v="Excelente (20 puntos)"/>
    <n v="20"/>
    <m/>
    <s v="Muy bueno (16 puntos)"/>
    <n v="16"/>
    <m/>
    <s v="Excelente (20 puntos)"/>
    <n v="20"/>
    <m/>
    <s v="Muy bueno (8 puntos)"/>
    <n v="8"/>
    <m/>
    <s v="Excelente (10 puntos)"/>
    <n v="10"/>
    <m/>
    <s v="Excelente (10 puntos)"/>
    <n v="10"/>
    <m/>
    <s v="Excelente (10 puntos)"/>
    <n v="10"/>
    <m/>
    <m/>
  </r>
  <r>
    <n v="339"/>
    <d v="2026-04-23T10:02:16"/>
    <d v="2026-04-23T10:26:59"/>
    <s v="marco.galarza@udla.edu.ec"/>
    <s v="Marco Galarza"/>
    <m/>
    <m/>
    <m/>
    <s v="Jueves 23"/>
    <m/>
    <m/>
    <s v="Marco Antonio Galarza Castillo"/>
    <s v="Marco Antonio Galarza CastilloGuachamín Guevara Santiago David"/>
    <m/>
    <x v="122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40"/>
    <d v="2026-04-23T09:37:43"/>
    <d v="2026-04-23T10:27:09"/>
    <s v="victor.gomez@udla.edu.ec"/>
    <s v="Victor Gomez Regalado"/>
    <m/>
    <m/>
    <m/>
    <s v="Jueves 23"/>
    <m/>
    <m/>
    <s v="Víctor Javier Gómez Regalado"/>
    <s v="Víctor Javier Gómez RegaladoGuachamín Guevara Santiago David"/>
    <m/>
    <x v="122"/>
    <m/>
    <m/>
    <s v="Excelente (20 puntos)"/>
    <n v="20"/>
    <m/>
    <s v="Excelente (20 puntos)"/>
    <n v="20"/>
    <m/>
    <s v="Excelente (20 puntos)"/>
    <n v="20"/>
    <m/>
    <s v="Excelente (10 puntos)"/>
    <n v="10"/>
    <m/>
    <s v="Muy bueno (8 puntos)"/>
    <n v="8"/>
    <m/>
    <s v="Muy bueno (8 puntos)"/>
    <n v="8"/>
    <m/>
    <s v="Muy bueno (8 puntos)"/>
    <n v="8"/>
    <m/>
    <m/>
  </r>
  <r>
    <n v="341"/>
    <d v="2026-04-23T10:27:01"/>
    <d v="2026-04-23T10:27:32"/>
    <s v="marco.galarza@udla.edu.ec"/>
    <s v="Marco Galarza"/>
    <m/>
    <m/>
    <m/>
    <s v="Jueves 23"/>
    <m/>
    <m/>
    <s v="Marco Antonio Galarza Castillo"/>
    <s v="Marco Antonio Galarza CastilloMasache Narváez Valeria Estefanía"/>
    <m/>
    <x v="123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42"/>
    <d v="2026-04-23T10:27:19"/>
    <d v="2026-04-23T10:28:17"/>
    <s v="victor.gomez@udla.edu.ec"/>
    <s v="Victor Gomez Regalado"/>
    <m/>
    <m/>
    <m/>
    <s v="Jueves 23"/>
    <m/>
    <m/>
    <s v="Víctor Javier Gómez Regalado"/>
    <s v="Víctor Javier Gómez RegaladoMasache Narváez Valeria Estefanía"/>
    <m/>
    <x v="123"/>
    <m/>
    <m/>
    <s v="Excelente (20 puntos)"/>
    <n v="20"/>
    <m/>
    <s v="Excelente (20 puntos)"/>
    <n v="20"/>
    <m/>
    <s v="Excelente (20 puntos)"/>
    <n v="20"/>
    <m/>
    <s v="Excelente (10 puntos)"/>
    <n v="10"/>
    <m/>
    <s v="Muy bueno (8 puntos)"/>
    <n v="8"/>
    <m/>
    <s v="Muy bueno (8 puntos)"/>
    <n v="8"/>
    <m/>
    <s v="Muy bueno (8 puntos)"/>
    <n v="8"/>
    <m/>
    <m/>
  </r>
  <r>
    <n v="343"/>
    <d v="2026-04-23T10:32:03"/>
    <d v="2026-04-23T10:32:42"/>
    <s v="anamaria.pazmino@udla.edu.ec"/>
    <s v="Ana María Pazmiño Delgado"/>
    <m/>
    <m/>
    <m/>
    <s v="Jueves 23"/>
    <m/>
    <m/>
    <s v="Ana María Pazmiño Delgado"/>
    <s v="Ana María Pazmiño DelgadoAguaisa Moreno Victor Andres"/>
    <m/>
    <x v="124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44"/>
    <d v="2026-04-23T10:34:34"/>
    <d v="2026-04-23T10:54:08"/>
    <s v="patricia.acosta@udla.edu.ec"/>
    <s v="Patricia Acosta"/>
    <m/>
    <m/>
    <m/>
    <s v="Jueves 23"/>
    <m/>
    <m/>
    <s v="Nelly Patricia Acosta Vargas"/>
    <s v="Nelly Patricia Acosta VargasIza Jiménez Santiago Francisco"/>
    <m/>
    <x v="125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45"/>
    <d v="2026-04-23T10:54:14"/>
    <d v="2026-04-23T10:55:07"/>
    <s v="patricia.acosta@udla.edu.ec"/>
    <s v="Patricia Acosta"/>
    <m/>
    <m/>
    <m/>
    <s v="Jueves 23"/>
    <m/>
    <m/>
    <s v="Nelly Patricia Acosta Vargas"/>
    <s v="Nelly Patricia Acosta VargasSalazar Guallichico José Luis"/>
    <m/>
    <x v="126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46"/>
    <d v="2026-04-23T10:37:20"/>
    <d v="2026-04-23T10:57:18"/>
    <s v="marco.galarza@udla.edu.ec"/>
    <s v="Marco Galarza"/>
    <m/>
    <m/>
    <m/>
    <s v="Jueves 23"/>
    <m/>
    <m/>
    <s v="Marco Antonio Galarza Castillo"/>
    <s v="Marco Antonio Galarza CastilloIza Jiménez Santiago Francisco"/>
    <m/>
    <x v="125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47"/>
    <d v="2026-04-23T10:57:19"/>
    <d v="2026-04-23T10:57:56"/>
    <s v="marco.galarza@udla.edu.ec"/>
    <s v="Marco Galarza"/>
    <m/>
    <m/>
    <m/>
    <s v="Jueves 23"/>
    <m/>
    <m/>
    <s v="Marco Antonio Galarza Castillo"/>
    <s v="Marco Antonio Galarza CastilloSalazar Guallichico José Luis"/>
    <m/>
    <x v="126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35"/>
    <d v="2026-04-23T09:55:42"/>
    <d v="2026-04-23T09:56:52"/>
    <s v="pavlova.sigcha@udla.edu.ec"/>
    <s v="Pavlova Sigcha"/>
    <m/>
    <m/>
    <m/>
    <s v="Jueves 23"/>
    <m/>
    <m/>
    <s v="Pavlova Sigcha"/>
    <s v="Pavlova SigchaJiménez Soto Luis Javier"/>
    <m/>
    <x v="119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49"/>
    <d v="2026-04-23T11:22:21"/>
    <d v="2026-04-23T11:22:56"/>
    <s v="marco.galarza@udla.edu.ec"/>
    <s v="Marco Galarza"/>
    <m/>
    <m/>
    <m/>
    <s v="Jueves 23"/>
    <m/>
    <m/>
    <s v="Marco Antonio Galarza Castillo"/>
    <s v="Marco Antonio Galarza CastilloCarrasco Meneses Johan Marcelo"/>
    <m/>
    <x v="127"/>
    <m/>
    <m/>
    <s v="Excelente (20 puntos)"/>
    <n v="20"/>
    <m/>
    <s v="Muy bueno (16 puntos)"/>
    <n v="16"/>
    <m/>
    <s v="Muy bueno (16 puntos)"/>
    <n v="16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350"/>
    <d v="2026-04-23T11:22:57"/>
    <d v="2026-04-23T11:23:29"/>
    <s v="marco.galarza@udla.edu.ec"/>
    <s v="Marco Galarza"/>
    <m/>
    <m/>
    <m/>
    <s v="Jueves 23"/>
    <m/>
    <m/>
    <s v="Marco Antonio Galarza Castillo"/>
    <s v="Marco Antonio Galarza CastilloGuillen Balarezo David Andrés"/>
    <m/>
    <x v="128"/>
    <m/>
    <m/>
    <s v="Excelente (20 puntos)"/>
    <n v="20"/>
    <m/>
    <s v="Muy bueno (16 puntos)"/>
    <n v="16"/>
    <m/>
    <s v="Muy bueno (16 puntos)"/>
    <n v="16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351"/>
    <d v="2026-04-23T11:23:31"/>
    <d v="2026-04-23T11:23:57"/>
    <s v="marco.galarza@udla.edu.ec"/>
    <s v="Marco Galarza"/>
    <m/>
    <m/>
    <m/>
    <s v="Jueves 23"/>
    <m/>
    <m/>
    <s v="Marco Antonio Galarza Castillo"/>
    <s v="Marco Antonio Galarza CastilloTrujillo Robalino David Antonio"/>
    <m/>
    <x v="129"/>
    <m/>
    <m/>
    <s v="Excelente (20 puntos)"/>
    <n v="20"/>
    <m/>
    <s v="Muy bueno (16 puntos)"/>
    <n v="16"/>
    <m/>
    <s v="Muy bueno (16 puntos)"/>
    <n v="16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352"/>
    <d v="2026-04-23T11:23:28"/>
    <d v="2026-04-23T11:27:19"/>
    <s v="erislan.martinez@udla.edu.ec"/>
    <s v="Erislan Martinez"/>
    <m/>
    <m/>
    <m/>
    <s v="Jueves 23"/>
    <m/>
    <m/>
    <s v="Erislán Martínez"/>
    <s v="Erislán MartínezCarrasco Meneses Johan Marcelo"/>
    <m/>
    <x v="127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Bueno (6 puntos)"/>
    <n v="6"/>
    <m/>
    <s v="Excelente (10 puntos)"/>
    <n v="10"/>
    <m/>
    <m/>
  </r>
  <r>
    <n v="353"/>
    <d v="2026-04-23T11:27:22"/>
    <d v="2026-04-23T11:28:32"/>
    <s v="erislan.martinez@udla.edu.ec"/>
    <s v="Erislan Martinez"/>
    <m/>
    <m/>
    <m/>
    <s v="Jueves 23"/>
    <m/>
    <m/>
    <s v="Erislán Martínez"/>
    <s v="Erislán MartínezGuillen Balarezo David Andrés"/>
    <m/>
    <x v="128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54"/>
    <d v="2026-04-23T11:28:39"/>
    <d v="2026-04-23T11:29:34"/>
    <s v="erislan.martinez@udla.edu.ec"/>
    <s v="Erislan Martinez"/>
    <m/>
    <m/>
    <m/>
    <s v="Jueves 23"/>
    <m/>
    <m/>
    <s v="Erislán Martínez"/>
    <s v="Erislán MartínezTrujillo Robalino David Antonio"/>
    <m/>
    <x v="129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55"/>
    <d v="2026-04-22T20:03:43"/>
    <d v="2026-04-23T11:56:53"/>
    <s v="cesar.larrea@udla.edu.ec"/>
    <s v="César Alberto Larrea Araujo"/>
    <m/>
    <m/>
    <m/>
    <s v="Jueves 23"/>
    <m/>
    <m/>
    <s v="César Alberto Larrea Araujo"/>
    <s v="César Alberto Larrea AraujoPérez Toapanta Carlos Ramiro"/>
    <m/>
    <x v="130"/>
    <m/>
    <m/>
    <s v="Excelente (20 puntos)"/>
    <n v="20"/>
    <m/>
    <s v="Excelente (20 puntos)"/>
    <n v="20"/>
    <m/>
    <s v="Excelente (20 puntos)"/>
    <n v="20"/>
    <m/>
    <s v="Excelente (10 puntos)"/>
    <n v="10"/>
    <m/>
    <s v="Muy bueno (8 puntos)"/>
    <n v="8"/>
    <m/>
    <s v="Excelente (10 puntos)"/>
    <n v="10"/>
    <m/>
    <s v="Excelente (10 puntos)"/>
    <n v="10"/>
    <m/>
    <m/>
  </r>
  <r>
    <n v="356"/>
    <d v="2026-04-23T11:30:18"/>
    <d v="2026-04-23T11:56:58"/>
    <s v="santiago.solorzano@udla.edu.ec"/>
    <s v="Santiago Leonardo Solórzano"/>
    <m/>
    <m/>
    <m/>
    <s v="Jueves 23"/>
    <m/>
    <m/>
    <s v="Santiago Leonardo Solórzano"/>
    <s v="Santiago Leonardo SolórzanoPérez Toapanta Carlos Ramiro"/>
    <m/>
    <x v="130"/>
    <m/>
    <m/>
    <s v="Excelente (20 puntos)"/>
    <n v="20"/>
    <m/>
    <s v="Excelente (20 puntos)"/>
    <n v="20"/>
    <m/>
    <s v="Muy bueno (16 puntos)"/>
    <n v="16"/>
    <m/>
    <s v="Muy bueno (8 puntos)"/>
    <n v="8"/>
    <m/>
    <s v="Muy bueno (8 puntos)"/>
    <n v="8"/>
    <m/>
    <s v="Bueno (6 puntos)"/>
    <n v="6"/>
    <m/>
    <s v="Muy bueno (8 puntos)"/>
    <n v="8"/>
    <m/>
    <m/>
  </r>
  <r>
    <n v="357"/>
    <d v="2026-04-23T11:41:03"/>
    <d v="2026-04-23T11:57:14"/>
    <s v="marco.galarza@udla.edu.ec"/>
    <s v="Marco Galarza"/>
    <m/>
    <m/>
    <m/>
    <s v="Jueves 23"/>
    <m/>
    <m/>
    <s v="Marco Antonio Galarza Castillo"/>
    <s v="Marco Antonio Galarza CastilloPérez Toapanta Carlos Ramiro"/>
    <m/>
    <x v="130"/>
    <m/>
    <m/>
    <s v="Excelente (20 puntos)"/>
    <n v="20"/>
    <m/>
    <s v="Excelente (20 puntos)"/>
    <n v="20"/>
    <m/>
    <s v="Muy bueno (16 puntos)"/>
    <n v="16"/>
    <m/>
    <s v="Muy bueno (8 puntos)"/>
    <n v="8"/>
    <m/>
    <s v="Excelente (10 puntos)"/>
    <n v="10"/>
    <m/>
    <s v="Muy bueno (8 puntos)"/>
    <n v="8"/>
    <m/>
    <s v="Excelente (10 puntos)"/>
    <n v="10"/>
    <m/>
    <m/>
  </r>
  <r>
    <n v="513"/>
    <d v="2026-04-24T13:24:38"/>
    <d v="2026-04-24T13:26:20"/>
    <s v="andrea.escobar.garcia@udla.edu.ec"/>
    <s v="Andrea Mariana Escobar Garcia"/>
    <m/>
    <m/>
    <m/>
    <s v="Viernes 24"/>
    <m/>
    <m/>
    <s v="Andrea Mariana Escobar García"/>
    <s v="Andrea Mariana Escobar GarcíaLeón Narváez Bryan Mateo"/>
    <m/>
    <x v="131"/>
    <m/>
    <m/>
    <s v="Muy bueno (16 puntos)"/>
    <n v="16"/>
    <m/>
    <s v="Muy bueno (16 puntos)"/>
    <n v="16"/>
    <m/>
    <s v="Muy bueno (16 puntos)"/>
    <n v="16"/>
    <m/>
    <s v="Muy bueno (8 puntos)"/>
    <n v="8"/>
    <m/>
    <s v="Muy bueno (8 puntos)"/>
    <n v="8"/>
    <m/>
    <s v="Muy bueno (8 puntos)"/>
    <n v="8"/>
    <m/>
    <s v="Muy bueno (8 puntos)"/>
    <n v="8"/>
    <m/>
    <m/>
  </r>
  <r>
    <n v="360"/>
    <d v="2026-04-23T12:18:15"/>
    <d v="2026-04-23T12:19:15"/>
    <s v="ana.tulcanaza@udla.edu.ec"/>
    <s v="Ana Belen Tulcanaza"/>
    <m/>
    <m/>
    <m/>
    <s v="Jueves 23"/>
    <m/>
    <m/>
    <s v="Ana Belén Tulcanaza Prieto"/>
    <s v="Ana Belén Tulcanaza PrietoTerán Ballagán Alisson Camila"/>
    <m/>
    <x v="132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61"/>
    <d v="2026-04-23T11:06:41"/>
    <d v="2026-04-23T12:26:28"/>
    <s v="patricia.acosta@udla.edu.ec"/>
    <s v="Patricia Acosta"/>
    <m/>
    <m/>
    <m/>
    <s v="Jueves 23"/>
    <m/>
    <m/>
    <s v="Nelly Patricia Acosta Vargas"/>
    <s v="Nelly Patricia Acosta VargasCachipuendo Contero Inti Josue"/>
    <m/>
    <x v="133"/>
    <m/>
    <m/>
    <s v="Muy bueno (16 puntos)"/>
    <n v="16"/>
    <m/>
    <s v="Muy bueno (16 puntos)"/>
    <n v="16"/>
    <m/>
    <s v="Muy bueno (16 puntos)"/>
    <n v="16"/>
    <m/>
    <s v="Muy bueno (8 puntos)"/>
    <n v="8"/>
    <m/>
    <s v="Muy bueno (8 puntos)"/>
    <n v="8"/>
    <m/>
    <s v="Muy bueno (8 puntos)"/>
    <n v="8"/>
    <m/>
    <s v="Muy bueno (8 puntos)"/>
    <n v="8"/>
    <m/>
    <m/>
  </r>
  <r>
    <n v="362"/>
    <d v="2026-04-23T11:53:09"/>
    <d v="2026-04-23T12:31:42"/>
    <s v="hernan.morales@udla.edu.ec"/>
    <s v="Hernán Andrés Morales Navarrete"/>
    <m/>
    <m/>
    <m/>
    <s v="Jueves 23"/>
    <m/>
    <m/>
    <s v="Hernán Andrés Morales Navarrete"/>
    <s v="Hernán Andrés Morales NavarreteTerán Ballagán Alisson Camila"/>
    <m/>
    <x v="132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63"/>
    <d v="2026-04-23T12:04:32"/>
    <d v="2026-04-23T12:34:25"/>
    <s v="marco.galarza@udla.edu.ec"/>
    <s v="Marco Galarza"/>
    <m/>
    <m/>
    <m/>
    <s v="Jueves 23"/>
    <m/>
    <m/>
    <s v="Marco Antonio Galarza Castillo"/>
    <s v="Marco Antonio Galarza CastilloCachipuendo Contero Inti Josue"/>
    <m/>
    <x v="133"/>
    <m/>
    <m/>
    <s v="Excelente (20 puntos)"/>
    <n v="20"/>
    <m/>
    <s v="Excelente (20 puntos)"/>
    <n v="20"/>
    <m/>
    <s v="Excelente (20 puntos)"/>
    <n v="20"/>
    <m/>
    <s v="Muy bueno (8 puntos)"/>
    <n v="8"/>
    <m/>
    <s v="Excelente (10 puntos)"/>
    <n v="10"/>
    <m/>
    <s v="Excelente (10 puntos)"/>
    <n v="10"/>
    <m/>
    <s v="Excelente (10 puntos)"/>
    <n v="10"/>
    <m/>
    <m/>
  </r>
  <r>
    <n v="364"/>
    <d v="2026-04-23T12:34:54"/>
    <d v="2026-04-23T12:38:08"/>
    <s v="patricia.acosta@udla.edu.ec"/>
    <s v="Patricia Acosta"/>
    <m/>
    <m/>
    <m/>
    <s v="Jueves 23"/>
    <m/>
    <m/>
    <s v="Nelly Patricia Acosta Vargas"/>
    <s v="Nelly Patricia Acosta VargasAvilés Proaño Kevin Patricio"/>
    <m/>
    <x v="134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65"/>
    <d v="2026-04-23T12:38:11"/>
    <d v="2026-04-23T12:39:09"/>
    <s v="patricia.acosta@udla.edu.ec"/>
    <s v="Patricia Acosta"/>
    <m/>
    <m/>
    <m/>
    <s v="Jueves 23"/>
    <m/>
    <m/>
    <s v="Nelly Patricia Acosta Vargas"/>
    <s v="Nelly Patricia Acosta VargasSimbaña Macías Kevin Andrés"/>
    <m/>
    <x v="135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66"/>
    <d v="2026-04-23T12:53:20"/>
    <d v="2026-04-23T12:54:08"/>
    <s v="anamaria.pazmino@udla.edu.ec"/>
    <s v="Ana María Pazmiño Delgado"/>
    <m/>
    <m/>
    <m/>
    <s v="Jueves 23"/>
    <m/>
    <m/>
    <s v="Ana María Pazmiño Delgado"/>
    <s v="Ana María Pazmiño DelgadoMontalvo Grunauer Esteban Francisco"/>
    <m/>
    <x v="136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367"/>
    <d v="2026-04-23T12:19:24"/>
    <d v="2026-04-23T12:54:22"/>
    <s v="ana.tulcanaza@udla.edu.ec"/>
    <s v="Ana Belen Tulcanaza"/>
    <m/>
    <m/>
    <m/>
    <s v="Jueves 23"/>
    <m/>
    <m/>
    <s v="Ana Belén Tulcanaza Prieto"/>
    <s v="Ana Belén Tulcanaza PrietoGarces Fuentes Andrés Steven"/>
    <m/>
    <x v="137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68"/>
    <d v="2026-04-23T12:19:26"/>
    <d v="2026-04-23T12:54:37"/>
    <s v="ana.tulcanaza@udla.edu.ec"/>
    <s v="Ana Belen Tulcanaza"/>
    <m/>
    <m/>
    <m/>
    <s v="Jueves 23"/>
    <m/>
    <m/>
    <s v="Ana Belén Tulcanaza Prieto"/>
    <s v="Ana Belén Tulcanaza PrietoPonce Jara Juan Diego"/>
    <m/>
    <x v="138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69"/>
    <d v="2026-04-23T12:54:14"/>
    <d v="2026-04-23T12:54:51"/>
    <s v="anamaria.pazmino@udla.edu.ec"/>
    <s v="Ana María Pazmiño Delgado"/>
    <m/>
    <m/>
    <m/>
    <s v="Jueves 23"/>
    <m/>
    <m/>
    <s v="Ana María Pazmiño Delgado"/>
    <s v="Ana María Pazmiño DelgadoCarrillo Herrera Isaac Francisco"/>
    <m/>
    <x v="139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370"/>
    <d v="2026-04-23T12:19:28"/>
    <d v="2026-04-23T12:54:59"/>
    <s v="ana.tulcanaza@udla.edu.ec"/>
    <s v="Ana Belen Tulcanaza"/>
    <m/>
    <m/>
    <m/>
    <s v="Jueves 23"/>
    <m/>
    <m/>
    <s v="Ana Belén Tulcanaza Prieto"/>
    <s v="Ana Belén Tulcanaza PrietoJácome Ruiz Pablo Andrés"/>
    <m/>
    <x v="140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71"/>
    <d v="2026-04-23T12:54:57"/>
    <d v="2026-04-23T12:55:40"/>
    <s v="anamaria.pazmino@udla.edu.ec"/>
    <s v="Ana María Pazmiño Delgado"/>
    <m/>
    <m/>
    <m/>
    <s v="Jueves 23"/>
    <m/>
    <m/>
    <s v="Ana María Pazmiño Delgado"/>
    <s v="Ana María Pazmiño DelgadoVerdezoto Davalos Kevin Duval"/>
    <m/>
    <x v="141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372"/>
    <d v="2026-04-23T12:58:02"/>
    <d v="2026-04-23T12:58:34"/>
    <s v="marco.galarza@udla.edu.ec"/>
    <s v="Marco Galarza"/>
    <m/>
    <m/>
    <m/>
    <s v="Jueves 23"/>
    <m/>
    <m/>
    <s v="Marco Antonio Galarza Castillo"/>
    <s v="Marco Antonio Galarza CastilloCarrillo Herrera Isaac Francisco"/>
    <m/>
    <x v="139"/>
    <m/>
    <m/>
    <s v="Excelente (20 puntos)"/>
    <n v="20"/>
    <m/>
    <s v="Excelente (20 puntos)"/>
    <n v="20"/>
    <m/>
    <s v="Excelente (20 puntos)"/>
    <n v="20"/>
    <m/>
    <s v="Bueno (6 puntos)"/>
    <n v="6"/>
    <m/>
    <s v="Muy bueno (8 puntos)"/>
    <n v="8"/>
    <m/>
    <s v="Muy bueno (8 puntos)"/>
    <n v="8"/>
    <m/>
    <s v="Excelente (10 puntos)"/>
    <n v="10"/>
    <m/>
    <m/>
  </r>
  <r>
    <n v="373"/>
    <d v="2026-04-23T12:58:36"/>
    <d v="2026-04-23T12:59:09"/>
    <s v="marco.galarza@udla.edu.ec"/>
    <s v="Marco Galarza"/>
    <m/>
    <m/>
    <m/>
    <s v="Jueves 23"/>
    <m/>
    <m/>
    <s v="Marco Antonio Galarza Castillo"/>
    <s v="Marco Antonio Galarza CastilloMontalvo Grunauer Esteban Francisco"/>
    <m/>
    <x v="136"/>
    <m/>
    <m/>
    <s v="Excelente (20 puntos)"/>
    <n v="20"/>
    <m/>
    <s v="Excelente (20 puntos)"/>
    <n v="20"/>
    <m/>
    <s v="Excelente (20 puntos)"/>
    <n v="20"/>
    <m/>
    <s v="Bueno (6 puntos)"/>
    <n v="6"/>
    <m/>
    <s v="Muy bueno (8 puntos)"/>
    <n v="8"/>
    <m/>
    <s v="Muy bueno (8 puntos)"/>
    <n v="8"/>
    <m/>
    <s v="Excelente (10 puntos)"/>
    <n v="10"/>
    <m/>
    <m/>
  </r>
  <r>
    <n v="374"/>
    <d v="2026-04-23T12:51:42"/>
    <d v="2026-04-23T12:59:40"/>
    <s v="andrea.escobar.garcia@udla.edu.ec"/>
    <s v="Andrea Mariana Escobar Garcia"/>
    <m/>
    <m/>
    <m/>
    <s v="Jueves 23"/>
    <m/>
    <m/>
    <s v="Andrea Mariana Escobar García"/>
    <s v="Andrea Mariana Escobar GarcíaMontalvo Grunauer Esteban Francisco"/>
    <m/>
    <x v="136"/>
    <m/>
    <m/>
    <s v="Excelente (20 puntos)"/>
    <n v="20"/>
    <m/>
    <s v="Excelente (20 puntos)"/>
    <n v="20"/>
    <m/>
    <s v="Excelente (20 puntos)"/>
    <n v="20"/>
    <m/>
    <s v="Muy bueno (8 puntos)"/>
    <n v="8"/>
    <m/>
    <s v="Muy bueno (8 puntos)"/>
    <n v="8"/>
    <m/>
    <s v="Excelente (10 puntos)"/>
    <n v="10"/>
    <m/>
    <s v="Excelente (10 puntos)"/>
    <n v="10"/>
    <m/>
    <m/>
  </r>
  <r>
    <n v="375"/>
    <d v="2026-04-23T12:59:10"/>
    <d v="2026-04-23T12:59:42"/>
    <s v="marco.galarza@udla.edu.ec"/>
    <s v="Marco Galarza"/>
    <m/>
    <m/>
    <m/>
    <s v="Jueves 23"/>
    <m/>
    <m/>
    <s v="Marco Antonio Galarza Castillo"/>
    <s v="Marco Antonio Galarza CastilloVerdezoto Davalos Kevin Duval"/>
    <m/>
    <x v="141"/>
    <m/>
    <m/>
    <s v="Excelente (20 puntos)"/>
    <n v="20"/>
    <m/>
    <s v="Excelente (20 puntos)"/>
    <n v="20"/>
    <m/>
    <s v="Excelente (20 puntos)"/>
    <n v="20"/>
    <m/>
    <s v="Bueno (6 puntos)"/>
    <n v="6"/>
    <m/>
    <s v="Muy bueno (8 puntos)"/>
    <n v="8"/>
    <m/>
    <s v="Muy bueno (8 puntos)"/>
    <n v="8"/>
    <m/>
    <s v="Excelente (10 puntos)"/>
    <n v="10"/>
    <m/>
    <m/>
  </r>
  <r>
    <n v="376"/>
    <d v="2026-04-23T12:59:42"/>
    <d v="2026-04-23T13:00:56"/>
    <s v="andrea.escobar.garcia@udla.edu.ec"/>
    <s v="Andrea Mariana Escobar Garcia"/>
    <m/>
    <m/>
    <m/>
    <s v="Jueves 23"/>
    <m/>
    <m/>
    <s v="Andrea Mariana Escobar García"/>
    <s v="Andrea Mariana Escobar GarcíaVerdezoto Davalos Kevin Duval"/>
    <m/>
    <x v="141"/>
    <m/>
    <m/>
    <s v="Muy bueno (16 puntos)"/>
    <n v="16"/>
    <m/>
    <s v="Muy bueno (16 puntos)"/>
    <n v="16"/>
    <m/>
    <s v="Bueno (12 puntos)"/>
    <n v="12"/>
    <m/>
    <s v="Bueno (6 puntos)"/>
    <n v="6"/>
    <m/>
    <s v="Bueno (6 puntos)"/>
    <n v="6"/>
    <m/>
    <s v="Regular (4 puntos)"/>
    <n v="4"/>
    <m/>
    <s v="Bueno (6 puntos)"/>
    <n v="6"/>
    <m/>
    <m/>
  </r>
  <r>
    <n v="377"/>
    <d v="2026-04-23T12:29:06"/>
    <d v="2026-04-23T13:01:04"/>
    <s v="santiago.solorzano@udla.edu.ec"/>
    <s v="Santiago Leonardo Solórzano"/>
    <m/>
    <m/>
    <m/>
    <s v="Jueves 23"/>
    <m/>
    <m/>
    <s v="Santiago Leonardo Solórzano"/>
    <s v="Santiago Leonardo SolórzanoSimbaña Macías Kevin Andrés"/>
    <m/>
    <x v="135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378"/>
    <d v="2026-04-23T12:29:59"/>
    <d v="2026-04-23T13:01:33"/>
    <s v="santiago.solorzano@udla.edu.ec"/>
    <s v="Santiago Leonardo Solórzano"/>
    <m/>
    <m/>
    <m/>
    <s v="Jueves 23"/>
    <m/>
    <m/>
    <s v="Santiago Leonardo Solórzano"/>
    <s v="Santiago Leonardo SolórzanoAvilés Proaño Kevin Patricio"/>
    <m/>
    <x v="134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379"/>
    <d v="2026-04-23T13:00:58"/>
    <d v="2026-04-23T13:01:40"/>
    <s v="andrea.escobar.garcia@udla.edu.ec"/>
    <s v="Andrea Mariana Escobar Garcia"/>
    <m/>
    <m/>
    <m/>
    <s v="Jueves 23"/>
    <m/>
    <m/>
    <s v="Andrea Mariana Escobar García"/>
    <s v="Andrea Mariana Escobar GarcíaCarrillo Herrera Isaac Francisco"/>
    <m/>
    <x v="139"/>
    <m/>
    <m/>
    <s v="Muy bueno (16 puntos)"/>
    <n v="16"/>
    <m/>
    <s v="Bueno (12 puntos)"/>
    <n v="12"/>
    <m/>
    <s v="Bueno (12 puntos)"/>
    <n v="12"/>
    <m/>
    <s v="Bueno (6 puntos)"/>
    <n v="6"/>
    <m/>
    <s v="Bueno (6 puntos)"/>
    <n v="6"/>
    <m/>
    <s v="Regular (4 puntos)"/>
    <n v="4"/>
    <m/>
    <s v="Bueno (6 puntos)"/>
    <n v="6"/>
    <m/>
    <m/>
  </r>
  <r>
    <n v="380"/>
    <d v="2026-04-23T12:36:35"/>
    <d v="2026-04-23T13:02:44"/>
    <s v="aracely.yandun@udla.edu.ec"/>
    <s v="Aracely Ines Yandun Torres"/>
    <m/>
    <m/>
    <m/>
    <s v="Jueves 23"/>
    <m/>
    <m/>
    <s v="Aracely Ines Yandun Torres"/>
    <s v="Aracely Ines Yandun TorresAvilés Proaño Kevin Patricio"/>
    <m/>
    <x v="134"/>
    <m/>
    <m/>
    <s v="Excelente (20 puntos)"/>
    <n v="20"/>
    <m/>
    <s v="Excelente (20 puntos)"/>
    <n v="20"/>
    <m/>
    <s v="Excelente (20 puntos)"/>
    <n v="20"/>
    <m/>
    <s v="Muy bueno (8 puntos)"/>
    <n v="8"/>
    <m/>
    <s v="Excelente (10 puntos)"/>
    <n v="10"/>
    <m/>
    <s v="Muy bueno (8 puntos)"/>
    <n v="8"/>
    <m/>
    <s v="Excelente (10 puntos)"/>
    <n v="10"/>
    <m/>
    <m/>
  </r>
  <r>
    <n v="381"/>
    <d v="2026-04-23T13:02:46"/>
    <d v="2026-04-23T13:03:20"/>
    <s v="aracely.yandun@udla.edu.ec"/>
    <s v="Aracely Ines Yandun Torres"/>
    <m/>
    <m/>
    <m/>
    <s v="Jueves 23"/>
    <m/>
    <m/>
    <s v="Aracely Ines Yandun Torres"/>
    <s v="Aracely Ines Yandun TorresSimbaña Macías Kevin Andrés"/>
    <m/>
    <x v="135"/>
    <m/>
    <m/>
    <s v="Excelente (20 puntos)"/>
    <n v="20"/>
    <m/>
    <s v="Excelente (20 puntos)"/>
    <n v="20"/>
    <m/>
    <s v="Excelente (20 puntos)"/>
    <n v="20"/>
    <m/>
    <s v="Muy bueno (8 puntos)"/>
    <n v="8"/>
    <m/>
    <s v="Excelente (10 puntos)"/>
    <n v="10"/>
    <m/>
    <s v="Muy bueno (8 puntos)"/>
    <n v="8"/>
    <m/>
    <s v="Excelente (10 puntos)"/>
    <n v="10"/>
    <m/>
    <m/>
  </r>
  <r>
    <n v="382"/>
    <d v="2026-04-23T12:59:46"/>
    <d v="2026-04-23T13:23:31"/>
    <s v="marco.galarza@udla.edu.ec"/>
    <s v="Marco Galarza"/>
    <m/>
    <m/>
    <m/>
    <s v="Jueves 23"/>
    <m/>
    <m/>
    <s v="Marco Antonio Galarza Castillo"/>
    <s v="Marco Antonio Galarza CastilloNovillo Villegas Pablo"/>
    <m/>
    <x v="142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83"/>
    <d v="2026-04-23T13:23:32"/>
    <d v="2026-04-23T13:24:01"/>
    <s v="marco.galarza@udla.edu.ec"/>
    <s v="Marco Galarza"/>
    <m/>
    <m/>
    <m/>
    <s v="Jueves 23"/>
    <m/>
    <m/>
    <s v="Marco Antonio Galarza Castillo"/>
    <s v="Marco Antonio Galarza CastilloNovillo Villegas Sylvia"/>
    <m/>
    <x v="143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84"/>
    <d v="2026-04-23T13:24:03"/>
    <d v="2026-04-23T13:24:37"/>
    <s v="marco.galarza@udla.edu.ec"/>
    <s v="Marco Galarza"/>
    <m/>
    <m/>
    <m/>
    <s v="Jueves 23"/>
    <m/>
    <m/>
    <s v="Marco Antonio Galarza Castillo"/>
    <s v="Marco Antonio Galarza CastilloToscano Romero José"/>
    <m/>
    <x v="144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85"/>
    <d v="2026-04-23T12:40:37"/>
    <d v="2026-04-23T13:25:24"/>
    <s v="patricia.acosta@udla.edu.ec"/>
    <s v="Patricia Acosta"/>
    <m/>
    <m/>
    <m/>
    <s v="Jueves 23"/>
    <m/>
    <m/>
    <s v="Nelly Patricia Acosta Vargas"/>
    <s v="Nelly Patricia Acosta VargasNovillo Villegas Pablo"/>
    <m/>
    <x v="142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86"/>
    <d v="2026-04-23T13:25:25"/>
    <d v="2026-04-23T13:26:28"/>
    <s v="patricia.acosta@udla.edu.ec"/>
    <s v="Patricia Acosta"/>
    <m/>
    <m/>
    <m/>
    <s v="Jueves 23"/>
    <m/>
    <m/>
    <s v="Nelly Patricia Acosta Vargas"/>
    <s v="Nelly Patricia Acosta VargasNovillo Villegas Sylvia"/>
    <m/>
    <x v="143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87"/>
    <d v="2026-04-23T13:26:30"/>
    <d v="2026-04-23T13:27:34"/>
    <s v="patricia.acosta@udla.edu.ec"/>
    <s v="Patricia Acosta"/>
    <m/>
    <m/>
    <m/>
    <s v="Jueves 23"/>
    <m/>
    <m/>
    <s v="Nelly Patricia Acosta Vargas"/>
    <s v="Nelly Patricia Acosta VargasToscano Romero José"/>
    <m/>
    <x v="144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88"/>
    <d v="2026-04-23T13:25:53"/>
    <d v="2026-04-23T14:01:35"/>
    <s v="paulo.guerra.teran@udla.edu.ec"/>
    <s v="Paulo Roberto Guerra"/>
    <m/>
    <m/>
    <m/>
    <s v="Jueves 23"/>
    <m/>
    <m/>
    <s v="Paulo Roberto Guerra"/>
    <s v="Paulo Roberto GuerraSaona David Hernán"/>
    <m/>
    <x v="145"/>
    <m/>
    <m/>
    <s v="Excelente (20 puntos)"/>
    <n v="20"/>
    <m/>
    <s v="Muy bueno (16 puntos)"/>
    <n v="16"/>
    <m/>
    <s v="Muy bueno (16 puntos)"/>
    <n v="16"/>
    <m/>
    <s v="Bueno (6 puntos)"/>
    <n v="6"/>
    <m/>
    <s v="Excelente (10 puntos)"/>
    <n v="10"/>
    <m/>
    <s v="Excelente (10 puntos)"/>
    <n v="10"/>
    <m/>
    <s v="Muy bueno (8 puntos)"/>
    <n v="8"/>
    <m/>
    <m/>
  </r>
  <r>
    <n v="389"/>
    <d v="2026-04-23T14:01:37"/>
    <d v="2026-04-23T14:03:27"/>
    <s v="paulo.guerra.teran@udla.edu.ec"/>
    <s v="Paulo Roberto Guerra"/>
    <m/>
    <m/>
    <m/>
    <s v="Jueves 23"/>
    <m/>
    <m/>
    <s v="Paulo Roberto Guerra"/>
    <s v="Paulo Roberto GuerraEspinoza Erick Daniel"/>
    <m/>
    <x v="146"/>
    <m/>
    <m/>
    <s v="Muy bueno (16 puntos)"/>
    <n v="16"/>
    <m/>
    <s v="Muy bueno (16 puntos)"/>
    <n v="16"/>
    <m/>
    <s v="Muy bueno (16 puntos)"/>
    <n v="16"/>
    <m/>
    <s v="Bueno (6 puntos)"/>
    <n v="6"/>
    <m/>
    <s v="Muy bueno (8 puntos)"/>
    <n v="8"/>
    <m/>
    <s v="Muy bueno (8 puntos)"/>
    <n v="8"/>
    <m/>
    <s v="Muy bueno (8 puntos)"/>
    <n v="8"/>
    <m/>
    <m/>
  </r>
  <r>
    <n v="390"/>
    <d v="2026-04-23T14:03:30"/>
    <d v="2026-04-23T14:05:07"/>
    <s v="paulo.guerra.teran@udla.edu.ec"/>
    <s v="Paulo Roberto Guerra"/>
    <m/>
    <m/>
    <m/>
    <s v="Jueves 23"/>
    <m/>
    <m/>
    <s v="Paulo Roberto Guerra"/>
    <s v="Paulo Roberto GuerraRevelo Juan Manuel"/>
    <m/>
    <x v="147"/>
    <m/>
    <m/>
    <s v="Muy bueno (16 puntos)"/>
    <n v="16"/>
    <m/>
    <s v="Muy bueno (16 puntos)"/>
    <n v="16"/>
    <m/>
    <s v="Muy bueno (16 puntos)"/>
    <n v="16"/>
    <m/>
    <s v="Bueno (6 puntos)"/>
    <n v="6"/>
    <m/>
    <s v="Muy bueno (8 puntos)"/>
    <n v="8"/>
    <m/>
    <s v="Muy bueno (8 puntos)"/>
    <n v="8"/>
    <m/>
    <s v="Muy bueno (8 puntos)"/>
    <n v="8"/>
    <m/>
    <m/>
  </r>
  <r>
    <n v="391"/>
    <d v="2026-04-23T14:02:18"/>
    <d v="2026-04-23T14:17:57"/>
    <s v="anamaria.pazmino@udla.edu.ec"/>
    <s v="Ana María Pazmiño Delgado"/>
    <m/>
    <m/>
    <m/>
    <s v="Jueves 23"/>
    <m/>
    <m/>
    <s v="Ana María Pazmiño Delgado"/>
    <s v="Ana María Pazmiño DelgadoMartínez Rosero Nikita Nahomy"/>
    <m/>
    <x v="148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392"/>
    <d v="2026-04-23T14:18:04"/>
    <d v="2026-04-23T14:18:36"/>
    <s v="anamaria.pazmino@udla.edu.ec"/>
    <s v="Ana María Pazmiño Delgado"/>
    <m/>
    <m/>
    <m/>
    <s v="Jueves 23"/>
    <m/>
    <m/>
    <s v="Ana María Pazmiño Delgado"/>
    <s v="Ana María Pazmiño DelgadoAndrade Mulki Esteban Nicolas"/>
    <m/>
    <x v="149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93"/>
    <d v="2026-04-23T14:18:42"/>
    <d v="2026-04-23T14:24:06"/>
    <s v="anamaria.pazmino@udla.edu.ec"/>
    <s v="Ana María Pazmiño Delgado"/>
    <m/>
    <m/>
    <m/>
    <s v="Jueves 23"/>
    <m/>
    <m/>
    <s v="Ana María Pazmiño Delgado"/>
    <s v="Ana María Pazmiño DelgadoGamboa Salas Sinuhe Ibrahin"/>
    <m/>
    <x v="150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394"/>
    <d v="2026-04-23T14:24:57"/>
    <d v="2026-04-23T14:26:28"/>
    <s v="luis.criollo@udla.edu.ec"/>
    <s v="Luis Criollo"/>
    <m/>
    <m/>
    <m/>
    <s v="Jueves 23"/>
    <m/>
    <m/>
    <s v="Luis Santiago Criollo"/>
    <s v="Luis Santiago CriolloJácome Ruiz Pablo Andrés"/>
    <m/>
    <x v="140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95"/>
    <d v="2026-04-23T14:26:31"/>
    <d v="2026-04-23T14:27:12"/>
    <s v="luis.criollo@udla.edu.ec"/>
    <s v="Luis Criollo"/>
    <m/>
    <m/>
    <m/>
    <s v="Jueves 23"/>
    <m/>
    <m/>
    <s v="Luis Santiago Criollo"/>
    <s v="Luis Santiago CriolloGarces Fuentes Andrés Steven"/>
    <m/>
    <x v="137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96"/>
    <d v="2026-04-23T14:27:15"/>
    <d v="2026-04-23T14:28:18"/>
    <s v="luis.criollo@udla.edu.ec"/>
    <s v="Luis Criollo"/>
    <m/>
    <m/>
    <m/>
    <s v="Jueves 23"/>
    <m/>
    <m/>
    <s v="Luis Santiago Criollo"/>
    <s v="Luis Santiago CriolloPonce Jara Juan Diego"/>
    <m/>
    <x v="138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97"/>
    <d v="2026-04-23T14:28:20"/>
    <d v="2026-04-23T14:29:12"/>
    <s v="luis.criollo@udla.edu.ec"/>
    <s v="Luis Criollo"/>
    <m/>
    <m/>
    <m/>
    <s v="Jueves 23"/>
    <m/>
    <m/>
    <s v="Luis Santiago Criollo"/>
    <s v="Luis Santiago CriolloGamboa Salas Sinuhe Ibrahin"/>
    <m/>
    <x v="150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98"/>
    <d v="2026-04-23T14:29:34"/>
    <d v="2026-04-23T14:30:08"/>
    <s v="luis.criollo@udla.edu.ec"/>
    <s v="Luis Criollo"/>
    <m/>
    <m/>
    <m/>
    <s v="Jueves 23"/>
    <m/>
    <m/>
    <s v="Luis Santiago Criollo"/>
    <s v="Luis Santiago CriolloMartínez Rosero Nikita Nahomy"/>
    <m/>
    <x v="148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99"/>
    <d v="2026-04-23T14:31:05"/>
    <d v="2026-04-23T14:31:30"/>
    <s v="luis.criollo@udla.edu.ec"/>
    <s v="Luis Criollo"/>
    <m/>
    <m/>
    <m/>
    <s v="Jueves 23"/>
    <m/>
    <m/>
    <s v="Luis Santiago Criollo"/>
    <s v="Luis Santiago CriolloAndrade Mulki Esteban Nicolas"/>
    <m/>
    <x v="149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00"/>
    <d v="2026-04-23T09:27:56"/>
    <d v="2026-04-23T16:05:14"/>
    <s v="patricio.ponce.herrera@udla.edu.ec"/>
    <s v="Patricio David Ponce Herrera"/>
    <m/>
    <m/>
    <m/>
    <s v="Jueves 23"/>
    <m/>
    <m/>
    <s v="Patricio David Ponce"/>
    <s v="Patricio David PonceMartínez Rosero Nikita Nahomy"/>
    <m/>
    <x v="148"/>
    <m/>
    <m/>
    <s v="Excelente (20 puntos)"/>
    <n v="20"/>
    <m/>
    <s v="Excelente (20 puntos)"/>
    <n v="20"/>
    <m/>
    <s v="Muy bueno (16 puntos)"/>
    <n v="16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01"/>
    <d v="2026-04-23T16:05:16"/>
    <d v="2026-04-23T16:05:48"/>
    <s v="patricio.ponce.herrera@udla.edu.ec"/>
    <s v="Patricio David Ponce Herrera"/>
    <m/>
    <m/>
    <m/>
    <s v="Jueves 23"/>
    <m/>
    <m/>
    <s v="Patricio David Ponce"/>
    <s v="Patricio David PonceAndrade Mulki Esteban Nicolas"/>
    <m/>
    <x v="149"/>
    <m/>
    <m/>
    <s v="Excelente (20 puntos)"/>
    <n v="20"/>
    <m/>
    <s v="Excelente (20 puntos)"/>
    <n v="20"/>
    <m/>
    <s v="Muy bueno (16 puntos)"/>
    <n v="16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02"/>
    <d v="2026-04-23T16:05:50"/>
    <d v="2026-04-23T16:06:32"/>
    <s v="patricio.ponce.herrera@udla.edu.ec"/>
    <s v="Patricio David Ponce Herrera"/>
    <m/>
    <m/>
    <m/>
    <s v="Jueves 23"/>
    <m/>
    <m/>
    <s v="Patricio David Ponce"/>
    <s v="Patricio David PonceGamboa Salas Sinuhe Ibrahin"/>
    <m/>
    <x v="150"/>
    <m/>
    <m/>
    <s v="Excelente (20 puntos)"/>
    <n v="20"/>
    <m/>
    <s v="Muy bueno (16 puntos)"/>
    <n v="16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03"/>
    <d v="2026-04-23T16:06:35"/>
    <d v="2026-04-23T16:08:30"/>
    <s v="patricio.ponce.herrera@udla.edu.ec"/>
    <s v="Patricio David Ponce Herrera"/>
    <m/>
    <m/>
    <m/>
    <s v="Jueves 23"/>
    <m/>
    <m/>
    <s v="Patricio David Ponce"/>
    <s v="Patricio David PonceSaona David Hernán"/>
    <m/>
    <x v="145"/>
    <m/>
    <m/>
    <s v="Excelente (20 puntos)"/>
    <n v="20"/>
    <m/>
    <s v="Excelente (20 puntos)"/>
    <n v="20"/>
    <m/>
    <s v="Muy bueno (16 puntos)"/>
    <n v="16"/>
    <m/>
    <s v="Muy bueno (8 puntos)"/>
    <n v="8"/>
    <m/>
    <s v="Excelente (10 puntos)"/>
    <n v="10"/>
    <m/>
    <s v="Excelente (10 puntos)"/>
    <n v="10"/>
    <m/>
    <s v="Muy bueno (8 puntos)"/>
    <n v="8"/>
    <m/>
    <m/>
  </r>
  <r>
    <n v="404"/>
    <d v="2026-04-23T16:08:31"/>
    <d v="2026-04-23T16:09:05"/>
    <s v="patricio.ponce.herrera@udla.edu.ec"/>
    <s v="Patricio David Ponce Herrera"/>
    <m/>
    <m/>
    <m/>
    <s v="Jueves 23"/>
    <m/>
    <m/>
    <s v="Patricio David Ponce"/>
    <s v="Patricio David PonceEspinoza Erick Daniel"/>
    <m/>
    <x v="146"/>
    <m/>
    <m/>
    <s v="Excelente (20 puntos)"/>
    <n v="20"/>
    <m/>
    <s v="Excelente (20 puntos)"/>
    <n v="20"/>
    <m/>
    <s v="Muy bueno (16 puntos)"/>
    <n v="16"/>
    <m/>
    <s v="Muy bueno (8 puntos)"/>
    <n v="8"/>
    <m/>
    <s v="Excelente (10 puntos)"/>
    <n v="10"/>
    <m/>
    <s v="Muy bueno (8 puntos)"/>
    <n v="8"/>
    <m/>
    <s v="Muy bueno (8 puntos)"/>
    <n v="8"/>
    <m/>
    <m/>
  </r>
  <r>
    <n v="405"/>
    <d v="2026-04-23T16:09:07"/>
    <d v="2026-04-23T16:09:39"/>
    <s v="patricio.ponce.herrera@udla.edu.ec"/>
    <s v="Patricio David Ponce Herrera"/>
    <m/>
    <m/>
    <m/>
    <s v="Jueves 23"/>
    <m/>
    <m/>
    <s v="Patricio David Ponce"/>
    <s v="Patricio David PonceRevelo Juan Manuel"/>
    <m/>
    <x v="147"/>
    <m/>
    <m/>
    <s v="Excelente (20 puntos)"/>
    <n v="20"/>
    <m/>
    <s v="Excelente (20 puntos)"/>
    <n v="20"/>
    <m/>
    <s v="Muy bueno (16 puntos)"/>
    <n v="16"/>
    <m/>
    <s v="Muy bueno (8 puntos)"/>
    <n v="8"/>
    <m/>
    <s v="Excelente (10 puntos)"/>
    <n v="10"/>
    <m/>
    <s v="Muy bueno (8 puntos)"/>
    <n v="8"/>
    <m/>
    <s v="Muy bueno (8 puntos)"/>
    <n v="8"/>
    <m/>
    <m/>
  </r>
  <r>
    <n v="406"/>
    <d v="2026-04-23T16:09:40"/>
    <d v="2026-04-23T16:11:36"/>
    <s v="patricio.ponce.herrera@udla.edu.ec"/>
    <s v="Patricio David Ponce Herrera"/>
    <m/>
    <m/>
    <m/>
    <s v="Jueves 23"/>
    <m/>
    <m/>
    <s v="Patricio David Ponce"/>
    <s v="Patricio David PonceToscano Romero José"/>
    <m/>
    <x v="144"/>
    <m/>
    <m/>
    <s v="Excelente (20 puntos)"/>
    <n v="20"/>
    <m/>
    <s v="Muy bueno (16 puntos)"/>
    <n v="16"/>
    <m/>
    <s v="Excelente (20 puntos)"/>
    <n v="20"/>
    <m/>
    <s v="Excelente (10 puntos)"/>
    <n v="10"/>
    <m/>
    <s v="Muy bueno (8 puntos)"/>
    <n v="8"/>
    <m/>
    <s v="Muy bueno (8 puntos)"/>
    <n v="8"/>
    <m/>
    <s v="Excelente (10 puntos)"/>
    <n v="10"/>
    <m/>
    <m/>
  </r>
  <r>
    <n v="407"/>
    <d v="2026-04-23T16:11:37"/>
    <d v="2026-04-23T16:12:22"/>
    <s v="patricio.ponce.herrera@udla.edu.ec"/>
    <s v="Patricio David Ponce Herrera"/>
    <m/>
    <m/>
    <m/>
    <s v="Jueves 23"/>
    <m/>
    <m/>
    <s v="Patricio David Ponce"/>
    <s v="Patricio David PonceNovillo Villegas Pablo"/>
    <m/>
    <x v="142"/>
    <m/>
    <m/>
    <s v="Excelente (20 puntos)"/>
    <n v="20"/>
    <m/>
    <s v="Muy bueno (16 puntos)"/>
    <n v="16"/>
    <m/>
    <s v="Excelente (20 puntos)"/>
    <n v="20"/>
    <m/>
    <s v="Excelente (10 puntos)"/>
    <n v="10"/>
    <m/>
    <s v="Muy bueno (8 puntos)"/>
    <n v="8"/>
    <m/>
    <s v="Muy bueno (8 puntos)"/>
    <n v="8"/>
    <m/>
    <s v="Excelente (10 puntos)"/>
    <n v="10"/>
    <m/>
    <m/>
  </r>
  <r>
    <n v="408"/>
    <d v="2026-04-23T16:12:24"/>
    <d v="2026-04-23T16:13:14"/>
    <s v="patricio.ponce.herrera@udla.edu.ec"/>
    <s v="Patricio David Ponce Herrera"/>
    <m/>
    <m/>
    <m/>
    <s v="Jueves 23"/>
    <m/>
    <m/>
    <s v="Patricio David Ponce"/>
    <s v="Patricio David PonceNovillo Villegas Sylvia"/>
    <m/>
    <x v="143"/>
    <m/>
    <m/>
    <s v="Excelente (20 puntos)"/>
    <n v="20"/>
    <m/>
    <s v="Muy bueno (16 puntos)"/>
    <n v="16"/>
    <m/>
    <s v="Excelente (20 puntos)"/>
    <n v="20"/>
    <m/>
    <s v="Excelente (10 puntos)"/>
    <n v="10"/>
    <m/>
    <s v="Muy bueno (8 puntos)"/>
    <n v="8"/>
    <m/>
    <s v="Excelente (10 puntos)"/>
    <n v="10"/>
    <m/>
    <s v="Excelente (10 puntos)"/>
    <n v="10"/>
    <m/>
    <m/>
  </r>
  <r>
    <n v="409"/>
    <d v="2026-04-23T16:13:16"/>
    <d v="2026-04-23T16:16:28"/>
    <s v="patricio.ponce.herrera@udla.edu.ec"/>
    <s v="Patricio David Ponce Herrera"/>
    <m/>
    <m/>
    <m/>
    <s v="Jueves 23"/>
    <m/>
    <m/>
    <s v="Patricio David Ponce"/>
    <s v="Patricio David PonceGarces Fuentes Andrés Steven"/>
    <m/>
    <x v="137"/>
    <m/>
    <m/>
    <s v="Excelente (20 puntos)"/>
    <n v="20"/>
    <m/>
    <s v="Muy bueno (16 puntos)"/>
    <n v="16"/>
    <m/>
    <s v="Muy bueno (16 puntos)"/>
    <n v="16"/>
    <m/>
    <s v="Excelente (10 puntos)"/>
    <n v="10"/>
    <m/>
    <s v="Excelente (10 puntos)"/>
    <n v="10"/>
    <m/>
    <s v="Muy bueno (8 puntos)"/>
    <n v="8"/>
    <m/>
    <s v="Muy bueno (8 puntos)"/>
    <n v="8"/>
    <m/>
    <m/>
  </r>
  <r>
    <n v="410"/>
    <d v="2026-04-23T16:16:30"/>
    <d v="2026-04-23T16:17:05"/>
    <s v="patricio.ponce.herrera@udla.edu.ec"/>
    <s v="Patricio David Ponce Herrera"/>
    <m/>
    <m/>
    <m/>
    <s v="Jueves 23"/>
    <m/>
    <m/>
    <s v="Patricio David Ponce"/>
    <s v="Patricio David PonceJácome Ruiz Pablo Andrés"/>
    <m/>
    <x v="140"/>
    <m/>
    <m/>
    <s v="Excelente (20 puntos)"/>
    <n v="20"/>
    <m/>
    <s v="Muy bueno (16 puntos)"/>
    <n v="16"/>
    <m/>
    <s v="Excelente (20 puntos)"/>
    <n v="20"/>
    <m/>
    <s v="Excelente (10 puntos)"/>
    <n v="10"/>
    <m/>
    <s v="Excelente (10 puntos)"/>
    <n v="10"/>
    <m/>
    <s v="Muy bueno (8 puntos)"/>
    <n v="8"/>
    <m/>
    <s v="Muy bueno (8 puntos)"/>
    <n v="8"/>
    <m/>
    <m/>
  </r>
  <r>
    <n v="411"/>
    <d v="2026-04-23T16:17:07"/>
    <d v="2026-04-23T16:17:40"/>
    <s v="patricio.ponce.herrera@udla.edu.ec"/>
    <s v="Patricio David Ponce Herrera"/>
    <m/>
    <m/>
    <m/>
    <s v="Jueves 23"/>
    <m/>
    <m/>
    <s v="Patricio David Ponce"/>
    <s v="Patricio David PoncePonce Jara Juan Diego"/>
    <m/>
    <x v="138"/>
    <m/>
    <m/>
    <s v="Excelente (20 puntos)"/>
    <n v="20"/>
    <m/>
    <s v="Excelente (20 puntos)"/>
    <n v="20"/>
    <m/>
    <s v="Muy bueno (16 puntos)"/>
    <n v="16"/>
    <m/>
    <s v="Excelente (10 puntos)"/>
    <n v="10"/>
    <m/>
    <s v="Excelente (10 puntos)"/>
    <n v="10"/>
    <m/>
    <s v="Muy bueno (8 puntos)"/>
    <n v="8"/>
    <m/>
    <s v="Muy bueno (8 puntos)"/>
    <n v="8"/>
    <m/>
    <m/>
  </r>
  <r>
    <n v="412"/>
    <d v="2026-04-23T16:17:42"/>
    <d v="2026-04-23T16:18:27"/>
    <s v="patricio.ponce.herrera@udla.edu.ec"/>
    <s v="Patricio David Ponce Herrera"/>
    <m/>
    <m/>
    <m/>
    <s v="Jueves 23"/>
    <m/>
    <m/>
    <s v="Patricio David Ponce"/>
    <s v="Patricio David PonceTerán Ballagán Alisson Camila"/>
    <m/>
    <x v="132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13"/>
    <d v="2026-04-23T16:18:28"/>
    <d v="2026-04-23T16:19:40"/>
    <s v="patricio.ponce.herrera@udla.edu.ec"/>
    <s v="Patricio David Ponce Herrera"/>
    <m/>
    <m/>
    <m/>
    <s v="Jueves 23"/>
    <m/>
    <m/>
    <s v="Patricio David Ponce"/>
    <s v="Patricio David PonceGuevara Llanos Pahola Del Carmen"/>
    <m/>
    <x v="115"/>
    <m/>
    <m/>
    <s v="Excelente (20 puntos)"/>
    <n v="20"/>
    <m/>
    <s v="Muy bueno (16 puntos)"/>
    <n v="16"/>
    <m/>
    <s v="Excelente (20 puntos)"/>
    <n v="20"/>
    <m/>
    <s v="Bueno (6 puntos)"/>
    <n v="6"/>
    <m/>
    <s v="Excelente (10 puntos)"/>
    <n v="10"/>
    <m/>
    <s v="Excelente (10 puntos)"/>
    <n v="10"/>
    <m/>
    <s v="Excelente (10 puntos)"/>
    <n v="10"/>
    <m/>
    <m/>
  </r>
  <r>
    <n v="414"/>
    <d v="2026-04-23T16:19:42"/>
    <d v="2026-04-23T16:20:07"/>
    <s v="patricio.ponce.herrera@udla.edu.ec"/>
    <s v="Patricio David Ponce Herrera"/>
    <m/>
    <m/>
    <m/>
    <s v="Jueves 23"/>
    <m/>
    <m/>
    <s v="Patricio David Ponce"/>
    <s v="Patricio David PonceTorres Alvarado Stalin Guillermo"/>
    <m/>
    <x v="151"/>
    <m/>
    <m/>
    <s v="Excelente (20 puntos)"/>
    <n v="20"/>
    <m/>
    <s v="Muy bueno (16 puntos)"/>
    <n v="16"/>
    <m/>
    <s v="Excelente (20 puntos)"/>
    <n v="20"/>
    <m/>
    <s v="Bueno (6 puntos)"/>
    <n v="6"/>
    <m/>
    <s v="Excelente (10 puntos)"/>
    <n v="10"/>
    <m/>
    <s v="Excelente (10 puntos)"/>
    <n v="10"/>
    <m/>
    <s v="Excelente (10 puntos)"/>
    <n v="10"/>
    <m/>
    <m/>
  </r>
  <r>
    <n v="415"/>
    <d v="2026-04-23T16:20:09"/>
    <d v="2026-04-23T16:22:02"/>
    <s v="patricio.ponce.herrera@udla.edu.ec"/>
    <s v="Patricio David Ponce Herrera"/>
    <m/>
    <m/>
    <m/>
    <s v="Jueves 23"/>
    <m/>
    <m/>
    <s v="Patricio David Ponce"/>
    <s v="Patricio David PonceCarrasco Meneses Johan Marcelo"/>
    <m/>
    <x v="127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Muy bueno (8 puntos)"/>
    <n v="8"/>
    <m/>
    <m/>
  </r>
  <r>
    <n v="416"/>
    <d v="2026-04-23T16:22:04"/>
    <d v="2026-04-23T16:22:34"/>
    <s v="patricio.ponce.herrera@udla.edu.ec"/>
    <s v="Patricio David Ponce Herrera"/>
    <m/>
    <m/>
    <m/>
    <s v="Jueves 23"/>
    <m/>
    <m/>
    <s v="Patricio David Ponce"/>
    <s v="Patricio David PonceGuillen Balarezo David Andrés"/>
    <m/>
    <x v="128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Muy bueno (8 puntos)"/>
    <n v="8"/>
    <m/>
    <m/>
  </r>
  <r>
    <n v="417"/>
    <d v="2026-04-23T16:22:38"/>
    <d v="2026-04-23T16:23:10"/>
    <s v="patricio.ponce.herrera@udla.edu.ec"/>
    <s v="Patricio David Ponce Herrera"/>
    <m/>
    <m/>
    <m/>
    <s v="Jueves 23"/>
    <m/>
    <m/>
    <s v="Patricio David Ponce"/>
    <s v="Patricio David PonceTrujillo Robalino David Antonio"/>
    <m/>
    <x v="129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Muy bueno (8 puntos)"/>
    <n v="8"/>
    <m/>
    <m/>
  </r>
  <r>
    <n v="418"/>
    <d v="2026-04-23T16:23:11"/>
    <d v="2026-04-23T16:24:12"/>
    <s v="patricio.ponce.herrera@udla.edu.ec"/>
    <s v="Patricio David Ponce Herrera"/>
    <m/>
    <m/>
    <m/>
    <s v="Jueves 23"/>
    <m/>
    <m/>
    <s v="Patricio David Ponce"/>
    <s v="Patricio David PonceJátiva Ubillús José André"/>
    <m/>
    <x v="120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19"/>
    <d v="2026-04-23T16:24:14"/>
    <d v="2026-04-23T16:25:22"/>
    <s v="patricio.ponce.herrera@udla.edu.ec"/>
    <s v="Patricio David Ponce Herrera"/>
    <m/>
    <m/>
    <m/>
    <s v="Jueves 23"/>
    <m/>
    <m/>
    <s v="Patricio David Ponce"/>
    <s v="Patricio David PonceAguaisa Moreno Victor Andres"/>
    <m/>
    <x v="124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20"/>
    <d v="2026-04-23T16:25:23"/>
    <d v="2026-04-23T16:26:19"/>
    <s v="patricio.ponce.herrera@udla.edu.ec"/>
    <s v="Patricio David Ponce Herrera"/>
    <m/>
    <m/>
    <m/>
    <s v="Jueves 23"/>
    <m/>
    <m/>
    <s v="Patricio David Ponce"/>
    <s v="Patricio David PonceBenalcazar Redroban Jhon Robert"/>
    <m/>
    <x v="121"/>
    <m/>
    <m/>
    <s v="Excelente (20 puntos)"/>
    <n v="20"/>
    <m/>
    <s v="Excelente (20 puntos)"/>
    <n v="20"/>
    <m/>
    <s v="Excelente (20 puntos)"/>
    <n v="20"/>
    <m/>
    <s v="Regular (4 puntos)"/>
    <n v="4"/>
    <m/>
    <s v="Excelente (10 puntos)"/>
    <n v="10"/>
    <m/>
    <s v="Bueno (6 puntos)"/>
    <n v="6"/>
    <m/>
    <s v="Muy bueno (8 puntos)"/>
    <n v="8"/>
    <m/>
    <m/>
  </r>
  <r>
    <n v="421"/>
    <d v="2026-04-23T19:32:27"/>
    <d v="2026-04-23T19:35:02"/>
    <s v="marco.galarza@udla.edu.ec"/>
    <s v="Marco Galarza"/>
    <m/>
    <m/>
    <m/>
    <s v="Jueves 23"/>
    <m/>
    <m/>
    <s v="Marco Antonio Galarza Castillo"/>
    <s v="Marco Antonio Galarza CastilloEspinoza Erick Daniel"/>
    <m/>
    <x v="146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22"/>
    <d v="2026-04-23T19:35:04"/>
    <d v="2026-04-23T19:35:36"/>
    <s v="marco.galarza@udla.edu.ec"/>
    <s v="Marco Galarza"/>
    <m/>
    <m/>
    <m/>
    <s v="Jueves 23"/>
    <m/>
    <m/>
    <s v="Marco Antonio Galarza Castillo"/>
    <s v="Marco Antonio Galarza CastilloRevelo Juan Manuel"/>
    <m/>
    <x v="147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23"/>
    <d v="2026-04-23T19:35:37"/>
    <d v="2026-04-23T19:36:16"/>
    <s v="marco.galarza@udla.edu.ec"/>
    <s v="Marco Galarza"/>
    <m/>
    <m/>
    <m/>
    <s v="Jueves 23"/>
    <m/>
    <m/>
    <s v="Marco Antonio Galarza Castillo"/>
    <s v="Marco Antonio Galarza CastilloSaona David Hernán"/>
    <m/>
    <x v="145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24"/>
    <d v="2026-04-24T07:51:30"/>
    <d v="2026-04-24T07:53:11"/>
    <s v="raul.paredes.loor@udla.edu.ec"/>
    <s v="Raul Vicente Paredes Loor"/>
    <m/>
    <m/>
    <m/>
    <s v="Jueves 23"/>
    <m/>
    <m/>
    <s v="Raul Vicente Paredes Loor"/>
    <s v="Raul Vicente Paredes LoorMasache Narváez Valeria Estefanía"/>
    <m/>
    <x v="123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Muy bueno (8 puntos)"/>
    <n v="8"/>
    <m/>
    <m/>
  </r>
  <r>
    <n v="425"/>
    <d v="2026-04-24T07:53:14"/>
    <d v="2026-04-24T07:54:16"/>
    <s v="raul.paredes.loor@udla.edu.ec"/>
    <s v="Raul Vicente Paredes Loor"/>
    <m/>
    <m/>
    <m/>
    <s v="Jueves 23"/>
    <m/>
    <m/>
    <s v="Raul Vicente Paredes Loor"/>
    <s v="Raul Vicente Paredes LoorGuachamín Guevara Santiago David"/>
    <m/>
    <x v="122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Muy bueno (8 puntos)"/>
    <n v="8"/>
    <m/>
    <m/>
  </r>
  <r>
    <n v="426"/>
    <d v="2026-04-24T08:03:13"/>
    <d v="2026-04-24T08:26:53"/>
    <s v="marco.galarza@udla.edu.ec"/>
    <s v="Marco Galarza"/>
    <m/>
    <m/>
    <m/>
    <s v="Viernes 24"/>
    <m/>
    <m/>
    <s v="Marco Antonio Galarza Castillo"/>
    <s v="Marco Antonio Galarza CastilloAngulo Dávila Carlos Andrés"/>
    <m/>
    <x v="152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27"/>
    <d v="2026-04-24T07:59:10"/>
    <d v="2026-04-24T08:26:55"/>
    <s v="santiago.solorzano@udla.edu.ec"/>
    <s v="Santiago Leonardo Solórzano"/>
    <m/>
    <m/>
    <m/>
    <s v="Viernes 24"/>
    <m/>
    <m/>
    <s v="Santiago Leonardo Solórzano"/>
    <s v="Santiago Leonardo SolórzanoOppíkofer López Jessica Marisol"/>
    <m/>
    <x v="153"/>
    <m/>
    <m/>
    <s v="Muy bueno (16 puntos)"/>
    <n v="16"/>
    <m/>
    <s v="Muy bueno (16 puntos)"/>
    <n v="16"/>
    <m/>
    <s v="Muy bueno (16 puntos)"/>
    <n v="16"/>
    <m/>
    <s v="Excelente (10 puntos)"/>
    <n v="10"/>
    <m/>
    <s v="Muy bueno (8 puntos)"/>
    <n v="8"/>
    <m/>
    <s v="Excelente (10 puntos)"/>
    <n v="10"/>
    <m/>
    <s v="Muy bueno (8 puntos)"/>
    <n v="8"/>
    <m/>
    <m/>
  </r>
  <r>
    <n v="428"/>
    <d v="2026-04-24T07:59:11"/>
    <d v="2026-04-24T08:26:59"/>
    <s v="santiago.solorzano@udla.edu.ec"/>
    <s v="Santiago Leonardo Solórzano"/>
    <m/>
    <m/>
    <m/>
    <s v="Viernes 24"/>
    <m/>
    <m/>
    <s v="Santiago Leonardo Solórzano"/>
    <s v="Santiago Leonardo SolórzanoCarrillo Barros Juan Carlos"/>
    <m/>
    <x v="154"/>
    <m/>
    <m/>
    <s v="Muy bueno (16 puntos)"/>
    <n v="16"/>
    <m/>
    <s v="Muy bueno (16 puntos)"/>
    <n v="16"/>
    <m/>
    <s v="Muy bueno (16 puntos)"/>
    <n v="16"/>
    <m/>
    <s v="Excelente (10 puntos)"/>
    <n v="10"/>
    <m/>
    <s v="Muy bueno (8 puntos)"/>
    <n v="8"/>
    <m/>
    <s v="Excelente (10 puntos)"/>
    <n v="10"/>
    <m/>
    <s v="Muy bueno (8 puntos)"/>
    <n v="8"/>
    <m/>
    <m/>
  </r>
  <r>
    <n v="429"/>
    <d v="2026-04-24T08:26:54"/>
    <d v="2026-04-24T08:27:17"/>
    <s v="marco.galarza@udla.edu.ec"/>
    <s v="Marco Galarza"/>
    <m/>
    <m/>
    <m/>
    <s v="Viernes 24"/>
    <m/>
    <m/>
    <s v="Marco Antonio Galarza Castillo"/>
    <s v="Marco Antonio Galarza CastilloChicaiza Ayala Alexandra Patricia"/>
    <m/>
    <x v="155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30"/>
    <d v="2026-04-24T08:28:43"/>
    <d v="2026-04-24T08:29:01"/>
    <s v="luis.urquiza@udla.edu.ec"/>
    <s v="Luis Felipe Urquiza Aguiar"/>
    <m/>
    <m/>
    <m/>
    <s v="Viernes 24"/>
    <m/>
    <m/>
    <s v="Luis Felipe Urquiza Aguiar"/>
    <s v="Luis Felipe Urquiza AguiarCarrillo Barros Juan Carlos"/>
    <m/>
    <x v="154"/>
    <m/>
    <m/>
    <s v="Excelente (20 puntos)"/>
    <n v="20"/>
    <m/>
    <s v="Excelente (20 puntos)"/>
    <n v="20"/>
    <m/>
    <s v="Excelente (20 puntos)"/>
    <n v="20"/>
    <m/>
    <s v="Excelente (10 puntos)"/>
    <n v="10"/>
    <m/>
    <s v="Muy bueno (8 puntos)"/>
    <n v="8"/>
    <m/>
    <s v="Excelente (10 puntos)"/>
    <n v="10"/>
    <m/>
    <s v="Excelente (10 puntos)"/>
    <n v="10"/>
    <m/>
    <m/>
  </r>
  <r>
    <n v="431"/>
    <d v="2026-04-24T08:29:04"/>
    <d v="2026-04-24T08:29:45"/>
    <s v="luis.urquiza@udla.edu.ec"/>
    <s v="Luis Felipe Urquiza Aguiar"/>
    <m/>
    <m/>
    <m/>
    <s v="Viernes 24"/>
    <m/>
    <m/>
    <s v="Luis Felipe Urquiza Aguiar"/>
    <s v="Luis Felipe Urquiza AguiarOppíkofer López Jessica Marisol"/>
    <m/>
    <x v="153"/>
    <m/>
    <m/>
    <s v="Excelente (20 puntos)"/>
    <n v="20"/>
    <m/>
    <s v="Excelente (20 puntos)"/>
    <n v="20"/>
    <m/>
    <s v="Excelente (20 puntos)"/>
    <n v="20"/>
    <m/>
    <s v="Excelente (10 puntos)"/>
    <n v="10"/>
    <m/>
    <s v="Muy bueno (8 puntos)"/>
    <n v="8"/>
    <m/>
    <s v="Muy bueno (8 puntos)"/>
    <n v="8"/>
    <m/>
    <s v="Excelente (10 puntos)"/>
    <n v="10"/>
    <m/>
    <m/>
  </r>
  <r>
    <n v="432"/>
    <d v="2026-04-24T08:39:36"/>
    <d v="2026-04-24T08:49:35"/>
    <s v="patricia.acosta@udla.edu.ec"/>
    <s v="Patricia Acosta"/>
    <m/>
    <m/>
    <m/>
    <s v="Viernes 24"/>
    <m/>
    <m/>
    <s v="Nelly Patricia Acosta Vargas"/>
    <s v="Nelly Patricia Acosta VargasÁvila Jumbo Mateo Danilo"/>
    <m/>
    <x v="156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33"/>
    <d v="2026-04-24T08:49:43"/>
    <d v="2026-04-24T08:50:53"/>
    <s v="patricia.acosta@udla.edu.ec"/>
    <s v="Patricia Acosta"/>
    <m/>
    <m/>
    <m/>
    <s v="Viernes 24"/>
    <m/>
    <m/>
    <s v="Nelly Patricia Acosta Vargas"/>
    <s v="Nelly Patricia Acosta VargasValverde González Alberto Sebastián"/>
    <m/>
    <x v="157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Muy bueno (8 puntos)"/>
    <n v="8"/>
    <m/>
    <m/>
  </r>
  <r>
    <n v="434"/>
    <d v="2026-04-24T08:50:56"/>
    <d v="2026-04-24T08:51:50"/>
    <s v="patricia.acosta@udla.edu.ec"/>
    <s v="Patricia Acosta"/>
    <m/>
    <m/>
    <m/>
    <s v="Viernes 24"/>
    <m/>
    <m/>
    <s v="Nelly Patricia Acosta Vargas"/>
    <s v="Nelly Patricia Acosta VargasVinueza Rodríguez Jadira Estefanía"/>
    <m/>
    <x v="158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35"/>
    <d v="2026-04-24T08:32:48"/>
    <d v="2026-04-24T08:55:23"/>
    <s v="santiago.solorzano@udla.edu.ec"/>
    <s v="Santiago Leonardo Solórzano"/>
    <m/>
    <m/>
    <m/>
    <s v="Viernes 24"/>
    <m/>
    <m/>
    <s v="Santiago Leonardo Solórzano"/>
    <s v="Santiago Leonardo SolórzanoSilva Villalobos Medardo Mauricio"/>
    <m/>
    <x v="159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36"/>
    <d v="2026-04-24T08:33:44"/>
    <d v="2026-04-24T08:55:28"/>
    <s v="santiago.solorzano@udla.edu.ec"/>
    <s v="Santiago Leonardo Solórzano"/>
    <m/>
    <m/>
    <m/>
    <s v="Viernes 24"/>
    <m/>
    <m/>
    <s v="Santiago Leonardo Solórzano"/>
    <s v="Santiago Leonardo SolórzanoPelassa Zambrano Pietro Salvatore"/>
    <m/>
    <x v="160"/>
    <m/>
    <m/>
    <s v="Excelente (20 puntos)"/>
    <n v="20"/>
    <m/>
    <s v="Excelente (20 puntos)"/>
    <n v="20"/>
    <m/>
    <s v="Muy bueno (16 puntos)"/>
    <n v="16"/>
    <m/>
    <s v="Muy bueno (8 puntos)"/>
    <n v="8"/>
    <m/>
    <s v="Excelente (10 puntos)"/>
    <n v="10"/>
    <m/>
    <s v="Excelente (10 puntos)"/>
    <n v="10"/>
    <m/>
    <s v="Excelente (10 puntos)"/>
    <n v="10"/>
    <m/>
    <m/>
  </r>
  <r>
    <n v="437"/>
    <d v="2026-04-24T08:34:30"/>
    <d v="2026-04-24T08:55:35"/>
    <s v="santiago.solorzano@udla.edu.ec"/>
    <s v="Santiago Leonardo Solórzano"/>
    <m/>
    <m/>
    <m/>
    <s v="Viernes 24"/>
    <m/>
    <m/>
    <s v="Santiago Leonardo Solórzano"/>
    <s v="Santiago Leonardo SolórzanoVera Zamora Victor Vicente"/>
    <m/>
    <x v="161"/>
    <m/>
    <m/>
    <s v="Excelente (20 puntos)"/>
    <n v="20"/>
    <m/>
    <s v="Excelente (20 puntos)"/>
    <n v="20"/>
    <m/>
    <s v="Muy bueno (16 puntos)"/>
    <n v="16"/>
    <m/>
    <s v="Muy bueno (8 puntos)"/>
    <n v="8"/>
    <m/>
    <s v="Excelente (10 puntos)"/>
    <n v="10"/>
    <m/>
    <s v="Excelente (10 puntos)"/>
    <n v="10"/>
    <m/>
    <s v="Excelente (10 puntos)"/>
    <n v="10"/>
    <m/>
    <m/>
  </r>
  <r>
    <n v="438"/>
    <d v="2026-04-24T08:27:19"/>
    <d v="2026-04-24T08:56:44"/>
    <s v="marco.galarza@udla.edu.ec"/>
    <s v="Marco Galarza"/>
    <m/>
    <m/>
    <m/>
    <s v="Viernes 24"/>
    <m/>
    <m/>
    <s v="Marco Antonio Galarza Castillo"/>
    <s v="Marco Antonio Galarza CastilloÁvila Jumbo Mateo Danilo"/>
    <m/>
    <x v="156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39"/>
    <d v="2026-04-24T08:56:45"/>
    <d v="2026-04-24T08:57:27"/>
    <s v="marco.galarza@udla.edu.ec"/>
    <s v="Marco Galarza"/>
    <m/>
    <m/>
    <m/>
    <s v="Viernes 24"/>
    <m/>
    <m/>
    <s v="Marco Antonio Galarza Castillo"/>
    <s v="Marco Antonio Galarza CastilloValverde González Alberto Sebastián"/>
    <m/>
    <x v="157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440"/>
    <d v="2026-04-24T08:57:30"/>
    <d v="2026-04-24T08:58:50"/>
    <s v="marco.galarza@udla.edu.ec"/>
    <s v="Marco Galarza"/>
    <m/>
    <m/>
    <m/>
    <s v="Viernes 24"/>
    <m/>
    <m/>
    <s v="Marco Antonio Galarza Castillo"/>
    <s v="Marco Antonio Galarza CastilloVinueza Rodríguez Jadira Estefanía"/>
    <m/>
    <x v="158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441"/>
    <d v="2026-04-24T09:01:05"/>
    <d v="2026-04-24T09:22:51"/>
    <s v="santiago.solorzano@udla.edu.ec"/>
    <s v="Santiago Leonardo Solórzano"/>
    <m/>
    <m/>
    <m/>
    <s v="Viernes 24"/>
    <m/>
    <m/>
    <s v="Santiago Leonardo Solórzano"/>
    <s v="Santiago Leonardo SolórzanoHernández Itas Dania Elizabeth"/>
    <m/>
    <x v="162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442"/>
    <d v="2026-04-24T09:01:07"/>
    <d v="2026-04-24T09:23:16"/>
    <s v="santiago.solorzano@udla.edu.ec"/>
    <s v="Santiago Leonardo Solórzano"/>
    <m/>
    <m/>
    <m/>
    <s v="Viernes 24"/>
    <m/>
    <m/>
    <s v="Santiago Leonardo Solórzano"/>
    <s v="Santiago Leonardo SolórzanoBarragán Tingo Shirley Mayté"/>
    <m/>
    <x v="163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443"/>
    <d v="2026-04-24T09:01:09"/>
    <d v="2026-04-24T09:23:41"/>
    <s v="santiago.solorzano@udla.edu.ec"/>
    <s v="Santiago Leonardo Solórzano"/>
    <m/>
    <m/>
    <m/>
    <s v="Viernes 24"/>
    <m/>
    <m/>
    <s v="Santiago Leonardo Solórzano"/>
    <s v="Santiago Leonardo SolórzanoSalazar Oviedo Mayra Josseth"/>
    <m/>
    <x v="164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444"/>
    <d v="2026-04-24T08:58:53"/>
    <d v="2026-04-24T09:24:49"/>
    <s v="marco.galarza@udla.edu.ec"/>
    <s v="Marco Galarza"/>
    <m/>
    <m/>
    <m/>
    <s v="Viernes 24"/>
    <m/>
    <m/>
    <s v="Marco Antonio Galarza Castillo"/>
    <s v="Marco Antonio Galarza CastilloBarragán Tingo Shirley Mayté"/>
    <m/>
    <x v="163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45"/>
    <d v="2026-04-24T09:24:51"/>
    <d v="2026-04-24T09:25:45"/>
    <s v="marco.galarza@udla.edu.ec"/>
    <s v="Marco Galarza"/>
    <m/>
    <m/>
    <m/>
    <s v="Viernes 24"/>
    <m/>
    <m/>
    <s v="Marco Antonio Galarza Castillo"/>
    <s v="Marco Antonio Galarza CastilloHernández Itas Dania Elizabeth"/>
    <m/>
    <x v="162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46"/>
    <d v="2026-04-24T09:24:07"/>
    <d v="2026-04-24T09:25:59"/>
    <s v="victor.gomez@udla.edu.ec"/>
    <s v="Victor Gomez Regalado"/>
    <m/>
    <m/>
    <m/>
    <s v="Viernes 24"/>
    <m/>
    <m/>
    <s v="Víctor Javier Gómez Regalado"/>
    <s v="Víctor Javier Gómez RegaladoCarrillo Barros Juan Carlos"/>
    <m/>
    <x v="154"/>
    <m/>
    <m/>
    <s v="Muy bueno (16 puntos)"/>
    <n v="16"/>
    <m/>
    <s v="Muy bueno (16 puntos)"/>
    <n v="16"/>
    <m/>
    <s v="Muy bueno (16 puntos)"/>
    <n v="16"/>
    <m/>
    <s v="Muy bueno (8 puntos)"/>
    <n v="8"/>
    <m/>
    <s v="Muy bueno (8 puntos)"/>
    <n v="8"/>
    <m/>
    <s v="Muy bueno (8 puntos)"/>
    <n v="8"/>
    <m/>
    <s v="Muy bueno (8 puntos)"/>
    <n v="8"/>
    <m/>
    <m/>
  </r>
  <r>
    <n v="447"/>
    <d v="2026-04-24T09:25:47"/>
    <d v="2026-04-24T09:26:12"/>
    <s v="marco.galarza@udla.edu.ec"/>
    <s v="Marco Galarza"/>
    <m/>
    <m/>
    <m/>
    <s v="Viernes 24"/>
    <m/>
    <m/>
    <s v="Marco Antonio Galarza Castillo"/>
    <s v="Marco Antonio Galarza CastilloSalazar Oviedo Mayra Josseth"/>
    <m/>
    <x v="164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48"/>
    <d v="2026-04-24T09:26:07"/>
    <d v="2026-04-24T09:27:20"/>
    <s v="victor.gomez@udla.edu.ec"/>
    <s v="Victor Gomez Regalado"/>
    <m/>
    <m/>
    <m/>
    <s v="Viernes 24"/>
    <m/>
    <m/>
    <s v="Víctor Javier Gómez Regalado"/>
    <s v="Víctor Javier Gómez RegaladoOppíkofer López Jessica Marisol"/>
    <m/>
    <x v="153"/>
    <m/>
    <m/>
    <s v="Muy bueno (16 puntos)"/>
    <n v="16"/>
    <m/>
    <s v="Muy bueno (16 puntos)"/>
    <n v="16"/>
    <m/>
    <s v="Muy bueno (16 puntos)"/>
    <n v="16"/>
    <m/>
    <s v="Muy bueno (8 puntos)"/>
    <n v="8"/>
    <m/>
    <s v="Muy bueno (8 puntos)"/>
    <n v="8"/>
    <m/>
    <s v="Muy bueno (8 puntos)"/>
    <n v="8"/>
    <m/>
    <s v="Muy bueno (8 puntos)"/>
    <n v="8"/>
    <m/>
    <m/>
  </r>
  <r>
    <n v="449"/>
    <d v="2026-04-24T09:27:25"/>
    <d v="2026-04-24T09:28:37"/>
    <s v="victor.gomez@udla.edu.ec"/>
    <s v="Victor Gomez Regalado"/>
    <m/>
    <m/>
    <m/>
    <s v="Viernes 24"/>
    <m/>
    <m/>
    <s v="Víctor Javier Gómez Regalado"/>
    <s v="Víctor Javier Gómez RegaladoSarabino Cuichan Bryan Benjamin"/>
    <m/>
    <x v="165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50"/>
    <d v="2026-04-24T09:29:08"/>
    <d v="2026-04-24T09:30:41"/>
    <s v="cesar.larrea@udla.edu.ec"/>
    <s v="César Alberto Larrea Araujo"/>
    <m/>
    <m/>
    <m/>
    <s v="Viernes 24"/>
    <m/>
    <m/>
    <s v="César Alberto Larrea Araujo"/>
    <s v="César Alberto Larrea AraujoSarabino Cuichan Bryan Benjamin"/>
    <m/>
    <x v="165"/>
    <m/>
    <m/>
    <s v="Excelente (20 puntos)"/>
    <n v="20"/>
    <m/>
    <s v="Muy bueno (16 puntos)"/>
    <n v="16"/>
    <m/>
    <s v="Excelente (20 puntos)"/>
    <n v="20"/>
    <m/>
    <s v="Excelente (10 puntos)"/>
    <n v="10"/>
    <m/>
    <s v="Muy bueno (8 puntos)"/>
    <n v="8"/>
    <m/>
    <s v="Muy bueno (8 puntos)"/>
    <n v="8"/>
    <m/>
    <s v="Excelente (10 puntos)"/>
    <n v="10"/>
    <m/>
    <m/>
  </r>
  <r>
    <n v="451"/>
    <d v="2026-04-24T09:49:02"/>
    <d v="2026-04-24T09:50:41"/>
    <s v="victor.gomez@udla.edu.ec"/>
    <s v="Victor Gomez Regalado"/>
    <m/>
    <m/>
    <m/>
    <s v="Viernes 24"/>
    <m/>
    <m/>
    <s v="Víctor Javier Gómez Regalado"/>
    <s v="Víctor Javier Gómez RegaladoNaranjo Velastegui Edwin Gabriel"/>
    <m/>
    <x v="166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52"/>
    <d v="2026-04-24T09:32:58"/>
    <d v="2026-04-24T09:55:24"/>
    <s v="marco.galarza@udla.edu.ec"/>
    <s v="Marco Galarza"/>
    <m/>
    <m/>
    <m/>
    <s v="Viernes 24"/>
    <m/>
    <m/>
    <s v="Marco Antonio Galarza Castillo"/>
    <s v="Marco Antonio Galarza CastilloCamacho González Renato Daniel"/>
    <m/>
    <x v="167"/>
    <m/>
    <m/>
    <s v="Excelente (20 puntos)"/>
    <n v="20"/>
    <m/>
    <s v="Excelente (20 puntos)"/>
    <n v="20"/>
    <m/>
    <s v="Excelente (20 puntos)"/>
    <n v="20"/>
    <m/>
    <s v="Excelente (10 puntos)"/>
    <n v="10"/>
    <m/>
    <s v="Muy bueno (8 puntos)"/>
    <n v="8"/>
    <m/>
    <s v="Excelente (10 puntos)"/>
    <n v="10"/>
    <m/>
    <s v="Excelente (10 puntos)"/>
    <n v="10"/>
    <m/>
    <m/>
  </r>
  <r>
    <n v="453"/>
    <d v="2026-04-24T09:55:26"/>
    <d v="2026-04-24T09:56:03"/>
    <s v="marco.galarza@udla.edu.ec"/>
    <s v="Marco Galarza"/>
    <m/>
    <m/>
    <m/>
    <s v="Viernes 24"/>
    <m/>
    <m/>
    <s v="Marco Antonio Galarza Castillo"/>
    <s v="Marco Antonio Galarza CastilloGomez de la Torre Reyes Oswaldo Fernando"/>
    <m/>
    <x v="168"/>
    <m/>
    <m/>
    <s v="Excelente (20 puntos)"/>
    <n v="20"/>
    <m/>
    <s v="Excelente (20 puntos)"/>
    <n v="20"/>
    <m/>
    <s v="Excelente (20 puntos)"/>
    <n v="20"/>
    <m/>
    <s v="Excelente (10 puntos)"/>
    <n v="10"/>
    <m/>
    <s v="Muy bueno (8 puntos)"/>
    <n v="8"/>
    <m/>
    <s v="Excelente (10 puntos)"/>
    <n v="10"/>
    <m/>
    <s v="Excelente (10 puntos)"/>
    <n v="10"/>
    <m/>
    <m/>
  </r>
  <r>
    <n v="454"/>
    <d v="2026-04-24T09:31:27"/>
    <d v="2026-04-24T09:57:49"/>
    <s v="santiago.solorzano@udla.edu.ec"/>
    <s v="Santiago Leonardo Solórzano"/>
    <m/>
    <m/>
    <m/>
    <s v="Viernes 24"/>
    <m/>
    <m/>
    <s v="Santiago Leonardo Solórzano"/>
    <s v="Santiago Leonardo SolórzanoNaranjo Velastegui Edwin Gabriel"/>
    <m/>
    <x v="166"/>
    <m/>
    <m/>
    <s v="Excelente (20 puntos)"/>
    <n v="20"/>
    <m/>
    <s v="Excelente (20 puntos)"/>
    <n v="20"/>
    <m/>
    <s v="Excelente (20 puntos)"/>
    <n v="20"/>
    <m/>
    <s v="Muy bueno (8 puntos)"/>
    <n v="8"/>
    <m/>
    <s v="Excelente (10 puntos)"/>
    <n v="10"/>
    <m/>
    <s v="Excelente (10 puntos)"/>
    <n v="10"/>
    <m/>
    <s v="Excelente (10 puntos)"/>
    <n v="10"/>
    <m/>
    <m/>
  </r>
  <r>
    <n v="455"/>
    <d v="2026-04-24T10:04:20"/>
    <d v="2026-04-24T10:20:35"/>
    <s v="ana.tulcanaza@udla.edu.ec"/>
    <s v="Ana Belen Tulcanaza"/>
    <m/>
    <m/>
    <m/>
    <s v="Viernes 24"/>
    <m/>
    <m/>
    <s v="Ana Belén Tulcanaza Prieto"/>
    <s v="Ana Belén Tulcanaza PrietoEcheverría López Aarón David"/>
    <m/>
    <x v="169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56"/>
    <d v="2026-04-24T10:05:10"/>
    <d v="2026-04-24T10:20:50"/>
    <s v="ana.tulcanaza@udla.edu.ec"/>
    <s v="Ana Belen Tulcanaza"/>
    <m/>
    <m/>
    <m/>
    <s v="Viernes 24"/>
    <m/>
    <m/>
    <s v="Ana Belén Tulcanaza Prieto"/>
    <s v="Ana Belén Tulcanaza PrietoGuambo Heredia José Luis"/>
    <m/>
    <x v="170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57"/>
    <d v="2026-04-24T09:58:42"/>
    <d v="2026-04-24T10:27:07"/>
    <s v="santiago.solorzano@udla.edu.ec"/>
    <s v="Santiago Leonardo Solórzano"/>
    <m/>
    <m/>
    <m/>
    <s v="Viernes 24"/>
    <m/>
    <m/>
    <s v="Santiago Leonardo Solórzano"/>
    <s v="Santiago Leonardo SolórzanoMontenegro Reinoso Sthefany Carolina"/>
    <m/>
    <x v="171"/>
    <m/>
    <m/>
    <s v="Excelente (20 puntos)"/>
    <n v="20"/>
    <m/>
    <s v="Excelente (20 puntos)"/>
    <n v="20"/>
    <m/>
    <s v="Excelente (20 puntos)"/>
    <n v="20"/>
    <m/>
    <s v="Muy bueno (8 puntos)"/>
    <n v="8"/>
    <m/>
    <s v="Excelente (10 puntos)"/>
    <n v="10"/>
    <m/>
    <s v="Excelente (10 puntos)"/>
    <n v="10"/>
    <m/>
    <s v="Excelente (10 puntos)"/>
    <n v="10"/>
    <m/>
    <m/>
  </r>
  <r>
    <n v="458"/>
    <d v="2026-04-24T09:58:45"/>
    <d v="2026-04-24T10:27:15"/>
    <s v="marco.galarza@udla.edu.ec"/>
    <s v="Marco Galarza"/>
    <m/>
    <m/>
    <m/>
    <s v="Viernes 24"/>
    <m/>
    <m/>
    <s v="Marco Antonio Galarza Castillo"/>
    <s v="Marco Antonio Galarza CastilloDíaz Erazo Max Ernesto"/>
    <m/>
    <x v="172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59"/>
    <d v="2026-04-24T09:58:44"/>
    <d v="2026-04-24T10:27:50"/>
    <s v="santiago.solorzano@udla.edu.ec"/>
    <s v="Santiago Leonardo Solórzano"/>
    <m/>
    <m/>
    <m/>
    <s v="Viernes 24"/>
    <m/>
    <m/>
    <s v="Santiago Leonardo Solórzano"/>
    <s v="Santiago Leonardo SolórzanoDíaz Erazo Max Ernesto"/>
    <m/>
    <x v="172"/>
    <m/>
    <m/>
    <s v="Excelente (20 puntos)"/>
    <n v="20"/>
    <m/>
    <s v="Excelente (20 puntos)"/>
    <n v="20"/>
    <m/>
    <s v="Excelente (20 puntos)"/>
    <n v="20"/>
    <m/>
    <s v="Muy bueno (8 puntos)"/>
    <n v="8"/>
    <m/>
    <s v="Excelente (10 puntos)"/>
    <n v="10"/>
    <m/>
    <s v="Excelente (10 puntos)"/>
    <n v="10"/>
    <m/>
    <s v="Excelente (10 puntos)"/>
    <n v="10"/>
    <m/>
    <m/>
  </r>
  <r>
    <n v="460"/>
    <d v="2026-04-24T10:27:40"/>
    <d v="2026-04-24T10:28:09"/>
    <s v="marco.galarza@udla.edu.ec"/>
    <s v="Marco Galarza"/>
    <m/>
    <m/>
    <m/>
    <s v="Viernes 24"/>
    <m/>
    <m/>
    <s v="Marco Antonio Galarza Castillo"/>
    <s v="Marco Antonio Galarza CastilloMontenegro Reinoso Sthefany Carolina"/>
    <m/>
    <x v="171"/>
    <m/>
    <m/>
    <s v="Excelente (20 puntos)"/>
    <n v="20"/>
    <m/>
    <s v="Excelente (20 puntos)"/>
    <n v="20"/>
    <m/>
    <s v="Excelente (20 puntos)"/>
    <n v="20"/>
    <m/>
    <s v="Muy bueno (8 puntos)"/>
    <n v="8"/>
    <m/>
    <s v="Muy bueno (8 puntos)"/>
    <n v="8"/>
    <m/>
    <s v="Muy bueno (8 puntos)"/>
    <n v="8"/>
    <m/>
    <s v="Excelente (10 puntos)"/>
    <n v="10"/>
    <m/>
    <m/>
  </r>
  <r>
    <n v="461"/>
    <d v="2026-04-24T09:05:05"/>
    <d v="2026-04-24T10:50:54"/>
    <s v="patricia.acosta@udla.edu.ec"/>
    <s v="Patricia Acosta"/>
    <m/>
    <m/>
    <m/>
    <s v="Viernes 24"/>
    <m/>
    <m/>
    <s v="Nelly Patricia Acosta Vargas"/>
    <s v="Nelly Patricia Acosta VargasMolina Vásconez Alex François"/>
    <m/>
    <x v="173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62"/>
    <d v="2026-04-24T10:50:57"/>
    <d v="2026-04-24T10:51:54"/>
    <s v="patricia.acosta@udla.edu.ec"/>
    <s v="Patricia Acosta"/>
    <m/>
    <m/>
    <m/>
    <s v="Viernes 24"/>
    <m/>
    <m/>
    <s v="Nelly Patricia Acosta Vargas"/>
    <s v="Nelly Patricia Acosta VargasMoyano Sánchez Jean Pierre"/>
    <m/>
    <x v="174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63"/>
    <d v="2026-04-24T10:31:31"/>
    <d v="2026-04-24T10:53:16"/>
    <s v="santiago.solorzano@udla.edu.ec"/>
    <s v="Santiago Leonardo Solórzano"/>
    <m/>
    <m/>
    <m/>
    <s v="Viernes 24"/>
    <m/>
    <m/>
    <s v="Santiago Leonardo Solórzano"/>
    <s v="Santiago Leonardo SolórzanoMoyano Sánchez Jean Pierre"/>
    <m/>
    <x v="174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64"/>
    <d v="2026-04-24T10:32:23"/>
    <d v="2026-04-24T10:53:22"/>
    <s v="santiago.solorzano@udla.edu.ec"/>
    <s v="Santiago Leonardo Solórzano"/>
    <m/>
    <m/>
    <m/>
    <s v="Viernes 24"/>
    <m/>
    <m/>
    <s v="Santiago Leonardo Solórzano"/>
    <s v="Santiago Leonardo SolórzanoMolina Vásconez Alex François"/>
    <m/>
    <x v="173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65"/>
    <d v="2026-04-24T10:58:02"/>
    <d v="2026-04-24T10:59:28"/>
    <s v="erislan.martinez@udla.edu.ec"/>
    <s v="Erislan Martinez"/>
    <m/>
    <m/>
    <m/>
    <s v="Viernes 24"/>
    <m/>
    <m/>
    <s v="Erislán Martínez"/>
    <s v="Erislán MartínezEcheverría López Aarón David"/>
    <m/>
    <x v="169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Bueno (6 puntos)"/>
    <n v="6"/>
    <m/>
    <s v="Excelente (10 puntos)"/>
    <n v="10"/>
    <m/>
    <m/>
  </r>
  <r>
    <n v="466"/>
    <d v="2026-04-24T10:59:30"/>
    <d v="2026-04-24T11:00:56"/>
    <s v="erislan.martinez@udla.edu.ec"/>
    <s v="Erislan Martinez"/>
    <m/>
    <m/>
    <m/>
    <s v="Viernes 24"/>
    <m/>
    <m/>
    <s v="Erislán Martínez"/>
    <s v="Erislán MartínezGuambo Heredia José Luis"/>
    <m/>
    <x v="170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67"/>
    <d v="2026-04-24T11:06:39"/>
    <d v="2026-04-24T11:24:37"/>
    <s v="santiago.solorzano@udla.edu.ec"/>
    <s v="Santiago Leonardo Solórzano"/>
    <m/>
    <m/>
    <m/>
    <s v="Viernes 24"/>
    <m/>
    <m/>
    <s v="Santiago Leonardo Solórzano"/>
    <s v="Santiago Leonardo SolórzanoMartínez Velastegui Natalia Elizabeth"/>
    <m/>
    <x v="175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68"/>
    <d v="2026-04-24T11:06:07"/>
    <d v="2026-04-24T11:24:40"/>
    <s v="santiago.solorzano@udla.edu.ec"/>
    <s v="Santiago Leonardo Solórzano"/>
    <m/>
    <m/>
    <m/>
    <s v="Viernes 24"/>
    <m/>
    <m/>
    <s v="Santiago Leonardo Solórzano"/>
    <s v="Santiago Leonardo SolórzanoVera Cedeño Sindy Viveka"/>
    <m/>
    <x v="176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69"/>
    <d v="2026-04-24T11:07:06"/>
    <d v="2026-04-24T11:24:47"/>
    <s v="santiago.solorzano@udla.edu.ec"/>
    <s v="Santiago Leonardo Solórzano"/>
    <m/>
    <m/>
    <m/>
    <s v="Viernes 24"/>
    <m/>
    <m/>
    <s v="Santiago Leonardo Solórzano"/>
    <s v="Santiago Leonardo SolórzanoIbujés Flores Verónica Elizabeth"/>
    <m/>
    <x v="177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70"/>
    <d v="2026-04-24T11:04:54"/>
    <d v="2026-04-24T11:26:18"/>
    <s v="marco.galarza@udla.edu.ec"/>
    <s v="Marco Galarza"/>
    <m/>
    <m/>
    <m/>
    <s v="Viernes 24"/>
    <m/>
    <m/>
    <s v="Marco Antonio Galarza Castillo"/>
    <s v="Marco Antonio Galarza CastilloIbujés Flores Verónica Elizabeth"/>
    <m/>
    <x v="177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71"/>
    <d v="2026-04-24T11:26:19"/>
    <d v="2026-04-24T11:27:07"/>
    <s v="marco.galarza@udla.edu.ec"/>
    <s v="Marco Galarza"/>
    <m/>
    <m/>
    <m/>
    <s v="Viernes 24"/>
    <m/>
    <m/>
    <s v="Marco Antonio Galarza Castillo"/>
    <s v="Marco Antonio Galarza CastilloMartínez Velastegui Natalia Elizabeth"/>
    <m/>
    <x v="175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472"/>
    <d v="2026-04-24T11:27:08"/>
    <d v="2026-04-24T11:27:41"/>
    <s v="marco.galarza@udla.edu.ec"/>
    <s v="Marco Galarza"/>
    <m/>
    <m/>
    <m/>
    <s v="Viernes 24"/>
    <m/>
    <m/>
    <s v="Marco Antonio Galarza Castillo"/>
    <s v="Marco Antonio Galarza CastilloVera Cedeño Sindy Viveka"/>
    <m/>
    <x v="176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473"/>
    <d v="2026-04-24T11:27:43"/>
    <d v="2026-04-24T11:56:25"/>
    <s v="marco.galarza@udla.edu.ec"/>
    <s v="Marco Galarza"/>
    <m/>
    <m/>
    <m/>
    <s v="Viernes 24"/>
    <m/>
    <m/>
    <s v="Marco Antonio Galarza Castillo"/>
    <s v="Marco Antonio Galarza CastilloGallegos Cadena Vanessa Nicole"/>
    <m/>
    <x v="178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74"/>
    <d v="2026-04-24T11:56:26"/>
    <d v="2026-04-24T11:56:57"/>
    <s v="marco.galarza@udla.edu.ec"/>
    <s v="Marco Galarza"/>
    <m/>
    <m/>
    <m/>
    <s v="Viernes 24"/>
    <m/>
    <m/>
    <s v="Marco Antonio Galarza Castillo"/>
    <s v="Marco Antonio Galarza CastilloMéndez Valencia Danilo Francisco"/>
    <m/>
    <x v="179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75"/>
    <d v="2026-04-24T11:32:31"/>
    <d v="2026-04-24T11:57:12"/>
    <s v="santiago.solorzano@udla.edu.ec"/>
    <s v="Santiago Leonardo Solórzano"/>
    <m/>
    <m/>
    <m/>
    <s v="Viernes 24"/>
    <m/>
    <m/>
    <s v="Santiago Leonardo Solórzano"/>
    <s v="Santiago Leonardo SolórzanoGallegos Cadena Vanessa Nicole"/>
    <m/>
    <x v="178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476"/>
    <d v="2026-04-24T11:33:39"/>
    <d v="2026-04-24T11:57:39"/>
    <s v="santiago.solorzano@udla.edu.ec"/>
    <s v="Santiago Leonardo Solórzano"/>
    <m/>
    <m/>
    <m/>
    <s v="Viernes 24"/>
    <m/>
    <m/>
    <s v="Santiago Leonardo Solórzano"/>
    <s v="Santiago Leonardo SolórzanoMéndez Valencia Danilo Francisco"/>
    <m/>
    <x v="179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477"/>
    <d v="2026-04-24T11:40:07"/>
    <d v="2026-04-24T11:57:41"/>
    <s v="jessica.guevara.zambrano@udla.edu.ec"/>
    <s v="Jessica Maria Guevara Zambrano"/>
    <m/>
    <m/>
    <m/>
    <s v="Viernes 24"/>
    <m/>
    <m/>
    <s v="Jessica Maria Guevara Zambrano"/>
    <s v="Jessica Maria Guevara ZambranoGallegos Cadena Vanessa Nicole"/>
    <m/>
    <x v="178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78"/>
    <d v="2026-04-24T11:57:46"/>
    <d v="2026-04-24T11:58:50"/>
    <s v="jessica.guevara.zambrano@udla.edu.ec"/>
    <s v="Jessica Maria Guevara Zambrano"/>
    <m/>
    <m/>
    <m/>
    <s v="Viernes 24"/>
    <m/>
    <m/>
    <s v="Jessica Maria Guevara Zambrano"/>
    <s v="Jessica Maria Guevara ZambranoMéndez Valencia Danilo Francisco"/>
    <m/>
    <x v="179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79"/>
    <d v="2026-04-24T11:58:40"/>
    <d v="2026-04-24T12:18:41"/>
    <s v="mario.gonzalez.rodriguez@udla.edu.ec"/>
    <s v="Mario Salvador González"/>
    <m/>
    <m/>
    <m/>
    <s v="Viernes 24"/>
    <m/>
    <m/>
    <s v="Marco Antonio Galarza Castillo"/>
    <s v="Marco Antonio Galarza CastilloEndara Revelo Andrés Giovanni"/>
    <m/>
    <x v="180"/>
    <m/>
    <m/>
    <s v="Excelente (20 puntos)"/>
    <n v="20"/>
    <m/>
    <s v="Muy bueno (16 puntos)"/>
    <n v="16"/>
    <m/>
    <s v="Muy bueno (16 puntos)"/>
    <n v="16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480"/>
    <d v="2026-04-24T12:18:43"/>
    <d v="2026-04-24T12:19:30"/>
    <s v="mario.gonzalez.rodriguez@udla.edu.ec"/>
    <s v="Mario Salvador González"/>
    <m/>
    <m/>
    <m/>
    <s v="Viernes 24"/>
    <m/>
    <m/>
    <s v="Marco Antonio Galarza Castillo"/>
    <s v="Marco Antonio Galarza CastilloFreire Amores Carol Maite"/>
    <m/>
    <x v="181"/>
    <m/>
    <m/>
    <s v="Muy bueno (16 puntos)"/>
    <n v="16"/>
    <m/>
    <s v="Muy bueno (16 puntos)"/>
    <n v="16"/>
    <m/>
    <s v="Muy bueno (16 puntos)"/>
    <n v="16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481"/>
    <d v="2026-04-24T12:00:37"/>
    <d v="2026-04-24T12:25:22"/>
    <s v="santiago.solorzano@udla.edu.ec"/>
    <s v="Santiago Leonardo Solórzano"/>
    <m/>
    <m/>
    <m/>
    <s v="Viernes 24"/>
    <m/>
    <m/>
    <s v="Santiago Leonardo Solórzano"/>
    <s v="Santiago Leonardo SolórzanoFreire Amores Carol Maite"/>
    <m/>
    <x v="181"/>
    <m/>
    <m/>
    <s v="Muy bueno (16 puntos)"/>
    <n v="16"/>
    <m/>
    <s v="Muy bueno (16 puntos)"/>
    <n v="16"/>
    <m/>
    <s v="Muy bueno (16 puntos)"/>
    <n v="16"/>
    <m/>
    <s v="Muy bueno (8 puntos)"/>
    <n v="8"/>
    <m/>
    <s v="Muy bueno (8 puntos)"/>
    <n v="8"/>
    <m/>
    <s v="Muy bueno (8 puntos)"/>
    <n v="8"/>
    <m/>
    <s v="Muy bueno (8 puntos)"/>
    <n v="8"/>
    <m/>
    <m/>
  </r>
  <r>
    <n v="482"/>
    <d v="2026-04-24T12:01:14"/>
    <d v="2026-04-24T12:25:25"/>
    <s v="santiago.solorzano@udla.edu.ec"/>
    <s v="Santiago Leonardo Solórzano"/>
    <m/>
    <m/>
    <m/>
    <s v="Viernes 24"/>
    <m/>
    <m/>
    <s v="Santiago Leonardo Solórzano"/>
    <s v="Santiago Leonardo SolórzanoEndara Revelo Andrés Giovanni"/>
    <m/>
    <x v="180"/>
    <m/>
    <m/>
    <s v="Muy bueno (16 puntos)"/>
    <n v="16"/>
    <m/>
    <s v="Muy bueno (16 puntos)"/>
    <n v="16"/>
    <m/>
    <s v="Muy bueno (16 puntos)"/>
    <n v="16"/>
    <m/>
    <s v="Muy bueno (8 puntos)"/>
    <n v="8"/>
    <m/>
    <s v="Muy bueno (8 puntos)"/>
    <n v="8"/>
    <m/>
    <s v="Muy bueno (8 puntos)"/>
    <n v="8"/>
    <m/>
    <s v="Muy bueno (8 puntos)"/>
    <n v="8"/>
    <m/>
    <m/>
  </r>
  <r>
    <n v="483"/>
    <d v="2026-04-24T09:56:31"/>
    <d v="2026-04-24T12:30:49"/>
    <s v="patricio.ponce.herrera@udla.edu.ec"/>
    <s v="Patricio David Ponce Herrera"/>
    <m/>
    <m/>
    <m/>
    <s v="Viernes 24"/>
    <m/>
    <m/>
    <s v="Patricio David Ponce"/>
    <s v="Patricio David PonceBaquerizo Trujillo Julián Darío"/>
    <m/>
    <x v="182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484"/>
    <d v="2026-04-24T12:30:51"/>
    <d v="2026-04-24T12:31:29"/>
    <s v="patricio.ponce.herrera@udla.edu.ec"/>
    <s v="Patricio David Ponce Herrera"/>
    <m/>
    <m/>
    <m/>
    <s v="Viernes 24"/>
    <m/>
    <m/>
    <s v="Patricio David Ponce"/>
    <s v="Patricio David PonceParedes Betancourt Inés María"/>
    <m/>
    <x v="183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485"/>
    <d v="2026-04-24T12:31:30"/>
    <d v="2026-04-24T12:32:14"/>
    <s v="patricio.ponce.herrera@udla.edu.ec"/>
    <s v="Patricio David Ponce Herrera"/>
    <m/>
    <m/>
    <m/>
    <s v="Viernes 24"/>
    <m/>
    <m/>
    <s v="Patricio David Ponce"/>
    <s v="Patricio David PonceRojas Calero César Augusto"/>
    <m/>
    <x v="184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486"/>
    <d v="2026-04-24T12:26:07"/>
    <d v="2026-04-24T12:32:27"/>
    <s v="washington.luna@udla.edu.ec"/>
    <s v="Oswaldo Luna"/>
    <m/>
    <m/>
    <m/>
    <s v="Viernes 24"/>
    <m/>
    <m/>
    <s v="Oswaldo Luna"/>
    <s v="Oswaldo LunaEndara Revelo Andrés Giovanni"/>
    <m/>
    <x v="180"/>
    <m/>
    <m/>
    <s v="Excelente (20 puntos)"/>
    <n v="20"/>
    <m/>
    <s v="Excelente (20 puntos)"/>
    <n v="20"/>
    <m/>
    <s v="Bueno (12 puntos)"/>
    <n v="12"/>
    <m/>
    <s v="Excelente (10 puntos)"/>
    <n v="10"/>
    <m/>
    <s v="Muy bueno (8 puntos)"/>
    <n v="8"/>
    <m/>
    <s v="Muy bueno (8 puntos)"/>
    <n v="8"/>
    <m/>
    <s v="Excelente (10 puntos)"/>
    <n v="10"/>
    <m/>
    <m/>
  </r>
  <r>
    <n v="487"/>
    <d v="2026-04-24T12:32:16"/>
    <d v="2026-04-24T12:33:23"/>
    <s v="patricio.ponce.herrera@udla.edu.ec"/>
    <s v="Patricio David Ponce Herrera"/>
    <m/>
    <m/>
    <m/>
    <s v="Viernes 24"/>
    <m/>
    <m/>
    <s v="Patricio David Ponce"/>
    <s v="Patricio David PonceLuzuriaga Bermeo Abigail Elizabeth"/>
    <m/>
    <x v="185"/>
    <m/>
    <m/>
    <s v="Excelente (20 puntos)"/>
    <n v="20"/>
    <m/>
    <s v="Muy bueno (16 puntos)"/>
    <n v="16"/>
    <m/>
    <s v="Muy bueno (16 puntos)"/>
    <n v="16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488"/>
    <d v="2026-04-24T12:33:28"/>
    <d v="2026-04-24T12:34:00"/>
    <s v="patricio.ponce.herrera@udla.edu.ec"/>
    <s v="Patricio David Ponce Herrera"/>
    <m/>
    <m/>
    <m/>
    <s v="Viernes 24"/>
    <m/>
    <m/>
    <s v="Patricio David Ponce"/>
    <s v="Patricio David PonceMoreno Rivera Danny Javier"/>
    <m/>
    <x v="186"/>
    <m/>
    <m/>
    <s v="Excelente (20 puntos)"/>
    <n v="20"/>
    <m/>
    <s v="Muy bueno (16 puntos)"/>
    <n v="16"/>
    <m/>
    <s v="Muy bueno (16 puntos)"/>
    <n v="16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489"/>
    <d v="2026-04-24T12:34:02"/>
    <d v="2026-04-24T12:34:30"/>
    <s v="patricio.ponce.herrera@udla.edu.ec"/>
    <s v="Patricio David Ponce Herrera"/>
    <m/>
    <m/>
    <m/>
    <s v="Viernes 24"/>
    <m/>
    <m/>
    <s v="Patricio David Ponce"/>
    <s v="Patricio David PonceViteri Sánchez Cristina Belén"/>
    <m/>
    <x v="187"/>
    <m/>
    <m/>
    <s v="Excelente (20 puntos)"/>
    <n v="20"/>
    <m/>
    <s v="Muy bueno (16 puntos)"/>
    <n v="16"/>
    <m/>
    <s v="Muy bueno (16 puntos)"/>
    <n v="16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490"/>
    <d v="2026-04-24T12:34:32"/>
    <d v="2026-04-24T12:35:22"/>
    <s v="patricio.ponce.herrera@udla.edu.ec"/>
    <s v="Patricio David Ponce Herrera"/>
    <m/>
    <m/>
    <m/>
    <s v="Viernes 24"/>
    <m/>
    <m/>
    <s v="Patricio David Ponce"/>
    <s v="Patricio David PonceIbujés Flores Verónica Elizabeth"/>
    <m/>
    <x v="177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91"/>
    <d v="2026-04-24T12:35:24"/>
    <d v="2026-04-24T12:35:57"/>
    <s v="patricio.ponce.herrera@udla.edu.ec"/>
    <s v="Patricio David Ponce Herrera"/>
    <m/>
    <m/>
    <m/>
    <s v="Viernes 24"/>
    <m/>
    <m/>
    <s v="Patricio David Ponce"/>
    <s v="Patricio David PonceMartínez Velastegui Natalia Elizabeth"/>
    <m/>
    <x v="175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92"/>
    <d v="2026-04-24T12:35:59"/>
    <d v="2026-04-24T12:36:32"/>
    <s v="patricio.ponce.herrera@udla.edu.ec"/>
    <s v="Patricio David Ponce Herrera"/>
    <m/>
    <m/>
    <m/>
    <s v="Viernes 24"/>
    <m/>
    <m/>
    <s v="Patricio David Ponce"/>
    <s v="Patricio David PonceVera Cedeño Sindy Viveka"/>
    <m/>
    <x v="176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93"/>
    <d v="2026-04-24T12:35:10"/>
    <d v="2026-04-24T12:37:19"/>
    <s v="washington.luna@udla.edu.ec"/>
    <s v="Oswaldo Luna"/>
    <m/>
    <m/>
    <m/>
    <s v="Viernes 24"/>
    <m/>
    <m/>
    <s v="Oswaldo Luna"/>
    <s v="Oswaldo LunaFreire Amores Carol Maite"/>
    <m/>
    <x v="181"/>
    <m/>
    <m/>
    <s v="Excelente (20 puntos)"/>
    <n v="20"/>
    <m/>
    <s v="Muy bueno (16 puntos)"/>
    <n v="16"/>
    <m/>
    <s v="Bueno (12 puntos)"/>
    <n v="12"/>
    <m/>
    <s v="Muy bueno (8 puntos)"/>
    <n v="8"/>
    <m/>
    <s v="Muy bueno (8 puntos)"/>
    <n v="8"/>
    <m/>
    <s v="Bueno (6 puntos)"/>
    <n v="6"/>
    <m/>
    <s v="Muy bueno (8 puntos)"/>
    <n v="8"/>
    <m/>
    <m/>
  </r>
  <r>
    <n v="494"/>
    <d v="2026-04-24T12:36:34"/>
    <d v="2026-04-24T12:37:41"/>
    <s v="patricio.ponce.herrera@udla.edu.ec"/>
    <s v="Patricio David Ponce Herrera"/>
    <m/>
    <m/>
    <m/>
    <s v="Viernes 24"/>
    <m/>
    <m/>
    <s v="Patricio David Ponce"/>
    <s v="Patricio David PonceMoyano Sánchez Jean Pierre"/>
    <m/>
    <x v="174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95"/>
    <d v="2026-04-24T12:37:43"/>
    <d v="2026-04-24T12:38:16"/>
    <s v="patricio.ponce.herrera@udla.edu.ec"/>
    <s v="Patricio David Ponce Herrera"/>
    <m/>
    <m/>
    <m/>
    <s v="Viernes 24"/>
    <m/>
    <m/>
    <s v="Patricio David Ponce"/>
    <s v="Patricio David PonceMolina Vásconez Alex François"/>
    <m/>
    <x v="173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96"/>
    <d v="2026-04-24T12:38:18"/>
    <d v="2026-04-24T12:39:07"/>
    <s v="patricio.ponce.herrera@udla.edu.ec"/>
    <s v="Patricio David Ponce Herrera"/>
    <m/>
    <m/>
    <m/>
    <s v="Viernes 24"/>
    <m/>
    <m/>
    <s v="Patricio David Ponce"/>
    <s v="Patricio David PonceGuambo Heredia José Luis"/>
    <m/>
    <x v="170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97"/>
    <d v="2026-04-24T12:39:08"/>
    <d v="2026-04-24T12:39:33"/>
    <s v="patricio.ponce.herrera@udla.edu.ec"/>
    <s v="Patricio David Ponce Herrera"/>
    <m/>
    <m/>
    <m/>
    <s v="Viernes 24"/>
    <m/>
    <m/>
    <s v="Patricio David Ponce"/>
    <s v="Patricio David PonceEcheverría López Aarón David"/>
    <m/>
    <x v="169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498"/>
    <d v="2026-04-24T12:39:34"/>
    <d v="2026-04-24T12:40:45"/>
    <s v="patricio.ponce.herrera@udla.edu.ec"/>
    <s v="Patricio David Ponce Herrera"/>
    <m/>
    <m/>
    <m/>
    <s v="Viernes 24"/>
    <m/>
    <m/>
    <s v="Patricio David Ponce"/>
    <s v="Patricio David PonceCamacho González Renato Daniel"/>
    <m/>
    <x v="167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499"/>
    <d v="2026-04-24T12:40:47"/>
    <d v="2026-04-24T12:41:23"/>
    <s v="patricio.ponce.herrera@udla.edu.ec"/>
    <s v="Patricio David Ponce Herrera"/>
    <m/>
    <m/>
    <m/>
    <s v="Viernes 24"/>
    <m/>
    <m/>
    <s v="Patricio David Ponce"/>
    <s v="Patricio David PonceGomez de la Torre Reyes Oswaldo Fernando"/>
    <m/>
    <x v="168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500"/>
    <d v="2026-04-24T12:41:25"/>
    <d v="2026-04-24T12:42:46"/>
    <s v="patricio.ponce.herrera@udla.edu.ec"/>
    <s v="Patricio David Ponce Herrera"/>
    <m/>
    <m/>
    <m/>
    <s v="Viernes 24"/>
    <m/>
    <m/>
    <s v="Patricio David Ponce"/>
    <s v="Patricio David PonceSarabino Cuichan Bryan Benjamin"/>
    <m/>
    <x v="165"/>
    <m/>
    <m/>
    <s v="Excelente (20 puntos)"/>
    <n v="20"/>
    <m/>
    <s v="Excelente (20 puntos)"/>
    <n v="20"/>
    <m/>
    <s v="Muy bueno (16 puntos)"/>
    <n v="16"/>
    <m/>
    <s v="Excelente (10 puntos)"/>
    <n v="10"/>
    <m/>
    <s v="Excelente (10 puntos)"/>
    <n v="10"/>
    <m/>
    <s v="Muy bueno (8 puntos)"/>
    <n v="8"/>
    <m/>
    <s v="Muy bueno (8 puntos)"/>
    <n v="8"/>
    <m/>
    <m/>
  </r>
  <r>
    <n v="501"/>
    <d v="2026-04-24T12:42:47"/>
    <d v="2026-04-24T12:44:04"/>
    <s v="patricio.ponce.herrera@udla.edu.ec"/>
    <s v="Patricio David Ponce Herrera"/>
    <m/>
    <m/>
    <m/>
    <s v="Viernes 24"/>
    <m/>
    <m/>
    <s v="Patricio David Ponce"/>
    <s v="Patricio David PoncePelassa Zambrano Pietro Salvatore"/>
    <m/>
    <x v="160"/>
    <m/>
    <m/>
    <s v="Excelente (20 puntos)"/>
    <n v="20"/>
    <m/>
    <s v="Excelente (20 puntos)"/>
    <n v="20"/>
    <m/>
    <s v="Muy bueno (16 puntos)"/>
    <n v="16"/>
    <m/>
    <s v="Excelente (10 puntos)"/>
    <n v="10"/>
    <m/>
    <s v="Excelente (10 puntos)"/>
    <n v="10"/>
    <m/>
    <s v="Bueno (6 puntos)"/>
    <n v="6"/>
    <m/>
    <s v="Muy bueno (8 puntos)"/>
    <n v="8"/>
    <m/>
    <m/>
  </r>
  <r>
    <n v="502"/>
    <d v="2026-04-24T12:44:06"/>
    <d v="2026-04-24T12:45:06"/>
    <s v="patricio.ponce.herrera@udla.edu.ec"/>
    <s v="Patricio David Ponce Herrera"/>
    <m/>
    <m/>
    <m/>
    <s v="Viernes 24"/>
    <m/>
    <m/>
    <s v="Patricio David Ponce"/>
    <s v="Patricio David PonceSilva Villalobos Medardo Mauricio"/>
    <m/>
    <x v="159"/>
    <m/>
    <m/>
    <s v="Excelente (20 puntos)"/>
    <n v="20"/>
    <m/>
    <s v="Excelente (20 puntos)"/>
    <n v="20"/>
    <m/>
    <s v="Muy bueno (16 puntos)"/>
    <n v="16"/>
    <m/>
    <s v="Excelente (10 puntos)"/>
    <n v="10"/>
    <m/>
    <s v="Excelente (10 puntos)"/>
    <n v="10"/>
    <m/>
    <s v="Excelente (10 puntos)"/>
    <n v="10"/>
    <m/>
    <s v="Muy bueno (8 puntos)"/>
    <n v="8"/>
    <m/>
    <m/>
  </r>
  <r>
    <n v="503"/>
    <d v="2026-04-24T12:45:08"/>
    <d v="2026-04-24T12:45:40"/>
    <s v="patricio.ponce.herrera@udla.edu.ec"/>
    <s v="Patricio David Ponce Herrera"/>
    <m/>
    <m/>
    <m/>
    <s v="Viernes 24"/>
    <m/>
    <m/>
    <s v="Patricio David Ponce"/>
    <s v="Patricio David PonceVera Zamora Victor Vicente"/>
    <m/>
    <x v="161"/>
    <m/>
    <m/>
    <s v="Excelente (20 puntos)"/>
    <n v="20"/>
    <m/>
    <s v="Excelente (20 puntos)"/>
    <n v="20"/>
    <m/>
    <s v="Muy bueno (16 puntos)"/>
    <n v="16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504"/>
    <d v="2026-04-24T12:45:42"/>
    <d v="2026-04-24T12:46:44"/>
    <s v="patricio.ponce.herrera@udla.edu.ec"/>
    <s v="Patricio David Ponce Herrera"/>
    <m/>
    <m/>
    <m/>
    <s v="Viernes 24"/>
    <m/>
    <m/>
    <s v="Patricio David Ponce"/>
    <s v="Patricio David PonceAngulo Dávila Carlos Andrés"/>
    <m/>
    <x v="152"/>
    <m/>
    <m/>
    <s v="Excelente (20 puntos)"/>
    <n v="20"/>
    <m/>
    <s v="Muy bueno (16 puntos)"/>
    <n v="16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505"/>
    <d v="2026-04-24T12:46:45"/>
    <d v="2026-04-24T12:47:20"/>
    <s v="patricio.ponce.herrera@udla.edu.ec"/>
    <s v="Patricio David Ponce Herrera"/>
    <m/>
    <m/>
    <m/>
    <s v="Viernes 24"/>
    <m/>
    <m/>
    <s v="Patricio David Ponce"/>
    <s v="Patricio David PonceChicaiza Ayala Alexandra Patricia"/>
    <m/>
    <x v="155"/>
    <m/>
    <m/>
    <s v="Excelente (20 puntos)"/>
    <n v="20"/>
    <m/>
    <s v="Muy bueno (16 puntos)"/>
    <n v="16"/>
    <m/>
    <s v="Excelente (20 puntos)"/>
    <n v="20"/>
    <m/>
    <s v="Excelente (10 puntos)"/>
    <n v="10"/>
    <m/>
    <s v="Excelente (10 puntos)"/>
    <n v="10"/>
    <m/>
    <s v="Muy bueno (8 puntos)"/>
    <n v="8"/>
    <m/>
    <s v="Muy bueno (8 puntos)"/>
    <n v="8"/>
    <m/>
    <m/>
  </r>
  <r>
    <n v="506"/>
    <d v="2026-04-24T12:19:33"/>
    <d v="2026-04-24T12:55:07"/>
    <s v="mario.gonzalez.rodriguez@udla.edu.ec"/>
    <s v="Mario Salvador González"/>
    <m/>
    <m/>
    <m/>
    <s v="Viernes 24"/>
    <m/>
    <m/>
    <s v="Marco Antonio Galarza Castillo"/>
    <s v="Marco Antonio Galarza CastilloSalazar Simbaña Sebastián Alejandro"/>
    <m/>
    <x v="188"/>
    <m/>
    <m/>
    <s v="Excelente (20 puntos)"/>
    <n v="20"/>
    <m/>
    <s v="Muy bueno (16 puntos)"/>
    <n v="16"/>
    <m/>
    <s v="Muy bueno (16 puntos)"/>
    <n v="16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507"/>
    <d v="2026-04-24T12:32:23"/>
    <d v="2026-04-24T12:55:21"/>
    <s v="mario.gonzalez.rodriguez@udla.edu.ec"/>
    <s v="Mario Salvador González"/>
    <m/>
    <m/>
    <m/>
    <s v="Viernes 24"/>
    <m/>
    <m/>
    <s v="Marco Antonio Galarza Castillo"/>
    <s v="Marco Antonio Galarza CastilloAcosta Balseca Belén Sarahí"/>
    <m/>
    <x v="189"/>
    <m/>
    <m/>
    <s v="Excelente (20 puntos)"/>
    <n v="20"/>
    <m/>
    <s v="Muy bueno (16 puntos)"/>
    <n v="16"/>
    <m/>
    <s v="Muy bueno (16 puntos)"/>
    <n v="16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508"/>
    <d v="2026-04-24T12:32:27"/>
    <d v="2026-04-24T12:55:27"/>
    <s v="mario.gonzalez.rodriguez@udla.edu.ec"/>
    <s v="Mario Salvador González"/>
    <m/>
    <m/>
    <m/>
    <s v="Viernes 24"/>
    <m/>
    <m/>
    <s v="Marco Antonio Galarza Castillo"/>
    <s v="Marco Antonio Galarza CastilloLeón Narváez Bryan Mateo"/>
    <m/>
    <x v="131"/>
    <m/>
    <m/>
    <s v="Excelente (20 puntos)"/>
    <n v="20"/>
    <m/>
    <s v="Muy bueno (16 puntos)"/>
    <n v="16"/>
    <m/>
    <s v="Muy bueno (16 puntos)"/>
    <n v="16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509"/>
    <d v="2026-04-24T12:27:02"/>
    <d v="2026-04-24T12:57:52"/>
    <s v="santiago.solorzano@udla.edu.ec"/>
    <s v="Santiago Leonardo Solórzano"/>
    <m/>
    <m/>
    <m/>
    <s v="Viernes 24"/>
    <m/>
    <m/>
    <s v="Santiago Leonardo Solórzano"/>
    <s v="Santiago Leonardo SolórzanoAcosta Balseca Belén Sarahí"/>
    <m/>
    <x v="189"/>
    <m/>
    <m/>
    <s v="Excelente (20 puntos)"/>
    <n v="20"/>
    <m/>
    <s v="Excelente (20 puntos)"/>
    <n v="20"/>
    <m/>
    <s v="Muy bueno (16 puntos)"/>
    <n v="16"/>
    <m/>
    <s v="Muy bueno (8 puntos)"/>
    <n v="8"/>
    <m/>
    <s v="Muy bueno (8 puntos)"/>
    <n v="8"/>
    <m/>
    <s v="Muy bueno (8 puntos)"/>
    <n v="8"/>
    <m/>
    <s v="Muy bueno (8 puntos)"/>
    <n v="8"/>
    <m/>
    <m/>
  </r>
  <r>
    <n v="510"/>
    <d v="2026-04-24T12:26:44"/>
    <d v="2026-04-24T12:58:14"/>
    <s v="santiago.solorzano@udla.edu.ec"/>
    <s v="Santiago Leonardo Solórzano"/>
    <m/>
    <m/>
    <m/>
    <s v="Viernes 24"/>
    <m/>
    <m/>
    <s v="Santiago Leonardo Solórzano"/>
    <s v="Santiago Leonardo SolórzanoSalazar Simbaña Sebastián Alejandro"/>
    <m/>
    <x v="188"/>
    <m/>
    <m/>
    <s v="Excelente (20 puntos)"/>
    <n v="20"/>
    <m/>
    <s v="Excelente (20 puntos)"/>
    <n v="20"/>
    <m/>
    <s v="Muy bueno (16 puntos)"/>
    <n v="16"/>
    <m/>
    <s v="Muy bueno (8 puntos)"/>
    <n v="8"/>
    <m/>
    <s v="Muy bueno (8 puntos)"/>
    <n v="8"/>
    <m/>
    <s v="Muy bueno (8 puntos)"/>
    <n v="8"/>
    <m/>
    <s v="Muy bueno (8 puntos)"/>
    <n v="8"/>
    <m/>
    <m/>
  </r>
  <r>
    <n v="511"/>
    <d v="2026-04-24T12:55:34"/>
    <d v="2026-04-24T13:22:32"/>
    <s v="mario.gonzalez.rodriguez@udla.edu.ec"/>
    <s v="Mario Salvador González"/>
    <m/>
    <m/>
    <m/>
    <s v="Viernes 24"/>
    <m/>
    <m/>
    <s v="Marco Antonio Galarza Castillo"/>
    <s v="Marco Antonio Galarza CastilloGuerrón Barrera Gabriela Selene"/>
    <m/>
    <x v="190"/>
    <m/>
    <m/>
    <s v="Excelente (20 puntos)"/>
    <n v="20"/>
    <m/>
    <s v="Muy bueno (16 puntos)"/>
    <n v="16"/>
    <m/>
    <s v="Muy bueno (16 puntos)"/>
    <n v="16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512"/>
    <d v="2026-04-24T13:21:30"/>
    <d v="2026-04-24T13:24:19"/>
    <s v="andrea.escobar.garcia@udla.edu.ec"/>
    <s v="Andrea Mariana Escobar Garcia"/>
    <m/>
    <m/>
    <m/>
    <s v="Viernes 24"/>
    <m/>
    <m/>
    <s v="Andrea Mariana Escobar García"/>
    <s v="Andrea Mariana Escobar GarcíaAcosta Balseca Belén Sarahí"/>
    <m/>
    <x v="189"/>
    <m/>
    <m/>
    <s v="Muy bueno (16 puntos)"/>
    <n v="16"/>
    <m/>
    <s v="Muy bueno (16 puntos)"/>
    <n v="16"/>
    <m/>
    <s v="Muy bueno (16 puntos)"/>
    <n v="16"/>
    <m/>
    <s v="Muy bueno (8 puntos)"/>
    <n v="8"/>
    <m/>
    <s v="Muy bueno (8 puntos)"/>
    <n v="8"/>
    <m/>
    <s v="Muy bueno (8 puntos)"/>
    <n v="8"/>
    <m/>
    <s v="Muy bueno (8 puntos)"/>
    <n v="8"/>
    <m/>
    <m/>
  </r>
  <r>
    <n v="514"/>
    <d v="2026-04-24T13:26:28"/>
    <d v="2026-04-24T13:27:18"/>
    <s v="andrea.escobar.garcia@udla.edu.ec"/>
    <s v="Andrea Mariana Escobar Garcia"/>
    <m/>
    <m/>
    <m/>
    <s v="Viernes 24"/>
    <m/>
    <m/>
    <s v="Andrea Mariana Escobar García"/>
    <s v="Andrea Mariana Escobar GarcíaSalazar Simbaña Sebastián Alejandro"/>
    <m/>
    <x v="188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17"/>
    <d v="2026-04-23T09:04:28"/>
    <d v="2026-04-23T09:22:49"/>
    <s v="patricia.acosta@udla.edu.ec"/>
    <s v="Patricia Acosta"/>
    <m/>
    <m/>
    <m/>
    <s v="Jueves 23"/>
    <m/>
    <m/>
    <s v="Nelly Patricia Acosta Vargas"/>
    <s v="Nelly Patricia Acosta VargasLópez Arboleda Carla Stephanya"/>
    <m/>
    <x v="116"/>
    <m/>
    <m/>
    <s v="Excelente (20 puntos)"/>
    <n v="20"/>
    <m/>
    <s v="Excelente (20 puntos)"/>
    <n v="20"/>
    <m/>
    <s v="Excelente (20 puntos)"/>
    <n v="20"/>
    <m/>
    <s v="Muy bueno (8 puntos)"/>
    <n v="8"/>
    <m/>
    <s v="Excelente (10 puntos)"/>
    <n v="10"/>
    <m/>
    <s v="Excelente (10 puntos)"/>
    <n v="10"/>
    <m/>
    <s v="Excelente (10 puntos)"/>
    <n v="10"/>
    <m/>
    <m/>
  </r>
  <r>
    <n v="516"/>
    <d v="2026-04-24T13:49:42"/>
    <d v="2026-04-24T13:53:46"/>
    <s v="ana.tulcanaza@udla.edu.ec"/>
    <s v="Ana Belen Tulcanaza"/>
    <m/>
    <m/>
    <m/>
    <s v="Viernes 24"/>
    <m/>
    <m/>
    <s v="Ana Belén Tulcanaza Prieto"/>
    <s v="Ana Belén Tulcanaza PrietoMaldonado Páez Francisco Javier"/>
    <m/>
    <x v="191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518"/>
    <d v="2026-04-24T13:22:34"/>
    <d v="2026-04-24T13:55:06"/>
    <s v="mario.gonzalez.rodriguez@udla.edu.ec"/>
    <s v="Mario Salvador González"/>
    <m/>
    <m/>
    <m/>
    <s v="Viernes 24"/>
    <m/>
    <m/>
    <s v="Marco Antonio Galarza Castillo"/>
    <s v="Marco Antonio Galarza CastilloAlmeida Mera Emilio Andrés"/>
    <m/>
    <x v="192"/>
    <m/>
    <m/>
    <s v="Excelente (20 puntos)"/>
    <n v="20"/>
    <m/>
    <s v="Muy bueno (16 puntos)"/>
    <n v="16"/>
    <m/>
    <s v="Muy bueno (16 puntos)"/>
    <n v="16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519"/>
    <d v="2026-04-24T12:55:32"/>
    <d v="2026-04-24T13:55:09"/>
    <s v="mario.gonzalez.rodriguez@udla.edu.ec"/>
    <s v="Mario Salvador González"/>
    <m/>
    <m/>
    <m/>
    <s v="Viernes 24"/>
    <m/>
    <m/>
    <s v="Marco Antonio Galarza Castillo"/>
    <s v="Marco Antonio Galarza CastilloIglesias Reyes David Esteban"/>
    <m/>
    <x v="193"/>
    <m/>
    <m/>
    <s v="Excelente (20 puntos)"/>
    <n v="20"/>
    <m/>
    <s v="Muy bueno (16 puntos)"/>
    <n v="16"/>
    <m/>
    <s v="Muy bueno (16 puntos)"/>
    <n v="16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520"/>
    <d v="2026-04-24T12:55:30"/>
    <d v="2026-04-24T13:55:12"/>
    <s v="mario.gonzalez.rodriguez@udla.edu.ec"/>
    <s v="Mario Salvador González"/>
    <m/>
    <m/>
    <m/>
    <s v="Viernes 24"/>
    <m/>
    <m/>
    <s v="Marco Antonio Galarza Castillo"/>
    <s v="Marco Antonio Galarza CastilloCumbajin Suquillo Ruth Katherine"/>
    <m/>
    <x v="194"/>
    <m/>
    <m/>
    <s v="Excelente (20 puntos)"/>
    <n v="20"/>
    <m/>
    <s v="Muy bueno (16 puntos)"/>
    <n v="16"/>
    <m/>
    <s v="Muy bueno (16 puntos)"/>
    <n v="16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521"/>
    <d v="2026-04-24T13:39:21"/>
    <d v="2026-04-24T13:59:27"/>
    <s v="patricia.acosta@udla.edu.ec"/>
    <s v="Patricia Acosta"/>
    <m/>
    <m/>
    <m/>
    <s v="Viernes 24"/>
    <m/>
    <m/>
    <s v="Nelly Patricia Acosta Vargas"/>
    <s v="Nelly Patricia Acosta VargasIglesias Reyes David Esteban"/>
    <m/>
    <x v="193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522"/>
    <d v="2026-04-24T13:59:29"/>
    <d v="2026-04-24T14:00:17"/>
    <s v="patricia.acosta@udla.edu.ec"/>
    <s v="Patricia Acosta"/>
    <m/>
    <m/>
    <m/>
    <s v="Viernes 24"/>
    <m/>
    <m/>
    <s v="Nelly Patricia Acosta Vargas"/>
    <s v="Nelly Patricia Acosta VargasAlmeida Mera Emilio Andrés"/>
    <m/>
    <x v="192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523"/>
    <d v="2026-04-24T14:00:20"/>
    <d v="2026-04-24T14:01:10"/>
    <s v="patricia.acosta@udla.edu.ec"/>
    <s v="Patricia Acosta"/>
    <m/>
    <m/>
    <m/>
    <s v="Viernes 24"/>
    <m/>
    <m/>
    <s v="Nelly Patricia Acosta Vargas"/>
    <s v="Nelly Patricia Acosta VargasCumbajin Suquillo Ruth Katherine"/>
    <m/>
    <x v="194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525"/>
    <d v="2026-04-24T14:35:28"/>
    <d v="2026-04-24T14:36:42"/>
    <s v="eddy.armas@udla.edu.ec"/>
    <s v="Eddy Mauricio Armas"/>
    <m/>
    <m/>
    <m/>
    <s v="Viernes 24"/>
    <m/>
    <m/>
    <s v="Eddy Mauricio Armas"/>
    <s v="Eddy Mauricio ArmasCumbajin Suquillo Ruth Katherine"/>
    <m/>
    <x v="194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526"/>
    <d v="2026-04-24T14:36:49"/>
    <d v="2026-04-24T14:37:40"/>
    <s v="eddy.armas@udla.edu.ec"/>
    <s v="Eddy Mauricio Armas"/>
    <m/>
    <m/>
    <m/>
    <s v="Viernes 24"/>
    <m/>
    <m/>
    <s v="Eddy Mauricio Armas"/>
    <s v="Eddy Mauricio ArmasIglesias Reyes David Esteban"/>
    <m/>
    <x v="193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527"/>
    <d v="2026-04-24T14:37:42"/>
    <d v="2026-04-24T14:38:23"/>
    <s v="eddy.armas@udla.edu.ec"/>
    <s v="Eddy Mauricio Armas"/>
    <m/>
    <m/>
    <m/>
    <s v="Viernes 24"/>
    <m/>
    <m/>
    <s v="Eddy Mauricio Armas"/>
    <s v="Eddy Mauricio ArmasAlmeida Mera Emilio Andrés"/>
    <m/>
    <x v="192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528"/>
    <d v="2026-04-24T17:44:40"/>
    <d v="2026-04-24T17:45:33"/>
    <s v="edison.chicaiza.salgado@udla.edu.ec"/>
    <s v="Edison Ruben Chicaiza Salgado"/>
    <m/>
    <m/>
    <m/>
    <s v="Viernes 24"/>
    <m/>
    <m/>
    <s v="Edison Chicaiza"/>
    <s v="Edison ChicaizaLuzuriaga Bermeo Abigail Elizabeth"/>
    <m/>
    <x v="185"/>
    <m/>
    <m/>
    <s v="Muy bueno (16 puntos)"/>
    <n v="16"/>
    <m/>
    <s v="Muy bueno (16 puntos)"/>
    <n v="16"/>
    <m/>
    <s v="Muy bueno (16 puntos)"/>
    <n v="16"/>
    <m/>
    <s v="Muy bueno (8 puntos)"/>
    <n v="8"/>
    <m/>
    <s v="Muy bueno (8 puntos)"/>
    <n v="8"/>
    <m/>
    <s v="Muy bueno (8 puntos)"/>
    <n v="8"/>
    <m/>
    <s v="Muy bueno (8 puntos)"/>
    <n v="8"/>
    <m/>
    <m/>
  </r>
  <r>
    <n v="529"/>
    <d v="2026-04-24T17:45:36"/>
    <d v="2026-04-24T17:46:21"/>
    <s v="edison.chicaiza.salgado@udla.edu.ec"/>
    <s v="Edison Ruben Chicaiza Salgado"/>
    <m/>
    <m/>
    <m/>
    <s v="Viernes 24"/>
    <m/>
    <m/>
    <s v="Edison Chicaiza"/>
    <s v="Edison ChicaizaMoreno Rivera Danny Javier"/>
    <m/>
    <x v="186"/>
    <m/>
    <m/>
    <s v="Muy bueno (16 puntos)"/>
    <n v="16"/>
    <m/>
    <s v="Muy bueno (16 puntos)"/>
    <n v="16"/>
    <m/>
    <s v="Muy bueno (16 puntos)"/>
    <n v="16"/>
    <m/>
    <s v="Muy bueno (8 puntos)"/>
    <n v="8"/>
    <m/>
    <s v="Muy bueno (8 puntos)"/>
    <n v="8"/>
    <m/>
    <s v="Muy bueno (8 puntos)"/>
    <n v="8"/>
    <m/>
    <s v="Muy bueno (8 puntos)"/>
    <n v="8"/>
    <m/>
    <m/>
  </r>
  <r>
    <n v="530"/>
    <d v="2026-04-24T17:46:24"/>
    <d v="2026-04-24T17:47:06"/>
    <s v="edison.chicaiza.salgado@udla.edu.ec"/>
    <s v="Edison Ruben Chicaiza Salgado"/>
    <m/>
    <m/>
    <m/>
    <s v="Viernes 24"/>
    <m/>
    <m/>
    <s v="Edison Chicaiza"/>
    <s v="Edison ChicaizaViteri Sánchez Cristina Belén"/>
    <m/>
    <x v="187"/>
    <m/>
    <m/>
    <s v="Muy bueno (16 puntos)"/>
    <n v="16"/>
    <m/>
    <s v="Muy bueno (16 puntos)"/>
    <n v="16"/>
    <m/>
    <s v="Muy bueno (16 puntos)"/>
    <n v="16"/>
    <m/>
    <s v="Muy bueno (8 puntos)"/>
    <n v="8"/>
    <m/>
    <s v="Muy bueno (8 puntos)"/>
    <n v="8"/>
    <m/>
    <s v="Muy bueno (8 puntos)"/>
    <n v="8"/>
    <m/>
    <s v="Muy bueno (8 puntos)"/>
    <n v="8"/>
    <m/>
    <m/>
  </r>
  <r>
    <n v="531"/>
    <d v="2026-04-24T18:52:51"/>
    <d v="2026-04-24T18:54:45"/>
    <s v="patricio.ponce.herrera@udla.edu.ec"/>
    <s v="Patricio David Ponce Herrera"/>
    <m/>
    <m/>
    <m/>
    <s v="Viernes 24"/>
    <m/>
    <m/>
    <s v="Patricio David Ponce"/>
    <s v="Patricio David PonceMaldonado Páez Francisco Javier"/>
    <m/>
    <x v="191"/>
    <m/>
    <m/>
    <s v="Excelente (20 puntos)"/>
    <n v="20"/>
    <m/>
    <s v="Muy bueno (16 puntos)"/>
    <n v="16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532"/>
    <d v="2026-04-24T18:54:47"/>
    <d v="2026-04-24T18:55:21"/>
    <s v="patricio.ponce.herrera@udla.edu.ec"/>
    <s v="Patricio David Ponce Herrera"/>
    <m/>
    <m/>
    <m/>
    <s v="Viernes 24"/>
    <m/>
    <m/>
    <s v="Patricio David Ponce"/>
    <s v="Patricio David PonceRon Urbano Micaela Alexandra"/>
    <m/>
    <x v="195"/>
    <m/>
    <m/>
    <s v="Excelente (20 puntos)"/>
    <n v="20"/>
    <m/>
    <s v="Muy bueno (16 puntos)"/>
    <n v="16"/>
    <m/>
    <s v="Excelente (20 puntos)"/>
    <n v="20"/>
    <m/>
    <s v="Excelente (10 puntos)"/>
    <n v="10"/>
    <m/>
    <s v="Excelente (10 puntos)"/>
    <n v="10"/>
    <m/>
    <s v="Muy bueno (8 puntos)"/>
    <n v="8"/>
    <m/>
    <s v="Muy bueno (8 puntos)"/>
    <n v="8"/>
    <m/>
    <m/>
  </r>
  <r>
    <n v="533"/>
    <d v="2026-04-24T18:55:22"/>
    <d v="2026-04-24T18:55:49"/>
    <s v="patricio.ponce.herrera@udla.edu.ec"/>
    <s v="Patricio David Ponce Herrera"/>
    <m/>
    <m/>
    <m/>
    <s v="Viernes 24"/>
    <m/>
    <m/>
    <s v="Patricio David Ponce"/>
    <s v="Patricio David PonceSánchez Dávila Luis Alfonso"/>
    <m/>
    <x v="196"/>
    <m/>
    <m/>
    <s v="Excelente (20 puntos)"/>
    <n v="20"/>
    <m/>
    <s v="Muy bueno (16 puntos)"/>
    <n v="16"/>
    <m/>
    <s v="Excelente (20 puntos)"/>
    <n v="20"/>
    <m/>
    <s v="Excelente (10 puntos)"/>
    <n v="10"/>
    <m/>
    <s v="Excelente (10 puntos)"/>
    <n v="10"/>
    <m/>
    <s v="Muy bueno (8 puntos)"/>
    <n v="8"/>
    <m/>
    <s v="Muy bueno (8 puntos)"/>
    <n v="8"/>
    <m/>
    <m/>
  </r>
  <r>
    <n v="534"/>
    <d v="2026-04-24T18:55:51"/>
    <d v="2026-04-24T18:56:38"/>
    <s v="patricio.ponce.herrera@udla.edu.ec"/>
    <s v="Patricio David Ponce Herrera"/>
    <m/>
    <m/>
    <m/>
    <s v="Viernes 24"/>
    <m/>
    <m/>
    <s v="Patricio David Ponce"/>
    <s v="Patricio David PonceAcosta Polanco Álvaro Marcelo"/>
    <m/>
    <x v="197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535"/>
    <d v="2026-04-24T18:56:39"/>
    <d v="2026-04-24T18:57:04"/>
    <s v="patricio.ponce.herrera@udla.edu.ec"/>
    <s v="Patricio David Ponce Herrera"/>
    <m/>
    <m/>
    <m/>
    <s v="Viernes 24"/>
    <m/>
    <m/>
    <s v="Patricio David Ponce"/>
    <s v="Patricio David PonceCerón Oñate Guillermo Andrés"/>
    <m/>
    <x v="198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536"/>
    <d v="2026-04-24T18:57:05"/>
    <d v="2026-04-24T18:57:29"/>
    <s v="patricio.ponce.herrera@udla.edu.ec"/>
    <s v="Patricio David Ponce Herrera"/>
    <m/>
    <m/>
    <m/>
    <s v="Viernes 24"/>
    <m/>
    <m/>
    <s v="Patricio David Ponce"/>
    <s v="Patricio David PonceDelgado Ureta Erika Cecibel"/>
    <m/>
    <x v="199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538"/>
    <d v="2026-04-24T19:35:45"/>
    <d v="2026-04-24T19:36:55"/>
    <s v="christiam.garzon@udla.edu.ec"/>
    <s v="Christiam Garzón"/>
    <m/>
    <m/>
    <m/>
    <s v="Jueves 23"/>
    <m/>
    <m/>
    <s v="Christiam Garzón"/>
    <s v="Christiam GarzónBetancourt Guamán Sixto Vinicio"/>
    <m/>
    <x v="113"/>
    <m/>
    <m/>
    <s v="Excelente (20 puntos)"/>
    <n v="20"/>
    <m/>
    <s v="Excelente (20 puntos)"/>
    <n v="20"/>
    <m/>
    <s v="Excelente (20 puntos)"/>
    <n v="20"/>
    <m/>
    <s v="Excelente (10 puntos)"/>
    <n v="10"/>
    <m/>
    <s v="Muy bueno (8 puntos)"/>
    <n v="8"/>
    <m/>
    <s v="Muy bueno (8 puntos)"/>
    <n v="8"/>
    <m/>
    <s v="Excelente (10 puntos)"/>
    <n v="10"/>
    <m/>
    <m/>
  </r>
  <r>
    <n v="539"/>
    <d v="2026-04-24T19:36:58"/>
    <d v="2026-04-24T19:38:12"/>
    <s v="christiam.garzon@udla.edu.ec"/>
    <s v="Christiam Garzón"/>
    <m/>
    <m/>
    <m/>
    <s v="Jueves 23"/>
    <m/>
    <m/>
    <s v="Christiam Garzón"/>
    <s v="Christiam GarzónSánchez Espinosa Jhon Bryan"/>
    <m/>
    <x v="114"/>
    <m/>
    <m/>
    <s v="Excelente (20 puntos)"/>
    <n v="20"/>
    <m/>
    <s v="Excelente (20 puntos)"/>
    <n v="20"/>
    <m/>
    <s v="Excelente (20 puntos)"/>
    <n v="20"/>
    <m/>
    <s v="Muy bueno (8 puntos)"/>
    <n v="8"/>
    <m/>
    <s v="Muy bueno (8 puntos)"/>
    <n v="8"/>
    <m/>
    <s v="Excelente (10 puntos)"/>
    <n v="10"/>
    <m/>
    <s v="Excelente (10 puntos)"/>
    <n v="10"/>
    <m/>
    <m/>
  </r>
  <r>
    <n v="540"/>
    <d v="2026-04-24T19:38:14"/>
    <d v="2026-04-24T19:38:56"/>
    <s v="christiam.garzon@udla.edu.ec"/>
    <s v="Christiam Garzón"/>
    <m/>
    <m/>
    <m/>
    <s v="Jueves 23"/>
    <m/>
    <m/>
    <s v="Christiam Garzón"/>
    <s v="Christiam GarzónAguaisa Moreno Victor Andres"/>
    <m/>
    <x v="124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319"/>
    <d v="2026-04-23T09:22:52"/>
    <d v="2026-04-23T09:23:46"/>
    <s v="patricia.acosta@udla.edu.ec"/>
    <s v="Patricia Acosta"/>
    <m/>
    <m/>
    <m/>
    <s v="Jueves 23"/>
    <m/>
    <m/>
    <s v="Nelly Patricia Acosta Vargas"/>
    <s v="Nelly Patricia Acosta VargasMartínez Porte Daniela Stephania"/>
    <m/>
    <x v="117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543"/>
    <d v="2026-04-24T19:10:06"/>
    <d v="2026-04-24T20:41:02"/>
    <s v="patricio.ponce.herrera@udla.edu.ec"/>
    <s v="Patricio David Ponce Herrera"/>
    <m/>
    <m/>
    <m/>
    <s v="Martes 21 "/>
    <m/>
    <m/>
    <s v="Patricio David Ponce"/>
    <s v="Patricio David PonceGarate Pazmiño Víctor Adrián"/>
    <m/>
    <x v="2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544"/>
    <d v="2026-04-24T20:54:22"/>
    <d v="2026-04-24T20:57:02"/>
    <s v="nathaly.orozco@udla.edu.ec"/>
    <s v="Nathaly Veronica Orozco"/>
    <m/>
    <m/>
    <m/>
    <s v="Viernes 24"/>
    <m/>
    <m/>
    <s v="Nathaly Verónica Orozco"/>
    <s v="Nathaly Verónica OrozcoGuerrón Barrera Gabriela Selene"/>
    <m/>
    <x v="190"/>
    <m/>
    <m/>
    <s v="Muy bueno (16 puntos)"/>
    <n v="16"/>
    <m/>
    <s v="Bueno (12 puntos)"/>
    <n v="12"/>
    <m/>
    <s v="Muy bueno (16 puntos)"/>
    <n v="16"/>
    <m/>
    <s v="Muy bueno (8 puntos)"/>
    <n v="8"/>
    <m/>
    <s v="Muy bueno (8 puntos)"/>
    <n v="8"/>
    <m/>
    <s v="Muy bueno (8 puntos)"/>
    <n v="8"/>
    <m/>
    <s v="Muy bueno (8 puntos)"/>
    <n v="8"/>
    <m/>
    <m/>
  </r>
  <r>
    <n v="515"/>
    <d v="2026-04-24T13:49:22"/>
    <d v="2026-04-24T13:53:28"/>
    <s v="ana.tulcanaza@udla.edu.ec"/>
    <s v="Ana Belen Tulcanaza"/>
    <m/>
    <m/>
    <m/>
    <s v="Viernes 24"/>
    <m/>
    <m/>
    <s v="Ana Belén Tulcanaza Prieto"/>
    <s v="Ana Belén Tulcanaza PrietoRon Urbano Micaela Alexandra"/>
    <m/>
    <x v="195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517"/>
    <d v="2026-04-24T13:49:23"/>
    <d v="2026-04-24T13:54:03"/>
    <s v="ana.tulcanaza@udla.edu.ec"/>
    <s v="Ana Belen Tulcanaza"/>
    <m/>
    <m/>
    <m/>
    <s v="Viernes 24"/>
    <m/>
    <m/>
    <s v="Ana Belén Tulcanaza Prieto"/>
    <s v="Ana Belén Tulcanaza PrietoSánchez Dávila Luis Alfonso"/>
    <m/>
    <x v="196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550"/>
    <d v="2026-04-24T21:39:57"/>
    <d v="2026-04-24T21:41:40"/>
    <s v="pablo.moncayo@udla.edu.ec"/>
    <s v="Pablo Moncayo"/>
    <m/>
    <m/>
    <m/>
    <s v="Miércoles 22"/>
    <m/>
    <m/>
    <s v="Pablo Moncayo"/>
    <s v="Pablo MoncayoSalgado Cueva Vicente Antonio"/>
    <m/>
    <x v="60"/>
    <m/>
    <m/>
    <s v="Excelente (20 puntos)"/>
    <n v="20"/>
    <m/>
    <s v="Excelente (20 puntos)"/>
    <n v="20"/>
    <m/>
    <s v="Excelente (20 puntos)"/>
    <n v="20"/>
    <m/>
    <s v="Muy bueno (8 puntos)"/>
    <n v="8"/>
    <m/>
    <s v="Excelente (10 puntos)"/>
    <n v="10"/>
    <m/>
    <s v="Excelente (10 puntos)"/>
    <n v="10"/>
    <m/>
    <s v="Excelente (10 puntos)"/>
    <n v="10"/>
    <m/>
    <m/>
  </r>
  <r>
    <n v="551"/>
    <d v="2026-04-24T21:43:40"/>
    <d v="2026-04-24T21:44:47"/>
    <s v="pablo.moncayo@udla.edu.ec"/>
    <s v="Pablo Moncayo"/>
    <m/>
    <m/>
    <m/>
    <s v="Jueves 23"/>
    <m/>
    <m/>
    <s v="Pablo Moncayo"/>
    <s v="Pablo MoncayoCachipuendo Contero Inti Josue"/>
    <m/>
    <x v="133"/>
    <m/>
    <m/>
    <s v="Excelente (20 puntos)"/>
    <n v="20"/>
    <m/>
    <s v="Excelente (20 puntos)"/>
    <n v="20"/>
    <m/>
    <s v="Excelente (20 puntos)"/>
    <n v="20"/>
    <m/>
    <s v="Muy bueno (8 puntos)"/>
    <n v="8"/>
    <m/>
    <s v="Muy bueno (8 puntos)"/>
    <n v="8"/>
    <m/>
    <s v="Excelente (10 puntos)"/>
    <n v="10"/>
    <m/>
    <s v="Excelente (10 puntos)"/>
    <n v="10"/>
    <m/>
    <m/>
  </r>
  <r>
    <n v="552"/>
    <d v="2026-04-24T21:44:52"/>
    <d v="2026-04-24T21:46:18"/>
    <s v="pablo.moncayo@udla.edu.ec"/>
    <s v="Pablo Moncayo"/>
    <m/>
    <m/>
    <m/>
    <s v="Viernes 24"/>
    <m/>
    <m/>
    <s v="Pablo Moncayo"/>
    <s v="Pablo MoncayoNaranjo Velastegui Edwin Gabriel"/>
    <m/>
    <x v="166"/>
    <m/>
    <m/>
    <s v="Excelente (20 puntos)"/>
    <n v="20"/>
    <m/>
    <s v="Excelente (20 puntos)"/>
    <n v="20"/>
    <m/>
    <s v="Excelente (20 puntos)"/>
    <n v="20"/>
    <m/>
    <s v="Excelente (10 puntos)"/>
    <n v="10"/>
    <m/>
    <s v="Muy bueno (8 puntos)"/>
    <n v="8"/>
    <m/>
    <s v="Excelente (10 puntos)"/>
    <n v="10"/>
    <m/>
    <s v="Excelente (10 puntos)"/>
    <n v="10"/>
    <m/>
    <m/>
  </r>
  <r>
    <n v="359"/>
    <d v="2026-04-23T11:58:44"/>
    <d v="2026-04-23T12:00:47"/>
    <s v="edison.chicaiza.salgado@udla.edu.ec"/>
    <s v="Edison Ruben Chicaiza Salgado"/>
    <m/>
    <m/>
    <m/>
    <s v="Jueves 23"/>
    <m/>
    <m/>
    <s v="Edison Chicaiza"/>
    <s v="Edison ChicaizaTorres Alvarado Stalin Guillermo"/>
    <m/>
    <x v="151"/>
    <m/>
    <m/>
    <s v="Muy bueno (16 puntos)"/>
    <n v="16"/>
    <m/>
    <s v="Muy bueno (16 puntos)"/>
    <n v="16"/>
    <m/>
    <s v="Excelente (20 puntos)"/>
    <n v="20"/>
    <m/>
    <s v="Bueno (6 puntos)"/>
    <n v="6"/>
    <m/>
    <s v="Muy bueno (8 puntos)"/>
    <n v="8"/>
    <m/>
    <s v="Excelente (10 puntos)"/>
    <n v="10"/>
    <m/>
    <s v="Muy bueno (8 puntos)"/>
    <n v="8"/>
    <m/>
    <m/>
  </r>
  <r>
    <n v="220"/>
    <d v="2026-04-22T10:33:30"/>
    <d v="2026-04-22T10:50:27"/>
    <s v="ana.tulcanaza@udla.edu.ec"/>
    <s v="Ana Belen Tulcanaza"/>
    <m/>
    <m/>
    <m/>
    <s v="Miércoles 22"/>
    <m/>
    <m/>
    <s v="Ana Belén Tulcanaza Prieto"/>
    <s v="Ana Belén Tulcanaza PrietoTulcán Jaya Iván"/>
    <m/>
    <x v="107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558"/>
    <d v="2026-04-24T22:37:45"/>
    <d v="2026-04-24T22:38:18"/>
    <s v="anamaria.pazmino@udla.edu.ec"/>
    <s v="Ana María Pazmiño Delgado"/>
    <m/>
    <m/>
    <m/>
    <s v="Viernes 24"/>
    <m/>
    <m/>
    <s v="Ana María Pazmiño Delgado"/>
    <s v="Ana María Pazmiño DelgadoAngulo Dávila Carlos Andrés"/>
    <m/>
    <x v="152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559"/>
    <d v="2026-04-24T22:38:20"/>
    <d v="2026-04-24T22:39:09"/>
    <s v="anamaria.pazmino@udla.edu.ec"/>
    <s v="Ana María Pazmiño Delgado"/>
    <m/>
    <m/>
    <m/>
    <s v="Viernes 24"/>
    <m/>
    <m/>
    <s v="Ana María Pazmiño Delgado"/>
    <s v="Ana María Pazmiño DelgadoChicaiza Ayala Alexandra Patricia"/>
    <m/>
    <x v="155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560"/>
    <d v="2026-04-25T08:18:59"/>
    <d v="2026-04-25T08:20:26"/>
    <s v="leonardo.arevalo@udla.edu.ec"/>
    <s v="Leonardo Arevalo Rivera"/>
    <m/>
    <m/>
    <m/>
    <s v="Viernes 24"/>
    <m/>
    <m/>
    <s v="Leonardo Arevalo Rivera"/>
    <s v="Leonardo Arevalo RiveraPelassa Zambrano Pietro Salvatore"/>
    <m/>
    <x v="160"/>
    <m/>
    <m/>
    <s v="Excelente (20 puntos)"/>
    <n v="20"/>
    <m/>
    <s v="Excelente (20 puntos)"/>
    <n v="20"/>
    <m/>
    <s v="Excelente (20 puntos)"/>
    <n v="20"/>
    <m/>
    <s v="Muy bueno (8 puntos)"/>
    <n v="8"/>
    <m/>
    <s v="Excelente (10 puntos)"/>
    <n v="10"/>
    <m/>
    <s v="Excelente (10 puntos)"/>
    <n v="10"/>
    <m/>
    <s v="Excelente (10 puntos)"/>
    <n v="10"/>
    <m/>
    <m/>
  </r>
  <r>
    <n v="561"/>
    <d v="2026-04-25T08:20:31"/>
    <d v="2026-04-25T08:21:18"/>
    <s v="leonardo.arevalo@udla.edu.ec"/>
    <s v="Leonardo Arevalo Rivera"/>
    <m/>
    <m/>
    <m/>
    <s v="Viernes 24"/>
    <m/>
    <m/>
    <s v="Leonardo Arevalo Rivera"/>
    <s v="Leonardo Arevalo RiveraSilva Villalobos Medardo Mauricio"/>
    <m/>
    <x v="159"/>
    <m/>
    <m/>
    <s v="Excelente (20 puntos)"/>
    <n v="20"/>
    <m/>
    <s v="Excelente (20 puntos)"/>
    <n v="20"/>
    <m/>
    <s v="Excelente (20 puntos)"/>
    <n v="20"/>
    <m/>
    <s v="Muy bueno (8 puntos)"/>
    <n v="8"/>
    <m/>
    <s v="Excelente (10 puntos)"/>
    <n v="10"/>
    <m/>
    <s v="Excelente (10 puntos)"/>
    <n v="10"/>
    <m/>
    <s v="Excelente (10 puntos)"/>
    <n v="10"/>
    <m/>
    <m/>
  </r>
  <r>
    <n v="562"/>
    <d v="2026-04-25T08:21:22"/>
    <d v="2026-04-25T08:22:03"/>
    <s v="leonardo.arevalo@udla.edu.ec"/>
    <s v="Leonardo Arevalo Rivera"/>
    <m/>
    <m/>
    <m/>
    <s v="Viernes 24"/>
    <m/>
    <m/>
    <s v="Leonardo Arevalo Rivera"/>
    <s v="Leonardo Arevalo RiveraVera Zamora Victor Vicente"/>
    <m/>
    <x v="161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563"/>
    <d v="2026-04-25T08:22:18"/>
    <d v="2026-04-25T08:22:52"/>
    <s v="leonardo.arevalo@udla.edu.ec"/>
    <s v="Leonardo Arevalo Rivera"/>
    <m/>
    <m/>
    <m/>
    <s v="Viernes 24"/>
    <m/>
    <m/>
    <s v="Leonardo Arevalo Rivera"/>
    <s v="Leonardo Arevalo RiveraDíaz Erazo Max Ernesto"/>
    <m/>
    <x v="172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564"/>
    <d v="2026-04-25T08:23:01"/>
    <d v="2026-04-25T08:24:01"/>
    <s v="leonardo.arevalo@udla.edu.ec"/>
    <s v="Leonardo Arevalo Rivera"/>
    <m/>
    <m/>
    <m/>
    <s v="Viernes 24"/>
    <m/>
    <m/>
    <s v="Leonardo Arevalo Rivera"/>
    <s v="Leonardo Arevalo RiveraMontenegro Reinoso Sthefany Carolina"/>
    <m/>
    <x v="171"/>
    <m/>
    <m/>
    <s v="Excelente (20 puntos)"/>
    <n v="20"/>
    <m/>
    <s v="Excelente (20 puntos)"/>
    <n v="20"/>
    <m/>
    <s v="Excelente (20 puntos)"/>
    <n v="20"/>
    <m/>
    <s v="Muy bueno (8 puntos)"/>
    <n v="8"/>
    <m/>
    <s v="Muy bueno (8 puntos)"/>
    <n v="8"/>
    <m/>
    <s v="Muy bueno (8 puntos)"/>
    <n v="8"/>
    <m/>
    <s v="Muy bueno (8 puntos)"/>
    <n v="8"/>
    <m/>
    <m/>
  </r>
  <r>
    <n v="565"/>
    <d v="2026-04-25T08:24:21"/>
    <d v="2026-04-25T08:25:31"/>
    <s v="leonardo.arevalo@udla.edu.ec"/>
    <s v="Leonardo Arevalo Rivera"/>
    <m/>
    <m/>
    <m/>
    <s v="Miércoles 22"/>
    <m/>
    <m/>
    <s v="Leonardo Arevalo Rivera"/>
    <s v="Leonardo Arevalo RiveraTorres Vinueza Israel Francisco"/>
    <m/>
    <x v="58"/>
    <m/>
    <m/>
    <s v="Excelente (20 puntos)"/>
    <n v="20"/>
    <m/>
    <s v="Excelente (20 puntos)"/>
    <n v="20"/>
    <m/>
    <s v="Excelente (20 puntos)"/>
    <n v="20"/>
    <m/>
    <s v="Bueno (6 puntos)"/>
    <n v="6"/>
    <m/>
    <s v="Excelente (10 puntos)"/>
    <n v="10"/>
    <m/>
    <s v="Excelente (10 puntos)"/>
    <n v="10"/>
    <m/>
    <s v="Excelente (10 puntos)"/>
    <n v="10"/>
    <m/>
    <m/>
  </r>
  <r>
    <n v="566"/>
    <d v="2026-04-25T09:57:02"/>
    <d v="2026-04-25T09:59:32"/>
    <s v="mauricio.racines@udla.edu.ec"/>
    <s v="Mauricio Racines"/>
    <m/>
    <m/>
    <m/>
    <s v="Jueves 23"/>
    <m/>
    <m/>
    <s v="Mauricio Racines"/>
    <s v="Mauricio RacinesIza Jiménez Santiago Francisco"/>
    <m/>
    <x v="125"/>
    <m/>
    <m/>
    <s v="Muy bueno (16 puntos)"/>
    <n v="16"/>
    <m/>
    <s v="Excelente (20 puntos)"/>
    <n v="20"/>
    <m/>
    <s v="Excelente (20 puntos)"/>
    <n v="20"/>
    <m/>
    <s v="Excelente (10 puntos)"/>
    <n v="10"/>
    <m/>
    <s v="Muy bueno (8 puntos)"/>
    <n v="8"/>
    <m/>
    <s v="Muy bueno (8 puntos)"/>
    <n v="8"/>
    <m/>
    <s v="Muy bueno (8 puntos)"/>
    <n v="8"/>
    <m/>
    <m/>
  </r>
  <r>
    <n v="567"/>
    <d v="2026-04-25T09:59:35"/>
    <d v="2026-04-25T10:00:55"/>
    <s v="mauricio.racines@udla.edu.ec"/>
    <s v="Mauricio Racines"/>
    <m/>
    <m/>
    <m/>
    <s v="Jueves 23"/>
    <m/>
    <m/>
    <s v="Mauricio Racines"/>
    <s v="Mauricio RacinesSalazar Guallichico José Luis"/>
    <m/>
    <x v="126"/>
    <m/>
    <m/>
    <s v="Muy bueno (16 puntos)"/>
    <n v="16"/>
    <m/>
    <s v="Excelente (20 puntos)"/>
    <n v="20"/>
    <m/>
    <s v="Excelente (20 puntos)"/>
    <n v="20"/>
    <m/>
    <s v="Muy bueno (8 puntos)"/>
    <n v="8"/>
    <m/>
    <s v="Muy bueno (8 puntos)"/>
    <n v="8"/>
    <m/>
    <s v="Excelente (10 puntos)"/>
    <n v="10"/>
    <m/>
    <s v="Excelente (10 puntos)"/>
    <n v="10"/>
    <m/>
    <m/>
  </r>
  <r>
    <n v="568"/>
    <d v="2026-04-25T10:00:58"/>
    <d v="2026-04-25T10:02:18"/>
    <s v="mauricio.racines@udla.edu.ec"/>
    <s v="Mauricio Racines"/>
    <m/>
    <m/>
    <m/>
    <s v="Viernes 24"/>
    <m/>
    <m/>
    <s v="Mauricio Racines"/>
    <s v="Mauricio RacinesAcosta Polanco Álvaro Marcelo"/>
    <m/>
    <x v="197"/>
    <m/>
    <m/>
    <s v="Muy bueno (16 puntos)"/>
    <n v="16"/>
    <m/>
    <s v="Muy bueno (16 puntos)"/>
    <n v="16"/>
    <m/>
    <s v="Muy bueno (16 puntos)"/>
    <n v="16"/>
    <m/>
    <s v="Muy bueno (8 puntos)"/>
    <n v="8"/>
    <m/>
    <s v="Bueno (6 puntos)"/>
    <n v="6"/>
    <m/>
    <s v="Muy bueno (8 puntos)"/>
    <n v="8"/>
    <m/>
    <s v="Muy bueno (8 puntos)"/>
    <n v="8"/>
    <m/>
    <m/>
  </r>
  <r>
    <n v="569"/>
    <d v="2026-04-25T10:02:20"/>
    <d v="2026-04-25T10:03:22"/>
    <s v="mauricio.racines@udla.edu.ec"/>
    <s v="Mauricio Racines"/>
    <m/>
    <m/>
    <m/>
    <s v="Viernes 24"/>
    <m/>
    <m/>
    <s v="Mauricio Racines"/>
    <s v="Mauricio RacinesCerón Oñate Guillermo Andrés"/>
    <m/>
    <x v="198"/>
    <m/>
    <m/>
    <s v="Muy bueno (16 puntos)"/>
    <n v="16"/>
    <m/>
    <s v="Muy bueno (16 puntos)"/>
    <n v="16"/>
    <m/>
    <s v="Bueno (12 puntos)"/>
    <n v="12"/>
    <m/>
    <s v="Muy bueno (8 puntos)"/>
    <n v="8"/>
    <m/>
    <s v="Muy bueno (8 puntos)"/>
    <n v="8"/>
    <m/>
    <s v="Muy bueno (8 puntos)"/>
    <n v="8"/>
    <m/>
    <s v="Muy bueno (8 puntos)"/>
    <n v="8"/>
    <m/>
    <m/>
  </r>
  <r>
    <n v="570"/>
    <d v="2026-04-25T10:03:25"/>
    <d v="2026-04-25T10:06:18"/>
    <s v="mauricio.racines@udla.edu.ec"/>
    <s v="Mauricio Racines"/>
    <m/>
    <m/>
    <m/>
    <s v="Viernes 24"/>
    <m/>
    <m/>
    <s v="Mauricio Racines"/>
    <s v="Mauricio RacinesDelgado Ureta Erika Cecibel"/>
    <m/>
    <x v="199"/>
    <m/>
    <m/>
    <s v="Muy bueno (16 puntos)"/>
    <n v="16"/>
    <m/>
    <s v="Muy bueno (16 puntos)"/>
    <n v="16"/>
    <m/>
    <s v="Bueno (12 puntos)"/>
    <n v="12"/>
    <m/>
    <s v="Muy bueno (8 puntos)"/>
    <n v="8"/>
    <m/>
    <s v="Muy bueno (8 puntos)"/>
    <n v="8"/>
    <m/>
    <s v="Muy bueno (8 puntos)"/>
    <n v="8"/>
    <m/>
    <s v="Muy bueno (8 puntos)"/>
    <n v="8"/>
    <m/>
    <m/>
  </r>
  <r>
    <n v="336"/>
    <d v="2026-04-23T09:56:58"/>
    <d v="2026-04-23T09:57:42"/>
    <s v="pavlova.sigcha@udla.edu.ec"/>
    <s v="Pavlova Sigcha"/>
    <m/>
    <m/>
    <m/>
    <s v="Jueves 23"/>
    <m/>
    <m/>
    <s v="Pavlova Sigcha"/>
    <s v="Pavlova SigchaViteri Mesías Fabián Nicolás"/>
    <m/>
    <x v="118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573"/>
    <d v="2026-04-25T18:53:18"/>
    <d v="2026-04-25T18:54:49"/>
    <s v="luis.aguas.bucheli@udla.edu.ec"/>
    <s v="Luis Fernando Aguas Bucheli"/>
    <m/>
    <m/>
    <m/>
    <s v="Martes 21 "/>
    <m/>
    <m/>
    <s v="Luis Fernando Aguas Bucheli"/>
    <s v="Luis Fernando Aguas BucheliGaleas Andino Marco Vinicio"/>
    <m/>
    <x v="43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574"/>
    <d v="2026-04-25T18:55:04"/>
    <d v="2026-04-25T18:55:43"/>
    <s v="luis.aguas.bucheli@udla.edu.ec"/>
    <s v="Luis Fernando Aguas Bucheli"/>
    <m/>
    <m/>
    <m/>
    <s v="Jueves 23"/>
    <m/>
    <m/>
    <s v="Luis Fernando Aguas Bucheli"/>
    <s v="Luis Fernando Aguas BucheliJátiva Ubillús José André"/>
    <m/>
    <x v="120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575"/>
    <d v="2026-04-25T19:44:31"/>
    <d v="2026-04-25T19:46:37"/>
    <s v="ivan.ortiz@udla.edu.ec"/>
    <s v="Ivan Patricio Ortiz Garces"/>
    <m/>
    <m/>
    <m/>
    <s v="Miércoles 22"/>
    <m/>
    <m/>
    <s v="Iván Ortiz"/>
    <s v="Iván OrtizCamacho González Renato Daniel"/>
    <m/>
    <x v="167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576"/>
    <d v="2026-04-25T19:46:40"/>
    <d v="2026-04-25T19:48:06"/>
    <s v="ivan.ortiz@udla.edu.ec"/>
    <s v="Ivan Patricio Ortiz Garces"/>
    <m/>
    <m/>
    <m/>
    <s v="Viernes 24"/>
    <m/>
    <m/>
    <s v="Iván Ortiz"/>
    <s v="Iván OrtizGomez de la Torre Reyes Oswaldo Fernando"/>
    <m/>
    <x v="168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577"/>
    <d v="2026-04-25T19:48:09"/>
    <d v="2026-04-25T19:49:34"/>
    <s v="ivan.ortiz@udla.edu.ec"/>
    <s v="Ivan Patricio Ortiz Garces"/>
    <m/>
    <m/>
    <m/>
    <s v="Miércoles 22"/>
    <m/>
    <m/>
    <s v="Iván Ortiz"/>
    <s v="Iván OrtizTulcán Jaya Iván"/>
    <m/>
    <x v="107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578"/>
    <d v="2026-04-25T19:49:50"/>
    <d v="2026-04-25T19:50:32"/>
    <s v="ivan.ortiz@udla.edu.ec"/>
    <s v="Ivan Patricio Ortiz Garces"/>
    <m/>
    <m/>
    <m/>
    <s v="Miércoles 22"/>
    <m/>
    <m/>
    <s v="Iván Ortiz"/>
    <s v="Iván OrtizJácome Macías Anne"/>
    <m/>
    <x v="79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579"/>
    <d v="2026-04-26T08:32:39"/>
    <d v="2026-04-26T08:34:35"/>
    <s v="edison.velasco.sanchez@udla.edu.ec"/>
    <s v="Edison Patricio Velasco Sánchez"/>
    <m/>
    <m/>
    <m/>
    <s v="Jueves 23"/>
    <m/>
    <m/>
    <s v="Edison Velasco"/>
    <s v="Edison VelascoMorales Castro Sandy Gabriela"/>
    <m/>
    <x v="108"/>
    <m/>
    <m/>
    <s v="Excelente (20 puntos)"/>
    <n v="20"/>
    <m/>
    <s v="Excelente (20 puntos)"/>
    <n v="20"/>
    <m/>
    <s v="Muy bueno (16 puntos)"/>
    <n v="16"/>
    <m/>
    <s v="Bueno (6 puntos)"/>
    <n v="6"/>
    <m/>
    <s v="Muy bueno (8 puntos)"/>
    <n v="8"/>
    <m/>
    <s v="Excelente (10 puntos)"/>
    <n v="10"/>
    <m/>
    <s v="Excelente (10 puntos)"/>
    <n v="10"/>
    <m/>
    <m/>
  </r>
  <r>
    <n v="581"/>
    <d v="2026-04-26T19:44:22"/>
    <d v="2026-04-26T19:45:12"/>
    <s v="santiago.solorzano@udla.edu.ec"/>
    <s v="Santiago Leonardo Solórzano"/>
    <m/>
    <m/>
    <m/>
    <s v="Viernes 24"/>
    <m/>
    <m/>
    <s v="Santiago Leonardo Solórzano"/>
    <s v="Santiago Leonardo SolórzanoGuerrón Barrera Gabriela Selene"/>
    <m/>
    <x v="190"/>
    <m/>
    <m/>
    <s v="Excelente (20 puntos)"/>
    <n v="20"/>
    <m/>
    <s v="Excelente (20 puntos)"/>
    <n v="20"/>
    <m/>
    <s v="Muy bueno (16 puntos)"/>
    <n v="16"/>
    <m/>
    <s v="Muy bueno (8 puntos)"/>
    <n v="8"/>
    <m/>
    <s v="Muy bueno (8 puntos)"/>
    <n v="8"/>
    <m/>
    <s v="Muy bueno (8 puntos)"/>
    <n v="8"/>
    <m/>
    <s v="Excelente (10 puntos)"/>
    <n v="10"/>
    <m/>
    <m/>
  </r>
  <r>
    <n v="582"/>
    <d v="2026-04-26T21:19:48"/>
    <d v="2026-04-26T21:20:49"/>
    <s v="raul.paredes.loor@udla.edu.ec"/>
    <s v="Raul Vicente Paredes Loor"/>
    <m/>
    <m/>
    <m/>
    <s v="Viernes 24"/>
    <m/>
    <m/>
    <s v="Raul Vicente Paredes Loor"/>
    <s v="Raul Vicente Paredes LoorLuzuriaga Bermeo Abigail Elizabeth"/>
    <m/>
    <x v="185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583"/>
    <d v="2026-04-26T21:20:55"/>
    <d v="2026-04-26T21:23:04"/>
    <s v="raul.paredes.loor@udla.edu.ec"/>
    <s v="Raul Vicente Paredes Loor"/>
    <m/>
    <m/>
    <m/>
    <s v="Viernes 24"/>
    <m/>
    <m/>
    <s v="Raul Vicente Paredes Loor"/>
    <s v="Raul Vicente Paredes LoorMoreno Rivera Danny Javier"/>
    <m/>
    <x v="186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584"/>
    <d v="2026-04-26T21:23:06"/>
    <d v="2026-04-26T21:23:45"/>
    <s v="raul.paredes.loor@udla.edu.ec"/>
    <s v="Raul Vicente Paredes Loor"/>
    <m/>
    <m/>
    <m/>
    <s v="Viernes 24"/>
    <m/>
    <m/>
    <s v="Raul Vicente Paredes Loor"/>
    <s v="Raul Vicente Paredes LoorViteri Sánchez Cristina Belén"/>
    <m/>
    <x v="187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585"/>
    <d v="2026-04-26T21:23:50"/>
    <d v="2026-04-26T21:24:19"/>
    <s v="raul.paredes.loor@udla.edu.ec"/>
    <s v="Raul Vicente Paredes Loor"/>
    <m/>
    <m/>
    <m/>
    <s v="Viernes 24"/>
    <m/>
    <m/>
    <s v="Raul Vicente Paredes Loor"/>
    <s v="Raul Vicente Paredes LoorBaquerizo Trujillo Julián Darío"/>
    <m/>
    <x v="182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586"/>
    <d v="2026-04-26T21:24:21"/>
    <d v="2026-04-26T21:24:55"/>
    <s v="raul.paredes.loor@udla.edu.ec"/>
    <s v="Raul Vicente Paredes Loor"/>
    <m/>
    <m/>
    <m/>
    <s v="Viernes 24"/>
    <m/>
    <m/>
    <s v="Raul Vicente Paredes Loor"/>
    <s v="Raul Vicente Paredes LoorParedes Betancourt Inés María"/>
    <m/>
    <x v="183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587"/>
    <d v="2026-04-26T21:24:59"/>
    <d v="2026-04-26T21:25:28"/>
    <s v="raul.paredes.loor@udla.edu.ec"/>
    <s v="Raul Vicente Paredes Loor"/>
    <m/>
    <m/>
    <m/>
    <s v="Viernes 24"/>
    <m/>
    <m/>
    <s v="Raul Vicente Paredes Loor"/>
    <s v="Raul Vicente Paredes LoorRojas Calero César Augusto"/>
    <m/>
    <x v="184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588"/>
    <d v="2026-04-26T21:25:30"/>
    <d v="2026-04-26T21:26:00"/>
    <s v="raul.paredes.loor@udla.edu.ec"/>
    <s v="Raul Vicente Paredes Loor"/>
    <m/>
    <m/>
    <m/>
    <s v="Viernes 24"/>
    <m/>
    <m/>
    <s v="Raul Vicente Paredes Loor"/>
    <s v="Raul Vicente Paredes LoorAcosta Polanco Álvaro Marcelo"/>
    <m/>
    <x v="197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589"/>
    <d v="2026-04-26T21:26:01"/>
    <d v="2026-04-26T21:26:35"/>
    <s v="raul.paredes.loor@udla.edu.ec"/>
    <s v="Raul Vicente Paredes Loor"/>
    <m/>
    <m/>
    <m/>
    <s v="Viernes 24"/>
    <m/>
    <m/>
    <s v="Raul Vicente Paredes Loor"/>
    <s v="Raul Vicente Paredes LoorCerón Oñate Guillermo Andrés"/>
    <m/>
    <x v="198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590"/>
    <d v="2026-04-26T21:26:37"/>
    <d v="2026-04-26T21:27:18"/>
    <s v="raul.paredes.loor@udla.edu.ec"/>
    <s v="Raul Vicente Paredes Loor"/>
    <m/>
    <m/>
    <m/>
    <s v="Viernes 24"/>
    <m/>
    <m/>
    <s v="Raul Vicente Paredes Loor"/>
    <s v="Raul Vicente Paredes LoorDelgado Ureta Erika Cecibel"/>
    <m/>
    <x v="199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591"/>
    <d v="2026-04-26T21:49:16"/>
    <d v="2026-04-26T21:49:58"/>
    <s v="raul.paredes.loor@udla.edu.ec"/>
    <s v="Raul Vicente Paredes Loor"/>
    <m/>
    <m/>
    <m/>
    <s v="Jueves 23"/>
    <m/>
    <m/>
    <s v="Raul Vicente Paredes Loor"/>
    <s v="Raul Vicente Paredes LoorJiménez Soto Luis Javier"/>
    <m/>
    <x v="119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592"/>
    <d v="2026-04-26T21:50:00"/>
    <d v="2026-04-26T21:50:26"/>
    <s v="raul.paredes.loor@udla.edu.ec"/>
    <s v="Raul Vicente Paredes Loor"/>
    <m/>
    <m/>
    <m/>
    <s v="Jueves 23"/>
    <m/>
    <m/>
    <s v="Raul Vicente Paredes Loor"/>
    <s v="Raul Vicente Paredes LoorViteri Mesías Fabián Nicolás"/>
    <m/>
    <x v="118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Muy bueno (8 puntos)"/>
    <n v="8"/>
    <m/>
    <s v="Excelente (10 puntos)"/>
    <n v="10"/>
    <m/>
    <m/>
  </r>
  <r>
    <n v="593"/>
    <d v="2026-04-27T06:58:09"/>
    <d v="2026-04-27T07:00:54"/>
    <s v="mauricio.racines@udla.edu.ec"/>
    <s v="Mauricio Racines"/>
    <m/>
    <m/>
    <m/>
    <s v="Martes 21 "/>
    <m/>
    <m/>
    <s v="Mauricio Racines"/>
    <s v="Mauricio RacinesHerrera Donoso María Isabel"/>
    <m/>
    <x v="36"/>
    <m/>
    <m/>
    <s v="Muy bueno (16 puntos)"/>
    <n v="16"/>
    <m/>
    <s v="Excelente (20 puntos)"/>
    <n v="20"/>
    <m/>
    <s v="Muy bueno (16 puntos)"/>
    <n v="16"/>
    <m/>
    <s v="Excelente (10 puntos)"/>
    <n v="10"/>
    <m/>
    <s v="Muy bueno (8 puntos)"/>
    <n v="8"/>
    <m/>
    <s v="Muy bueno (8 puntos)"/>
    <n v="8"/>
    <m/>
    <s v="Muy bueno (8 puntos)"/>
    <n v="8"/>
    <m/>
    <m/>
  </r>
  <r>
    <n v="594"/>
    <d v="2026-04-27T07:00:57"/>
    <d v="2026-04-27T07:02:27"/>
    <s v="mauricio.racines@udla.edu.ec"/>
    <s v="Mauricio Racines"/>
    <m/>
    <m/>
    <m/>
    <s v="Martes 21 "/>
    <m/>
    <m/>
    <s v="Mauricio Racines"/>
    <s v="Mauricio RacinesMuglisa Puma Kevin Israel"/>
    <m/>
    <x v="39"/>
    <m/>
    <m/>
    <s v="Muy bueno (16 puntos)"/>
    <n v="16"/>
    <m/>
    <s v="Excelente (20 puntos)"/>
    <n v="20"/>
    <m/>
    <s v="Muy bueno (16 puntos)"/>
    <n v="16"/>
    <m/>
    <s v="Excelente (10 puntos)"/>
    <n v="10"/>
    <m/>
    <s v="Excelente (10 puntos)"/>
    <n v="10"/>
    <m/>
    <s v="Excelente (10 puntos)"/>
    <n v="10"/>
    <m/>
    <s v="Muy bueno (8 puntos)"/>
    <n v="8"/>
    <m/>
    <m/>
  </r>
  <r>
    <n v="595"/>
    <d v="2026-04-27T07:02:29"/>
    <d v="2026-04-27T07:03:34"/>
    <s v="mauricio.racines@udla.edu.ec"/>
    <s v="Mauricio Racines"/>
    <m/>
    <m/>
    <m/>
    <s v="Martes 21 "/>
    <m/>
    <m/>
    <s v="Mauricio Racines"/>
    <s v="Mauricio RacinesFreire Yánez Carlos Esteban"/>
    <m/>
    <x v="35"/>
    <m/>
    <m/>
    <s v="Muy bueno (16 puntos)"/>
    <n v="16"/>
    <m/>
    <s v="Excelente (20 puntos)"/>
    <n v="20"/>
    <m/>
    <s v="Muy bueno (16 puntos)"/>
    <n v="16"/>
    <m/>
    <s v="Excelente (10 puntos)"/>
    <n v="10"/>
    <m/>
    <s v="Excelente (10 puntos)"/>
    <n v="10"/>
    <m/>
    <s v="Excelente (10 puntos)"/>
    <n v="10"/>
    <m/>
    <s v="Muy bueno (8 puntos)"/>
    <n v="8"/>
    <m/>
    <m/>
  </r>
  <r>
    <n v="596"/>
    <d v="2026-04-27T10:07:50"/>
    <d v="2026-04-27T10:08:18"/>
    <s v="anamaria.pazmino@udla.edu.ec"/>
    <s v="Ana María Pazmiño Delgado"/>
    <m/>
    <m/>
    <m/>
    <s v="Jueves 23"/>
    <m/>
    <m/>
    <s v="Ana María Pazmiño Delgado"/>
    <s v="Ana María Pazmiño DelgadoGuevara Llanos Pahola Del Carmen"/>
    <m/>
    <x v="115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597"/>
    <d v="2026-04-27T10:08:20"/>
    <d v="2026-04-27T10:09:00"/>
    <s v="anamaria.pazmino@udla.edu.ec"/>
    <s v="Ana María Pazmiño Delgado"/>
    <m/>
    <m/>
    <m/>
    <s v="Jueves 23"/>
    <m/>
    <m/>
    <s v="Ana María Pazmiño Delgado"/>
    <s v="Ana María Pazmiño DelgadoTorres Alvarado Stalin Guillermo"/>
    <m/>
    <x v="151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598"/>
    <d v="2026-04-27T08:44:27"/>
    <d v="2026-04-27T10:22:16"/>
    <s v="maria.mosquera@udla.edu.ec"/>
    <s v="María Elizabeth Mosquera"/>
    <m/>
    <m/>
    <m/>
    <s v="Viernes 24"/>
    <m/>
    <m/>
    <s v="María Elizabeth Mosquera"/>
    <s v="María Elizabeth MosqueraMaldonado Páez Francisco Javier"/>
    <m/>
    <x v="191"/>
    <m/>
    <m/>
    <s v="Muy bueno (16 puntos)"/>
    <n v="16"/>
    <m/>
    <s v="Excelente (20 puntos)"/>
    <n v="20"/>
    <m/>
    <s v="Muy bueno (16 puntos)"/>
    <n v="16"/>
    <m/>
    <s v="Excelente (10 puntos)"/>
    <n v="10"/>
    <m/>
    <s v="Excelente (10 puntos)"/>
    <n v="10"/>
    <m/>
    <s v="Muy bueno (8 puntos)"/>
    <n v="8"/>
    <m/>
    <s v="Muy bueno (8 puntos)"/>
    <n v="8"/>
    <m/>
    <m/>
  </r>
  <r>
    <n v="599"/>
    <d v="2026-04-27T10:22:19"/>
    <d v="2026-04-27T10:23:52"/>
    <s v="maria.mosquera@udla.edu.ec"/>
    <s v="María Elizabeth Mosquera"/>
    <m/>
    <m/>
    <m/>
    <s v="Viernes 24"/>
    <m/>
    <m/>
    <s v="María Elizabeth Mosquera"/>
    <s v="María Elizabeth MosqueraSánchez Dávila Luis Alfonso"/>
    <m/>
    <x v="196"/>
    <m/>
    <m/>
    <s v="Muy bueno (16 puntos)"/>
    <n v="16"/>
    <m/>
    <s v="Muy bueno (16 puntos)"/>
    <n v="16"/>
    <m/>
    <s v="Excelente (20 puntos)"/>
    <n v="20"/>
    <m/>
    <s v="Excelente (10 puntos)"/>
    <n v="10"/>
    <m/>
    <s v="Excelente (10 puntos)"/>
    <n v="10"/>
    <m/>
    <s v="Muy bueno (8 puntos)"/>
    <n v="8"/>
    <m/>
    <s v="Muy bueno (8 puntos)"/>
    <n v="8"/>
    <m/>
    <m/>
  </r>
  <r>
    <n v="600"/>
    <d v="2026-04-27T10:24:00"/>
    <d v="2026-04-27T10:26:03"/>
    <s v="maria.mosquera@udla.edu.ec"/>
    <s v="María Elizabeth Mosquera"/>
    <m/>
    <m/>
    <m/>
    <s v="Viernes 24"/>
    <m/>
    <m/>
    <s v="María Elizabeth Mosquera"/>
    <s v="María Elizabeth MosqueraRon Urbano Micaela Alexandra"/>
    <m/>
    <x v="195"/>
    <m/>
    <m/>
    <s v="Excelente (20 puntos)"/>
    <n v="20"/>
    <m/>
    <s v="Muy bueno (16 puntos)"/>
    <n v="16"/>
    <m/>
    <s v="Excelente (20 puntos)"/>
    <n v="20"/>
    <m/>
    <s v="Excelente (10 puntos)"/>
    <n v="10"/>
    <m/>
    <s v="Muy bueno (8 puntos)"/>
    <n v="8"/>
    <m/>
    <s v="Muy bueno (8 puntos)"/>
    <n v="8"/>
    <m/>
    <s v="Muy bueno (8 puntos)"/>
    <n v="8"/>
    <m/>
    <m/>
  </r>
  <r>
    <n v="601"/>
    <d v="2026-04-27T12:17:27"/>
    <d v="2026-04-27T12:18:50"/>
    <s v="santiago.solorzano@udla.edu.ec"/>
    <s v="Santiago Leonardo Solórzano"/>
    <m/>
    <m/>
    <m/>
    <s v="Viernes 24"/>
    <m/>
    <m/>
    <s v="Santiago Leonardo Solórzano"/>
    <s v="Santiago Leonardo SolórzanoLeón Narváez Bryan Mateo"/>
    <m/>
    <x v="131"/>
    <m/>
    <m/>
    <s v="Excelente (20 puntos)"/>
    <n v="20"/>
    <m/>
    <s v="Excelente (20 puntos)"/>
    <n v="20"/>
    <m/>
    <s v="Excelente (20 puntos)"/>
    <n v="20"/>
    <m/>
    <s v="Muy bueno (8 puntos)"/>
    <n v="8"/>
    <m/>
    <s v="Muy bueno (8 puntos)"/>
    <n v="8"/>
    <m/>
    <s v="Muy bueno (8 puntos)"/>
    <n v="8"/>
    <m/>
    <s v="Excelente (10 puntos)"/>
    <n v="10"/>
    <m/>
    <m/>
  </r>
  <r>
    <n v="602"/>
    <d v="2026-04-27T16:48:57"/>
    <d v="2026-04-27T16:50:42"/>
    <s v="victor.gomez@udla.edu.ec"/>
    <s v="Victor Gomez Regalado"/>
    <m/>
    <m/>
    <m/>
    <s v="Martes 21 "/>
    <m/>
    <m/>
    <s v="Víctor Javier Gómez Regalado"/>
    <s v="Víctor Javier Gómez RegaladoCalderón Tuárez Diana Alejandra"/>
    <m/>
    <x v="4"/>
    <m/>
    <m/>
    <s v="Excelente (20 puntos)"/>
    <n v="20"/>
    <m/>
    <s v="Excelente (20 puntos)"/>
    <n v="20"/>
    <m/>
    <s v="Muy bueno (16 puntos)"/>
    <n v="16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603"/>
    <d v="2026-04-27T16:50:47"/>
    <d v="2026-04-27T16:51:30"/>
    <s v="victor.gomez@udla.edu.ec"/>
    <s v="Victor Gomez Regalado"/>
    <m/>
    <m/>
    <m/>
    <s v="Martes 21 "/>
    <m/>
    <m/>
    <s v="Víctor Javier Gómez Regalado"/>
    <s v="Víctor Javier Gómez RegaladoMartínez Porte Carlos Sebastián"/>
    <m/>
    <x v="5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604"/>
    <d v="2026-04-27T16:51:32"/>
    <d v="2026-04-27T16:52:16"/>
    <s v="victor.gomez@udla.edu.ec"/>
    <s v="Victor Gomez Regalado"/>
    <m/>
    <m/>
    <m/>
    <s v="Martes 21 "/>
    <m/>
    <m/>
    <s v="Víctor Javier Gómez Regalado"/>
    <s v="Víctor Javier Gómez RegaladoSolano De La Sala Aldas Paúl Fernando"/>
    <m/>
    <x v="0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605"/>
    <d v="2026-04-27T16:52:23"/>
    <d v="2026-04-27T16:55:15"/>
    <s v="victor.gomez@udla.edu.ec"/>
    <s v="Victor Gomez Regalado"/>
    <m/>
    <m/>
    <m/>
    <s v="Jueves 23"/>
    <m/>
    <m/>
    <s v="Víctor Javier Gómez Regalado"/>
    <s v="Víctor Javier Gómez RegaladoLópez Arboleda Carla Stephanya"/>
    <m/>
    <x v="116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606"/>
    <d v="2026-04-27T16:55:17"/>
    <d v="2026-04-27T16:56:17"/>
    <s v="victor.gomez@udla.edu.ec"/>
    <s v="Victor Gomez Regalado"/>
    <m/>
    <m/>
    <m/>
    <s v="Jueves 23"/>
    <m/>
    <m/>
    <s v="Víctor Javier Gómez Regalado"/>
    <s v="Víctor Javier Gómez RegaladoMartínez Porte Daniela Stephania"/>
    <m/>
    <x v="117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609"/>
    <d v="2026-04-27T16:58:26"/>
    <d v="2026-04-27T17:00:05"/>
    <s v="victor.gomez@udla.edu.ec"/>
    <s v="Victor Gomez Regalado"/>
    <m/>
    <m/>
    <m/>
    <s v="Miércoles 22"/>
    <m/>
    <m/>
    <s v="Víctor Javier Gómez Regalado"/>
    <s v="Víctor Javier Gómez RegaladoArias Basantes Jeanpierre"/>
    <m/>
    <x v="63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610"/>
    <d v="2026-04-27T17:00:07"/>
    <d v="2026-04-27T17:01:14"/>
    <s v="victor.gomez@udla.edu.ec"/>
    <s v="Victor Gomez Regalado"/>
    <m/>
    <m/>
    <m/>
    <s v="Miércoles 22"/>
    <m/>
    <m/>
    <s v="Víctor Javier Gómez Regalado"/>
    <s v="Víctor Javier Gómez RegaladoOrtiz Puga Danny Alejandro"/>
    <m/>
    <x v="61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611"/>
    <d v="2026-04-27T17:47:53"/>
    <d v="2026-04-27T17:49:42"/>
    <s v="mariacristina.jimenez@udla.edu.ec"/>
    <s v="María Cristina Jiménez Hernández"/>
    <m/>
    <m/>
    <m/>
    <s v="Viernes 24"/>
    <m/>
    <m/>
    <s v="María Cristina Jiménez Hernández"/>
    <s v="María Cristina Jiménez HernándezÁvila Jumbo Mateo Danilo"/>
    <m/>
    <x v="156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612"/>
    <d v="2026-04-27T17:50:22"/>
    <d v="2026-04-27T17:51:51"/>
    <s v="mariacristina.jimenez@udla.edu.ec"/>
    <s v="María Cristina Jiménez Hernández"/>
    <m/>
    <m/>
    <m/>
    <s v="Viernes 24"/>
    <m/>
    <m/>
    <s v="María Cristina Jiménez Hernández"/>
    <s v="María Cristina Jiménez HernándezValverde González Alberto Sebastián"/>
    <m/>
    <x v="157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613"/>
    <d v="2026-04-27T17:51:58"/>
    <d v="2026-04-27T17:52:57"/>
    <s v="mariacristina.jimenez@udla.edu.ec"/>
    <s v="María Cristina Jiménez Hernández"/>
    <m/>
    <m/>
    <m/>
    <s v="Viernes 24"/>
    <m/>
    <m/>
    <s v="María Cristina Jiménez Hernández"/>
    <s v="María Cristina Jiménez HernándezVinueza Rodríguez Jadira Estefanía"/>
    <m/>
    <x v="158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614"/>
    <d v="2026-04-27T17:53:00"/>
    <d v="2026-04-27T17:54:44"/>
    <s v="mariacristina.jimenez@udla.edu.ec"/>
    <s v="María Cristina Jiménez Hernández"/>
    <m/>
    <m/>
    <m/>
    <s v="Viernes 24"/>
    <m/>
    <m/>
    <s v="María Cristina Jiménez Hernández"/>
    <s v="María Cristina Jiménez HernándezBarragán Tingo Shirley Mayté"/>
    <m/>
    <x v="163"/>
    <m/>
    <m/>
    <s v="Muy bueno (16 puntos)"/>
    <n v="16"/>
    <m/>
    <s v="Muy bueno (16 puntos)"/>
    <n v="16"/>
    <m/>
    <s v="Muy bueno (16 puntos)"/>
    <n v="16"/>
    <m/>
    <s v="Muy bueno (8 puntos)"/>
    <n v="8"/>
    <m/>
    <s v="Muy bueno (8 puntos)"/>
    <n v="8"/>
    <m/>
    <s v="Muy bueno (8 puntos)"/>
    <n v="8"/>
    <m/>
    <s v="Muy bueno (8 puntos)"/>
    <n v="8"/>
    <m/>
    <m/>
  </r>
  <r>
    <n v="615"/>
    <d v="2026-04-27T17:54:47"/>
    <d v="2026-04-27T17:55:34"/>
    <s v="mariacristina.jimenez@udla.edu.ec"/>
    <s v="María Cristina Jiménez Hernández"/>
    <m/>
    <m/>
    <m/>
    <s v="Viernes 24"/>
    <m/>
    <m/>
    <s v="María Cristina Jiménez Hernández"/>
    <s v="María Cristina Jiménez HernándezHernández Itas Dania Elizabeth"/>
    <m/>
    <x v="162"/>
    <m/>
    <m/>
    <s v="Muy bueno (16 puntos)"/>
    <n v="16"/>
    <m/>
    <s v="Muy bueno (16 puntos)"/>
    <n v="16"/>
    <m/>
    <s v="Muy bueno (16 puntos)"/>
    <n v="16"/>
    <m/>
    <s v="Muy bueno (8 puntos)"/>
    <n v="8"/>
    <m/>
    <s v="Muy bueno (8 puntos)"/>
    <n v="8"/>
    <m/>
    <s v="Muy bueno (8 puntos)"/>
    <n v="8"/>
    <m/>
    <s v="Muy bueno (8 puntos)"/>
    <n v="8"/>
    <m/>
    <m/>
  </r>
  <r>
    <n v="616"/>
    <d v="2026-04-27T17:55:36"/>
    <d v="2026-04-27T17:56:32"/>
    <s v="mariacristina.jimenez@udla.edu.ec"/>
    <s v="María Cristina Jiménez Hernández"/>
    <m/>
    <m/>
    <m/>
    <s v="Viernes 24"/>
    <m/>
    <m/>
    <s v="María Cristina Jiménez Hernández"/>
    <s v="María Cristina Jiménez HernándezSalazar Oviedo Mayra Josseth"/>
    <m/>
    <x v="164"/>
    <m/>
    <m/>
    <s v="Muy bueno (16 puntos)"/>
    <n v="16"/>
    <m/>
    <s v="Muy bueno (16 puntos)"/>
    <n v="16"/>
    <m/>
    <s v="Muy bueno (16 puntos)"/>
    <n v="16"/>
    <m/>
    <s v="Muy bueno (8 puntos)"/>
    <n v="8"/>
    <m/>
    <s v="Muy bueno (8 puntos)"/>
    <n v="8"/>
    <m/>
    <s v="Muy bueno (8 puntos)"/>
    <n v="8"/>
    <m/>
    <s v="Muy bueno (8 puntos)"/>
    <n v="8"/>
    <m/>
    <m/>
  </r>
  <r>
    <n v="617"/>
    <d v="2026-04-27T17:56:35"/>
    <d v="2026-04-27T17:58:09"/>
    <s v="mariacristina.jimenez@udla.edu.ec"/>
    <s v="María Cristina Jiménez Hernández"/>
    <m/>
    <m/>
    <m/>
    <s v="Viernes 24"/>
    <m/>
    <m/>
    <s v="María Cristina Jiménez Hernández"/>
    <s v="María Cristina Jiménez HernándezBaquerizo Trujillo Julián Darío"/>
    <m/>
    <x v="182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618"/>
    <d v="2026-04-27T17:58:20"/>
    <d v="2026-04-27T17:59:22"/>
    <s v="mariacristina.jimenez@udla.edu.ec"/>
    <s v="María Cristina Jiménez Hernández"/>
    <m/>
    <m/>
    <m/>
    <s v="Viernes 24"/>
    <m/>
    <m/>
    <s v="María Cristina Jiménez Hernández"/>
    <s v="María Cristina Jiménez HernándezParedes Betancourt Inés María"/>
    <m/>
    <x v="183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  <r>
    <n v="619"/>
    <d v="2026-04-27T17:59:25"/>
    <d v="2026-04-27T18:00:29"/>
    <s v="mariacristina.jimenez@udla.edu.ec"/>
    <s v="María Cristina Jiménez Hernández"/>
    <m/>
    <m/>
    <m/>
    <s v="Viernes 24"/>
    <m/>
    <m/>
    <s v="María Cristina Jiménez Hernández"/>
    <s v="María Cristina Jiménez HernándezRojas Calero César Augusto"/>
    <m/>
    <x v="184"/>
    <m/>
    <m/>
    <s v="Excelente (20 puntos)"/>
    <n v="20"/>
    <m/>
    <s v="Excelente (20 puntos)"/>
    <n v="20"/>
    <m/>
    <s v="Excelente (20 puntos)"/>
    <n v="20"/>
    <m/>
    <s v="Excelente (10 puntos)"/>
    <n v="10"/>
    <m/>
    <s v="Excelente (10 puntos)"/>
    <n v="10"/>
    <m/>
    <s v="Excelente (10 puntos)"/>
    <n v="10"/>
    <m/>
    <s v="Excelente (10 puntos)"/>
    <n v="1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FE84A9-74F9-4526-A428-56558453D1D6}" name="Tabla 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204" firstHeaderRow="0" firstDataRow="1" firstDataCol="1"/>
  <pivotFields count="39">
    <pivotField compact="0" outline="0" showAll="0"/>
    <pivotField compact="0" numFmtId="22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202">
        <item x="91"/>
        <item x="189"/>
        <item x="197"/>
        <item x="124"/>
        <item x="192"/>
        <item x="25"/>
        <item x="149"/>
        <item x="152"/>
        <item x="75"/>
        <item x="63"/>
        <item x="40"/>
        <item x="156"/>
        <item x="134"/>
        <item x="101"/>
        <item x="182"/>
        <item x="163"/>
        <item x="47"/>
        <item x="121"/>
        <item x="66"/>
        <item x="113"/>
        <item x="32"/>
        <item x="46"/>
        <item x="133"/>
        <item x="88"/>
        <item x="44"/>
        <item x="4"/>
        <item x="167"/>
        <item x="100"/>
        <item x="127"/>
        <item x="154"/>
        <item x="139"/>
        <item x="71"/>
        <item x="81"/>
        <item x="34"/>
        <item x="198"/>
        <item x="155"/>
        <item x="78"/>
        <item x="103"/>
        <item x="26"/>
        <item x="194"/>
        <item x="106"/>
        <item x="199"/>
        <item x="172"/>
        <item x="18"/>
        <item x="68"/>
        <item x="169"/>
        <item x="180"/>
        <item x="65"/>
        <item x="67"/>
        <item x="146"/>
        <item x="8"/>
        <item x="83"/>
        <item x="16"/>
        <item x="181"/>
        <item x="35"/>
        <item x="43"/>
        <item x="178"/>
        <item x="150"/>
        <item x="2"/>
        <item x="137"/>
        <item x="90"/>
        <item x="73"/>
        <item x="57"/>
        <item x="23"/>
        <item x="168"/>
        <item x="55"/>
        <item x="122"/>
        <item x="170"/>
        <item x="190"/>
        <item x="115"/>
        <item x="69"/>
        <item x="128"/>
        <item x="37"/>
        <item x="19"/>
        <item x="162"/>
        <item x="20"/>
        <item x="36"/>
        <item x="50"/>
        <item x="177"/>
        <item x="193"/>
        <item x="125"/>
        <item x="79"/>
        <item x="140"/>
        <item x="64"/>
        <item x="109"/>
        <item x="120"/>
        <item x="119"/>
        <item x="105"/>
        <item x="131"/>
        <item x="110"/>
        <item x="45"/>
        <item x="116"/>
        <item m="1" x="200"/>
        <item x="99"/>
        <item x="112"/>
        <item x="102"/>
        <item x="185"/>
        <item x="22"/>
        <item x="29"/>
        <item x="191"/>
        <item x="5"/>
        <item x="117"/>
        <item x="148"/>
        <item x="175"/>
        <item x="123"/>
        <item x="179"/>
        <item x="173"/>
        <item x="136"/>
        <item x="171"/>
        <item x="111"/>
        <item x="108"/>
        <item x="186"/>
        <item x="97"/>
        <item x="89"/>
        <item x="174"/>
        <item x="39"/>
        <item x="166"/>
        <item x="15"/>
        <item x="142"/>
        <item x="143"/>
        <item x="33"/>
        <item x="104"/>
        <item x="153"/>
        <item x="17"/>
        <item x="74"/>
        <item x="27"/>
        <item x="61"/>
        <item x="98"/>
        <item x="93"/>
        <item x="84"/>
        <item x="49"/>
        <item x="12"/>
        <item x="183"/>
        <item x="24"/>
        <item x="48"/>
        <item x="160"/>
        <item x="21"/>
        <item x="130"/>
        <item x="138"/>
        <item x="28"/>
        <item x="80"/>
        <item x="7"/>
        <item x="38"/>
        <item x="147"/>
        <item x="30"/>
        <item x="59"/>
        <item x="184"/>
        <item x="1"/>
        <item x="70"/>
        <item x="195"/>
        <item x="82"/>
        <item x="94"/>
        <item x="77"/>
        <item x="3"/>
        <item x="9"/>
        <item x="126"/>
        <item x="164"/>
        <item x="188"/>
        <item x="60"/>
        <item x="196"/>
        <item x="114"/>
        <item x="52"/>
        <item x="145"/>
        <item x="165"/>
        <item x="53"/>
        <item x="159"/>
        <item x="135"/>
        <item x="0"/>
        <item x="86"/>
        <item x="51"/>
        <item x="72"/>
        <item x="132"/>
        <item x="11"/>
        <item x="151"/>
        <item x="92"/>
        <item x="58"/>
        <item x="144"/>
        <item x="129"/>
        <item x="107"/>
        <item x="62"/>
        <item x="85"/>
        <item x="87"/>
        <item x="95"/>
        <item x="157"/>
        <item x="41"/>
        <item x="54"/>
        <item x="31"/>
        <item x="176"/>
        <item x="161"/>
        <item x="141"/>
        <item x="96"/>
        <item x="42"/>
        <item x="13"/>
        <item x="158"/>
        <item x="6"/>
        <item x="118"/>
        <item x="187"/>
        <item x="56"/>
        <item x="10"/>
        <item x="14"/>
        <item x="76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14"/>
  </rowFields>
  <rowItems count="2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Cuenta de Seleccione su nombre (Evaluador)" fld="11" subtotal="count" baseField="0" baseItem="0"/>
    <dataField name="Promedio de Points - Apertura: problema y objetivo " fld="18" subtotal="average" baseField="0" baseItem="0" numFmtId="164"/>
    <dataField name="Promedio de Points - Metodología (nivel adecuado)" fld="21" subtotal="average" baseField="0" baseItem="0"/>
    <dataField name="Promedio de Points - Resultados y evidencia " fld="24" subtotal="average" baseField="0" baseItem="0"/>
    <dataField name="Promedio de Points - Coherencia y manejo del tiempo" fld="27" subtotal="average" baseField="0" baseItem="0"/>
    <dataField name="Promedio de Points - Diapositivas como apoyo" fld="30" subtotal="average" baseField="0" baseItem="0"/>
    <dataField name="Promedio de Points - Respuestas a preguntas" fld="33" subtotal="average" baseField="0" baseItem="0"/>
    <dataField name="Promedio de Points - Cierre: aporte a próximos pasos" fld="36" subtotal="average" baseField="0" baseItem="0"/>
  </dataFields>
  <formats count="16">
    <format dxfId="79">
      <pivotArea outline="0" collapsedLevelsAreSubtotals="1" fieldPosition="0"/>
    </format>
    <format dxfId="78">
      <pivotArea dataOnly="0" labelOnly="1" outline="0" axis="axisValues" fieldPosition="0"/>
    </format>
    <format dxfId="77">
      <pivotArea field="14" type="button" dataOnly="0" labelOnly="1" outline="0" axis="axisRow" fieldPosition="0"/>
    </format>
    <format dxfId="76">
      <pivotArea dataOnly="0" labelOnly="1" outline="0" fieldPosition="0">
        <references count="1">
          <reference field="4294967294" count="7">
            <x v="1"/>
            <x v="2"/>
            <x v="3"/>
            <x v="4"/>
            <x v="5"/>
            <x v="6"/>
            <x v="7"/>
          </reference>
        </references>
      </pivotArea>
    </format>
    <format dxfId="75">
      <pivotArea field="14" type="button" dataOnly="0" labelOnly="1" outline="0" axis="axisRow" fieldPosition="0"/>
    </format>
    <format dxfId="74">
      <pivotArea dataOnly="0" labelOnly="1" outline="0" fieldPosition="0">
        <references count="1">
          <reference field="4294967294" count="7">
            <x v="1"/>
            <x v="2"/>
            <x v="3"/>
            <x v="4"/>
            <x v="5"/>
            <x v="6"/>
            <x v="7"/>
          </reference>
        </references>
      </pivotArea>
    </format>
    <format dxfId="73">
      <pivotArea field="14" type="button" dataOnly="0" labelOnly="1" outline="0" axis="axisRow" fieldPosition="0"/>
    </format>
    <format dxfId="72">
      <pivotArea dataOnly="0" labelOnly="1" outline="0" fieldPosition="0">
        <references count="1">
          <reference field="4294967294" count="7">
            <x v="1"/>
            <x v="2"/>
            <x v="3"/>
            <x v="4"/>
            <x v="5"/>
            <x v="6"/>
            <x v="7"/>
          </reference>
        </references>
      </pivotArea>
    </format>
    <format dxfId="7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7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66">
      <pivotArea field="14" type="button" dataOnly="0" labelOnly="1" outline="0" axis="axisRow" fieldPosition="0"/>
    </format>
    <format dxfId="65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64">
      <pivotArea dataOnly="0" labelOnly="1" outline="0" fieldPosition="0">
        <references count="1">
          <reference field="14" count="1">
            <x v="6"/>
          </reference>
        </references>
      </pivotArea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E9DC6A-A3AC-ED4E-ADA5-636A672E0D23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1:I202" firstHeaderRow="0" firstDataRow="1" firstDataCol="1"/>
  <pivotFields count="39">
    <pivotField compact="0" outline="0" showAll="0"/>
    <pivotField compact="0" numFmtId="22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202">
        <item x="91"/>
        <item x="189"/>
        <item x="197"/>
        <item x="124"/>
        <item x="192"/>
        <item x="25"/>
        <item x="149"/>
        <item x="152"/>
        <item x="75"/>
        <item x="63"/>
        <item x="40"/>
        <item x="156"/>
        <item x="134"/>
        <item x="101"/>
        <item x="182"/>
        <item x="163"/>
        <item x="47"/>
        <item x="121"/>
        <item x="66"/>
        <item x="113"/>
        <item x="32"/>
        <item x="46"/>
        <item x="133"/>
        <item x="88"/>
        <item x="44"/>
        <item x="4"/>
        <item x="167"/>
        <item x="100"/>
        <item x="127"/>
        <item x="154"/>
        <item x="139"/>
        <item x="71"/>
        <item x="81"/>
        <item x="34"/>
        <item x="198"/>
        <item x="155"/>
        <item x="78"/>
        <item x="103"/>
        <item x="26"/>
        <item x="194"/>
        <item x="106"/>
        <item x="199"/>
        <item x="172"/>
        <item x="18"/>
        <item x="68"/>
        <item x="169"/>
        <item x="180"/>
        <item x="65"/>
        <item x="67"/>
        <item x="146"/>
        <item x="8"/>
        <item x="83"/>
        <item x="16"/>
        <item x="181"/>
        <item x="35"/>
        <item x="43"/>
        <item x="178"/>
        <item x="150"/>
        <item x="2"/>
        <item x="137"/>
        <item x="90"/>
        <item x="73"/>
        <item x="57"/>
        <item x="23"/>
        <item x="168"/>
        <item x="55"/>
        <item x="122"/>
        <item x="170"/>
        <item x="190"/>
        <item x="115"/>
        <item x="69"/>
        <item x="128"/>
        <item x="37"/>
        <item x="19"/>
        <item x="162"/>
        <item x="20"/>
        <item x="36"/>
        <item x="50"/>
        <item x="177"/>
        <item x="193"/>
        <item x="125"/>
        <item x="79"/>
        <item x="140"/>
        <item x="64"/>
        <item x="109"/>
        <item x="120"/>
        <item x="119"/>
        <item x="105"/>
        <item x="131"/>
        <item x="110"/>
        <item x="45"/>
        <item x="116"/>
        <item m="1" x="200"/>
        <item x="99"/>
        <item x="112"/>
        <item x="102"/>
        <item x="185"/>
        <item x="22"/>
        <item x="29"/>
        <item x="191"/>
        <item x="5"/>
        <item x="117"/>
        <item x="148"/>
        <item x="175"/>
        <item x="123"/>
        <item x="179"/>
        <item x="173"/>
        <item x="136"/>
        <item x="171"/>
        <item x="111"/>
        <item x="108"/>
        <item x="186"/>
        <item x="97"/>
        <item x="89"/>
        <item x="174"/>
        <item x="39"/>
        <item x="166"/>
        <item x="15"/>
        <item x="142"/>
        <item x="143"/>
        <item x="33"/>
        <item x="104"/>
        <item x="153"/>
        <item x="17"/>
        <item x="74"/>
        <item x="27"/>
        <item x="61"/>
        <item x="98"/>
        <item x="93"/>
        <item x="84"/>
        <item x="49"/>
        <item x="12"/>
        <item x="183"/>
        <item x="24"/>
        <item x="48"/>
        <item x="160"/>
        <item x="21"/>
        <item x="130"/>
        <item x="138"/>
        <item x="28"/>
        <item x="80"/>
        <item x="7"/>
        <item x="38"/>
        <item x="147"/>
        <item x="30"/>
        <item x="59"/>
        <item x="184"/>
        <item x="1"/>
        <item x="70"/>
        <item x="195"/>
        <item x="82"/>
        <item x="94"/>
        <item x="77"/>
        <item x="3"/>
        <item x="9"/>
        <item x="126"/>
        <item x="164"/>
        <item x="188"/>
        <item x="60"/>
        <item x="196"/>
        <item x="114"/>
        <item x="52"/>
        <item x="145"/>
        <item x="165"/>
        <item x="53"/>
        <item x="159"/>
        <item x="135"/>
        <item x="0"/>
        <item x="86"/>
        <item x="51"/>
        <item x="72"/>
        <item x="132"/>
        <item x="11"/>
        <item x="151"/>
        <item x="92"/>
        <item x="58"/>
        <item x="144"/>
        <item x="129"/>
        <item x="107"/>
        <item x="62"/>
        <item x="85"/>
        <item x="87"/>
        <item x="95"/>
        <item x="157"/>
        <item x="41"/>
        <item x="54"/>
        <item x="31"/>
        <item x="176"/>
        <item x="161"/>
        <item x="141"/>
        <item x="96"/>
        <item x="42"/>
        <item x="13"/>
        <item x="158"/>
        <item x="6"/>
        <item x="118"/>
        <item x="187"/>
        <item x="56"/>
        <item x="10"/>
        <item x="14"/>
        <item x="76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14"/>
  </rowFields>
  <rowItems count="2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Cuenta de Seleccione su nombre (Evaluador)" fld="11" subtotal="count" baseField="0" baseItem="0"/>
    <dataField name="Promedio de Points - Apertura: problema y objetivo " fld="18" subtotal="average" baseField="0" baseItem="0" numFmtId="164"/>
    <dataField name="Promedio de Points - Metodología (nivel adecuado)" fld="21" subtotal="average" baseField="0" baseItem="0"/>
    <dataField name="Promedio de Points - Resultados y evidencia " fld="24" subtotal="average" baseField="0" baseItem="0"/>
    <dataField name="Promedio de Points - Coherencia y manejo del tiempo" fld="27" subtotal="average" baseField="0" baseItem="0"/>
    <dataField name="Promedio de Points - Diapositivas como apoyo" fld="30" subtotal="average" baseField="0" baseItem="0"/>
    <dataField name="Promedio de Points - Respuestas a preguntas" fld="33" subtotal="average" baseField="0" baseItem="0"/>
    <dataField name="Promedio de Points - Cierre: aporte a próximos pasos" fld="36" subtotal="average" baseField="0" baseItem="0"/>
  </dataFields>
  <formats count="16">
    <format dxfId="16">
      <pivotArea outline="0" collapsedLevelsAreSubtotals="1" fieldPosition="0"/>
    </format>
    <format dxfId="15">
      <pivotArea dataOnly="0" labelOnly="1" outline="0" axis="axisValues" fieldPosition="0"/>
    </format>
    <format dxfId="14">
      <pivotArea field="14" type="button" dataOnly="0" labelOnly="1" outline="0" axis="axisRow" fieldPosition="0"/>
    </format>
    <format dxfId="13">
      <pivotArea dataOnly="0" labelOnly="1" outline="0" fieldPosition="0">
        <references count="1">
          <reference field="4294967294" count="7">
            <x v="1"/>
            <x v="2"/>
            <x v="3"/>
            <x v="4"/>
            <x v="5"/>
            <x v="6"/>
            <x v="7"/>
          </reference>
        </references>
      </pivotArea>
    </format>
    <format dxfId="12">
      <pivotArea field="14" type="button" dataOnly="0" labelOnly="1" outline="0" axis="axisRow" fieldPosition="0"/>
    </format>
    <format dxfId="11">
      <pivotArea dataOnly="0" labelOnly="1" outline="0" fieldPosition="0">
        <references count="1">
          <reference field="4294967294" count="7">
            <x v="1"/>
            <x v="2"/>
            <x v="3"/>
            <x v="4"/>
            <x v="5"/>
            <x v="6"/>
            <x v="7"/>
          </reference>
        </references>
      </pivotArea>
    </format>
    <format dxfId="10">
      <pivotArea field="14" type="button" dataOnly="0" labelOnly="1" outline="0" axis="axisRow" fieldPosition="0"/>
    </format>
    <format dxfId="9">
      <pivotArea dataOnly="0" labelOnly="1" outline="0" fieldPosition="0">
        <references count="1">
          <reference field="4294967294" count="7">
            <x v="1"/>
            <x v="2"/>
            <x v="3"/>
            <x v="4"/>
            <x v="5"/>
            <x v="6"/>
            <x v="7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3">
      <pivotArea field="14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">
      <pivotArea dataOnly="0" labelOnly="1" outline="0" fieldPosition="0">
        <references count="1">
          <reference field="14" count="1">
            <x v="6"/>
          </reference>
        </references>
      </pivotArea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Calificaciones" displayName="TablaCalificaciones" ref="A1:AM601" totalsRowShown="0">
  <autoFilter ref="A1:AM601" xr:uid="{00000000-0009-0000-0100-000001000000}"/>
  <tableColumns count="39">
    <tableColumn id="1" xr3:uid="{00000000-0010-0000-0000-000001000000}" name="Id" dataDxfId="63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62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61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Total points" dataDxfId="60">
      <extLst>
        <ext xmlns:xlmsforms="http://schemas.microsoft.com/office/spreadsheetml/2023/msForms" uri="{FCC71383-01E1-4257-9335-427F07BE8D7F}">
          <xlmsforms:question id="totalScore"/>
        </ext>
      </extLst>
    </tableColumn>
    <tableColumn id="7" xr3:uid="{00000000-0010-0000-0000-000007000000}" name="Quiz feedback" dataDxfId="59">
      <extLst>
        <ext xmlns:xlmsforms="http://schemas.microsoft.com/office/spreadsheetml/2023/msForms" uri="{FCC71383-01E1-4257-9335-427F07BE8D7F}">
          <xlmsforms:question id="quizFeedback"/>
        </ext>
      </extLst>
    </tableColumn>
    <tableColumn id="8" xr3:uid="{00000000-0010-0000-0000-000008000000}" name="Grade posted time">
      <extLst>
        <ext xmlns:xlmsforms="http://schemas.microsoft.com/office/spreadsheetml/2023/msForms" uri="{FCC71383-01E1-4257-9335-427F07BE8D7F}">
          <xlmsforms:question id="releaseDate"/>
        </ext>
      </extLst>
    </tableColumn>
    <tableColumn id="9" xr3:uid="{00000000-0010-0000-0000-000009000000}" name="Seleccione el día de la defensa" dataDxfId="58">
      <extLst>
        <ext xmlns:xlmsforms="http://schemas.microsoft.com/office/spreadsheetml/2023/msForms" uri="{FCC71383-01E1-4257-9335-427F07BE8D7F}">
          <xlmsforms:question id="r4f64cdca7c6345b0b542e274fe5f0ba8"/>
        </ext>
      </extLst>
    </tableColumn>
    <tableColumn id="10" xr3:uid="{00000000-0010-0000-0000-00000A000000}" name="Points - Seleccione el día de la defensa" dataDxfId="57">
      <extLst>
        <ext xmlns:xlmsforms="http://schemas.microsoft.com/office/spreadsheetml/2023/msForms" uri="{FCC71383-01E1-4257-9335-427F07BE8D7F}">
          <xlmsforms:question id="r4f64cdca7c6345b0b542e274fe5f0ba8-Score"/>
        </ext>
      </extLst>
    </tableColumn>
    <tableColumn id="11" xr3:uid="{00000000-0010-0000-0000-00000B000000}" name="Feedback - Seleccione el día de la defensa" dataDxfId="56">
      <extLst>
        <ext xmlns:xlmsforms="http://schemas.microsoft.com/office/spreadsheetml/2023/msForms" uri="{FCC71383-01E1-4257-9335-427F07BE8D7F}">
          <xlmsforms:question id="r4f64cdca7c6345b0b542e274fe5f0ba8-Comment"/>
        </ext>
      </extLst>
    </tableColumn>
    <tableColumn id="12" xr3:uid="{00000000-0010-0000-0000-00000C000000}" name="Seleccione su nombre (Evaluador)" dataDxfId="55">
      <extLst>
        <ext xmlns:xlmsforms="http://schemas.microsoft.com/office/spreadsheetml/2023/msForms" uri="{FCC71383-01E1-4257-9335-427F07BE8D7F}">
          <xlmsforms:question id="rac6db3ff2e8241409f65902d61d9c1e8"/>
        </ext>
      </extLst>
    </tableColumn>
    <tableColumn id="13" xr3:uid="{00000000-0010-0000-0000-00000D000000}" name="Control de duplicados" dataDxfId="54">
      <extLst>
        <ext xmlns:xlmsforms="http://schemas.microsoft.com/office/spreadsheetml/2023/msForms" uri="{FCC71383-01E1-4257-9335-427F07BE8D7F}">
          <xlmsforms:question id="rac6db3ff2e8241409f65902d61d9c1e8-Score"/>
        </ext>
      </extLst>
    </tableColumn>
    <tableColumn id="14" xr3:uid="{00000000-0010-0000-0000-00000E000000}" name="Feedback - Seleccione su nombre (Evaluador)" dataDxfId="53">
      <extLst>
        <ext xmlns:xlmsforms="http://schemas.microsoft.com/office/spreadsheetml/2023/msForms" uri="{FCC71383-01E1-4257-9335-427F07BE8D7F}">
          <xlmsforms:question id="rac6db3ff2e8241409f65902d61d9c1e8-Comment"/>
        </ext>
      </extLst>
    </tableColumn>
    <tableColumn id="15" xr3:uid="{00000000-0010-0000-0000-00000F000000}" name="Seleccione el nombre del Estudiante" dataDxfId="52">
      <extLst>
        <ext xmlns:xlmsforms="http://schemas.microsoft.com/office/spreadsheetml/2023/msForms" uri="{FCC71383-01E1-4257-9335-427F07BE8D7F}">
          <xlmsforms:question id="r1269485cec99451391b492d9609b760f"/>
        </ext>
      </extLst>
    </tableColumn>
    <tableColumn id="16" xr3:uid="{00000000-0010-0000-0000-000010000000}" name="Points - Seleccione el nombre del Estudiante" dataDxfId="51">
      <extLst>
        <ext xmlns:xlmsforms="http://schemas.microsoft.com/office/spreadsheetml/2023/msForms" uri="{FCC71383-01E1-4257-9335-427F07BE8D7F}">
          <xlmsforms:question id="r1269485cec99451391b492d9609b760f-Score"/>
        </ext>
      </extLst>
    </tableColumn>
    <tableColumn id="17" xr3:uid="{00000000-0010-0000-0000-000011000000}" name="Feedback - Seleccione el nombre del Estudiante" dataDxfId="50">
      <extLst>
        <ext xmlns:xlmsforms="http://schemas.microsoft.com/office/spreadsheetml/2023/msForms" uri="{FCC71383-01E1-4257-9335-427F07BE8D7F}">
          <xlmsforms:question id="r1269485cec99451391b492d9609b760f-Comment"/>
        </ext>
      </extLst>
    </tableColumn>
    <tableColumn id="18" xr3:uid="{00000000-0010-0000-0000-000012000000}" name="Apertura: problema y objetivo " dataDxfId="49">
      <extLst>
        <ext xmlns:xlmsforms="http://schemas.microsoft.com/office/spreadsheetml/2023/msForms" uri="{FCC71383-01E1-4257-9335-427F07BE8D7F}">
          <xlmsforms:question id="r5f1093141b0b4a148cef4be4a38b3429"/>
        </ext>
      </extLst>
    </tableColumn>
    <tableColumn id="19" xr3:uid="{00000000-0010-0000-0000-000013000000}" name="Points - Apertura: problema y objetivo " dataDxfId="48">
      <calculatedColumnFormula>VLOOKUP(TablaCalificaciones[[#This Row],[Apertura: problema y objetivo ]],PESOS!A$16:B$20,2,0)</calculatedColumnFormula>
      <extLst>
        <ext xmlns:xlmsforms="http://schemas.microsoft.com/office/spreadsheetml/2023/msForms" uri="{FCC71383-01E1-4257-9335-427F07BE8D7F}">
          <xlmsforms:question id="r5f1093141b0b4a148cef4be4a38b3429-Score"/>
        </ext>
      </extLst>
    </tableColumn>
    <tableColumn id="20" xr3:uid="{00000000-0010-0000-0000-000014000000}" name="Feedback - Apertura: problema y objetivo " dataDxfId="47">
      <extLst>
        <ext xmlns:xlmsforms="http://schemas.microsoft.com/office/spreadsheetml/2023/msForms" uri="{FCC71383-01E1-4257-9335-427F07BE8D7F}">
          <xlmsforms:question id="r5f1093141b0b4a148cef4be4a38b3429-Comment"/>
        </ext>
      </extLst>
    </tableColumn>
    <tableColumn id="21" xr3:uid="{00000000-0010-0000-0000-000015000000}" name="Metodología (nivel adecuado)" dataDxfId="46">
      <extLst>
        <ext xmlns:xlmsforms="http://schemas.microsoft.com/office/spreadsheetml/2023/msForms" uri="{FCC71383-01E1-4257-9335-427F07BE8D7F}">
          <xlmsforms:question id="r8959f3d974894392a567ff0efd53e0cd"/>
        </ext>
      </extLst>
    </tableColumn>
    <tableColumn id="22" xr3:uid="{00000000-0010-0000-0000-000016000000}" name="Points - Metodología (nivel adecuado)" dataDxfId="45">
      <calculatedColumnFormula>VLOOKUP(TablaCalificaciones[[#This Row],[Metodología (nivel adecuado)]],PESOS!A$16:B$20,2,0)</calculatedColumnFormula>
      <extLst>
        <ext xmlns:xlmsforms="http://schemas.microsoft.com/office/spreadsheetml/2023/msForms" uri="{FCC71383-01E1-4257-9335-427F07BE8D7F}">
          <xlmsforms:question id="r8959f3d974894392a567ff0efd53e0cd-Score"/>
        </ext>
      </extLst>
    </tableColumn>
    <tableColumn id="23" xr3:uid="{00000000-0010-0000-0000-000017000000}" name="Feedback - Metodología (nivel adecuado)" dataDxfId="44">
      <extLst>
        <ext xmlns:xlmsforms="http://schemas.microsoft.com/office/spreadsheetml/2023/msForms" uri="{FCC71383-01E1-4257-9335-427F07BE8D7F}">
          <xlmsforms:question id="r8959f3d974894392a567ff0efd53e0cd-Comment"/>
        </ext>
      </extLst>
    </tableColumn>
    <tableColumn id="24" xr3:uid="{00000000-0010-0000-0000-000018000000}" name="Resultados y evidencia " dataDxfId="43">
      <extLst>
        <ext xmlns:xlmsforms="http://schemas.microsoft.com/office/spreadsheetml/2023/msForms" uri="{FCC71383-01E1-4257-9335-427F07BE8D7F}">
          <xlmsforms:question id="r0c303777c04c4dd6aa28a544248c94e2"/>
        </ext>
      </extLst>
    </tableColumn>
    <tableColumn id="25" xr3:uid="{00000000-0010-0000-0000-000019000000}" name="Points - Resultados y evidencia " dataDxfId="42">
      <extLst>
        <ext xmlns:xlmsforms="http://schemas.microsoft.com/office/spreadsheetml/2023/msForms" uri="{FCC71383-01E1-4257-9335-427F07BE8D7F}">
          <xlmsforms:question id="r0c303777c04c4dd6aa28a544248c94e2-Score"/>
        </ext>
      </extLst>
    </tableColumn>
    <tableColumn id="26" xr3:uid="{00000000-0010-0000-0000-00001A000000}" name="Feedback - Resultados y evidencia " dataDxfId="41">
      <extLst>
        <ext xmlns:xlmsforms="http://schemas.microsoft.com/office/spreadsheetml/2023/msForms" uri="{FCC71383-01E1-4257-9335-427F07BE8D7F}">
          <xlmsforms:question id="r0c303777c04c4dd6aa28a544248c94e2-Comment"/>
        </ext>
      </extLst>
    </tableColumn>
    <tableColumn id="27" xr3:uid="{00000000-0010-0000-0000-00001B000000}" name="Coherencia y manejo del tiempo" dataDxfId="40">
      <extLst>
        <ext xmlns:xlmsforms="http://schemas.microsoft.com/office/spreadsheetml/2023/msForms" uri="{FCC71383-01E1-4257-9335-427F07BE8D7F}">
          <xlmsforms:question id="ref4353210f3b4a23be299efe99f4898e"/>
        </ext>
      </extLst>
    </tableColumn>
    <tableColumn id="28" xr3:uid="{00000000-0010-0000-0000-00001C000000}" name="Points - Coherencia y manejo del tiempo" dataDxfId="39">
      <extLst>
        <ext xmlns:xlmsforms="http://schemas.microsoft.com/office/spreadsheetml/2023/msForms" uri="{FCC71383-01E1-4257-9335-427F07BE8D7F}">
          <xlmsforms:question id="ref4353210f3b4a23be299efe99f4898e-Score"/>
        </ext>
      </extLst>
    </tableColumn>
    <tableColumn id="29" xr3:uid="{00000000-0010-0000-0000-00001D000000}" name="Feedback - Coherencia y manejo del tiempo" dataDxfId="38">
      <extLst>
        <ext xmlns:xlmsforms="http://schemas.microsoft.com/office/spreadsheetml/2023/msForms" uri="{FCC71383-01E1-4257-9335-427F07BE8D7F}">
          <xlmsforms:question id="ref4353210f3b4a23be299efe99f4898e-Comment"/>
        </ext>
      </extLst>
    </tableColumn>
    <tableColumn id="30" xr3:uid="{00000000-0010-0000-0000-00001E000000}" name="Diapositivas como apoyo" dataDxfId="37">
      <extLst>
        <ext xmlns:xlmsforms="http://schemas.microsoft.com/office/spreadsheetml/2023/msForms" uri="{FCC71383-01E1-4257-9335-427F07BE8D7F}">
          <xlmsforms:question id="rde807cbc258543faaf2061e913742b56"/>
        </ext>
      </extLst>
    </tableColumn>
    <tableColumn id="31" xr3:uid="{00000000-0010-0000-0000-00001F000000}" name="Points - Diapositivas como apoyo" dataDxfId="36">
      <extLst>
        <ext xmlns:xlmsforms="http://schemas.microsoft.com/office/spreadsheetml/2023/msForms" uri="{FCC71383-01E1-4257-9335-427F07BE8D7F}">
          <xlmsforms:question id="rde807cbc258543faaf2061e913742b56-Score"/>
        </ext>
      </extLst>
    </tableColumn>
    <tableColumn id="32" xr3:uid="{00000000-0010-0000-0000-000020000000}" name="Feedback - Diapositivas como apoyo" dataDxfId="35">
      <extLst>
        <ext xmlns:xlmsforms="http://schemas.microsoft.com/office/spreadsheetml/2023/msForms" uri="{FCC71383-01E1-4257-9335-427F07BE8D7F}">
          <xlmsforms:question id="rde807cbc258543faaf2061e913742b56-Comment"/>
        </ext>
      </extLst>
    </tableColumn>
    <tableColumn id="33" xr3:uid="{00000000-0010-0000-0000-000021000000}" name="Respuestas a preguntas" dataDxfId="34">
      <extLst>
        <ext xmlns:xlmsforms="http://schemas.microsoft.com/office/spreadsheetml/2023/msForms" uri="{FCC71383-01E1-4257-9335-427F07BE8D7F}">
          <xlmsforms:question id="r23dcea0a0c444e10bfa6dbfd7ab7ccb2"/>
        </ext>
      </extLst>
    </tableColumn>
    <tableColumn id="34" xr3:uid="{00000000-0010-0000-0000-000022000000}" name="Points - Respuestas a preguntas" dataDxfId="33">
      <extLst>
        <ext xmlns:xlmsforms="http://schemas.microsoft.com/office/spreadsheetml/2023/msForms" uri="{FCC71383-01E1-4257-9335-427F07BE8D7F}">
          <xlmsforms:question id="r23dcea0a0c444e10bfa6dbfd7ab7ccb2-Score"/>
        </ext>
      </extLst>
    </tableColumn>
    <tableColumn id="35" xr3:uid="{00000000-0010-0000-0000-000023000000}" name="Feedback - Respuestas a preguntas" dataDxfId="32">
      <extLst>
        <ext xmlns:xlmsforms="http://schemas.microsoft.com/office/spreadsheetml/2023/msForms" uri="{FCC71383-01E1-4257-9335-427F07BE8D7F}">
          <xlmsforms:question id="r23dcea0a0c444e10bfa6dbfd7ab7ccb2-Comment"/>
        </ext>
      </extLst>
    </tableColumn>
    <tableColumn id="36" xr3:uid="{00000000-0010-0000-0000-000024000000}" name="Cierre: aporte a próximos pasos" dataDxfId="31">
      <extLst>
        <ext xmlns:xlmsforms="http://schemas.microsoft.com/office/spreadsheetml/2023/msForms" uri="{FCC71383-01E1-4257-9335-427F07BE8D7F}">
          <xlmsforms:question id="rb51fc3f41c174188bdfa2db97000d7a0"/>
        </ext>
      </extLst>
    </tableColumn>
    <tableColumn id="37" xr3:uid="{00000000-0010-0000-0000-000025000000}" name="Points - Cierre: aporte a próximos pasos" dataDxfId="30">
      <extLst>
        <ext xmlns:xlmsforms="http://schemas.microsoft.com/office/spreadsheetml/2023/msForms" uri="{FCC71383-01E1-4257-9335-427F07BE8D7F}">
          <xlmsforms:question id="rb51fc3f41c174188bdfa2db97000d7a0-Score"/>
        </ext>
      </extLst>
    </tableColumn>
    <tableColumn id="38" xr3:uid="{00000000-0010-0000-0000-000026000000}" name="Feedback - Cierre: aporte a próximos pasos" dataDxfId="29">
      <extLst>
        <ext xmlns:xlmsforms="http://schemas.microsoft.com/office/spreadsheetml/2023/msForms" uri="{FCC71383-01E1-4257-9335-427F07BE8D7F}">
          <xlmsforms:question id="rb51fc3f41c174188bdfa2db97000d7a0-Comment"/>
        </ext>
      </extLst>
    </tableColumn>
    <tableColumn id="39" xr3:uid="{76D399E6-4B34-424F-88E6-2035C78A5867}" name="PUNTAJE APERTURA" dataDxfId="28"/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kk1aWB3bu0u1rMUpnjiU4yiYTArpsiBIshosF_IzSo1UMjI0WUFOVjg1RjRTSVo1MERBUEc4NzRJMy4u" isFormConnected="1" maxResponseId="619" latestEventMarker="22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totalScore</xlmsforms:syncedQuestionId>
        <xlmsforms:syncedQuestionId>quizFeedback</xlmsforms:syncedQuestionId>
        <xlmsforms:syncedQuestionId>releaseDate</xlmsforms:syncedQuestionId>
        <xlmsforms:syncedQuestionId>r4f64cdca7c6345b0b542e274fe5f0ba8</xlmsforms:syncedQuestionId>
        <xlmsforms:syncedQuestionId>r4f64cdca7c6345b0b542e274fe5f0ba8-Score</xlmsforms:syncedQuestionId>
        <xlmsforms:syncedQuestionId>r4f64cdca7c6345b0b542e274fe5f0ba8-Comment</xlmsforms:syncedQuestionId>
        <xlmsforms:syncedQuestionId>rac6db3ff2e8241409f65902d61d9c1e8</xlmsforms:syncedQuestionId>
        <xlmsforms:syncedQuestionId>rac6db3ff2e8241409f65902d61d9c1e8-Score</xlmsforms:syncedQuestionId>
        <xlmsforms:syncedQuestionId>rac6db3ff2e8241409f65902d61d9c1e8-Comment</xlmsforms:syncedQuestionId>
        <xlmsforms:syncedQuestionId>r1269485cec99451391b492d9609b760f</xlmsforms:syncedQuestionId>
        <xlmsforms:syncedQuestionId>r1269485cec99451391b492d9609b760f-Score</xlmsforms:syncedQuestionId>
        <xlmsforms:syncedQuestionId>r1269485cec99451391b492d9609b760f-Comment</xlmsforms:syncedQuestionId>
        <xlmsforms:syncedQuestionId>r5f1093141b0b4a148cef4be4a38b3429</xlmsforms:syncedQuestionId>
        <xlmsforms:syncedQuestionId>r5f1093141b0b4a148cef4be4a38b3429-Score</xlmsforms:syncedQuestionId>
        <xlmsforms:syncedQuestionId>r5f1093141b0b4a148cef4be4a38b3429-Comment</xlmsforms:syncedQuestionId>
        <xlmsforms:syncedQuestionId>r8959f3d974894392a567ff0efd53e0cd</xlmsforms:syncedQuestionId>
        <xlmsforms:syncedQuestionId>r8959f3d974894392a567ff0efd53e0cd-Score</xlmsforms:syncedQuestionId>
        <xlmsforms:syncedQuestionId>r8959f3d974894392a567ff0efd53e0cd-Comment</xlmsforms:syncedQuestionId>
        <xlmsforms:syncedQuestionId>r0c303777c04c4dd6aa28a544248c94e2</xlmsforms:syncedQuestionId>
        <xlmsforms:syncedQuestionId>r0c303777c04c4dd6aa28a544248c94e2-Score</xlmsforms:syncedQuestionId>
        <xlmsforms:syncedQuestionId>r0c303777c04c4dd6aa28a544248c94e2-Comment</xlmsforms:syncedQuestionId>
        <xlmsforms:syncedQuestionId>ref4353210f3b4a23be299efe99f4898e</xlmsforms:syncedQuestionId>
        <xlmsforms:syncedQuestionId>ref4353210f3b4a23be299efe99f4898e-Score</xlmsforms:syncedQuestionId>
        <xlmsforms:syncedQuestionId>ref4353210f3b4a23be299efe99f4898e-Comment</xlmsforms:syncedQuestionId>
        <xlmsforms:syncedQuestionId>rde807cbc258543faaf2061e913742b56</xlmsforms:syncedQuestionId>
        <xlmsforms:syncedQuestionId>rde807cbc258543faaf2061e913742b56-Score</xlmsforms:syncedQuestionId>
        <xlmsforms:syncedQuestionId>rde807cbc258543faaf2061e913742b56-Comment</xlmsforms:syncedQuestionId>
        <xlmsforms:syncedQuestionId>r23dcea0a0c444e10bfa6dbfd7ab7ccb2</xlmsforms:syncedQuestionId>
        <xlmsforms:syncedQuestionId>r23dcea0a0c444e10bfa6dbfd7ab7ccb2-Score</xlmsforms:syncedQuestionId>
        <xlmsforms:syncedQuestionId>r23dcea0a0c444e10bfa6dbfd7ab7ccb2-Comment</xlmsforms:syncedQuestionId>
        <xlmsforms:syncedQuestionId>rb51fc3f41c174188bdfa2db97000d7a0</xlmsforms:syncedQuestionId>
        <xlmsforms:syncedQuestionId>rb51fc3f41c174188bdfa2db97000d7a0-Score</xlmsforms:syncedQuestionId>
        <xlmsforms:syncedQuestionId>rb51fc3f41c174188bdfa2db97000d7a0-Comment</xlmsforms:syncedQuestionId>
      </xlmsforms:msForm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C5B8C1-17A0-41DA-8F71-A34DBF7F14B2}" name="TablaPesos" displayName="TablaPesos" ref="A1:C6" totalsRowShown="0" headerRowDxfId="27" headerRowBorderDxfId="26" tableBorderDxfId="25" totalsRowBorderDxfId="24">
  <autoFilter ref="A1:C6" xr:uid="{6EC5B8C1-17A0-41DA-8F71-A34DBF7F14B2}"/>
  <tableColumns count="3">
    <tableColumn id="1" xr3:uid="{48BDE1D4-420F-4AEA-A8ED-13FD67B2F746}" name="Nivel (A)" dataDxfId="23"/>
    <tableColumn id="2" xr3:uid="{D4140E19-5589-484A-824E-8EF9A4586755}" name="Puntos_20 (B)" dataDxfId="22"/>
    <tableColumn id="3" xr3:uid="{29503A08-DDDE-44E4-ADE7-ED324F40DDE5}" name="Puntos_10 (C)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F25C6EB-80FF-5A42-95CF-64BE9D5B0A81}" name="Tabla8" displayName="Tabla8" ref="A3:AM5" totalsRowShown="0">
  <autoFilter ref="A3:AM5" xr:uid="{8F25C6EB-80FF-5A42-95CF-64BE9D5B0A81}"/>
  <tableColumns count="39">
    <tableColumn id="1" xr3:uid="{42AB1A35-0C28-6C45-9027-DEC1EC3E87CF}" name="Id"/>
    <tableColumn id="2" xr3:uid="{000B66C0-9972-AB45-B1FE-6912084587CC}" name="Start time" dataDxfId="20"/>
    <tableColumn id="3" xr3:uid="{C7F0C10F-5143-5546-A7C3-C71A77969AC6}" name="Completion time" dataDxfId="19"/>
    <tableColumn id="4" xr3:uid="{AD0C5641-0943-7149-94F8-38EE4BBCF129}" name="Email"/>
    <tableColumn id="5" xr3:uid="{D1BE8AD5-3C3B-9C49-BC0F-27A06487CA4C}" name="Name"/>
    <tableColumn id="6" xr3:uid="{DC35AF1E-B443-0945-AC46-A804F1FAB405}" name="Total points"/>
    <tableColumn id="7" xr3:uid="{8A50998B-3CC1-334E-9310-A0D20F00FB27}" name="Quiz feedback"/>
    <tableColumn id="8" xr3:uid="{00D1A081-B516-B242-892F-7ADEE294D6AD}" name="Grade posted time"/>
    <tableColumn id="9" xr3:uid="{99CFFF47-B645-5C4A-A32C-711192D9BB16}" name="Seleccione el día de la defensa"/>
    <tableColumn id="10" xr3:uid="{5DF5662E-DE55-8348-AD18-0324F5E63578}" name="Points - Seleccione el día de la defensa"/>
    <tableColumn id="11" xr3:uid="{2ED0FD6B-3D32-834C-B503-9CCAD5CE4882}" name="Feedback - Seleccione el día de la defensa"/>
    <tableColumn id="12" xr3:uid="{970F1D29-1217-0147-9953-D18A8D1EDDA1}" name="Seleccione su nombre (Evaluador)"/>
    <tableColumn id="13" xr3:uid="{A5C8F11D-9B55-4B4E-B5A9-84D3B24FCFD3}" name="Control de duplicados"/>
    <tableColumn id="14" xr3:uid="{D11B3E15-3711-8A42-936D-1D45BED49EF1}" name="Feedback - Seleccione su nombre (Evaluador)"/>
    <tableColumn id="15" xr3:uid="{66BE74AE-5A92-8442-B091-3B301343363B}" name="Seleccione el nombre del Estudiante"/>
    <tableColumn id="16" xr3:uid="{643387D6-824D-9C4D-927A-157CAF8D92B7}" name="Points - Seleccione el nombre del Estudiante"/>
    <tableColumn id="17" xr3:uid="{6BDE67C0-56D8-D442-BA4D-028381554376}" name="Feedback - Seleccione el nombre del Estudiante"/>
    <tableColumn id="18" xr3:uid="{23438B75-E1DD-E14B-B4C5-C450FC8AD62D}" name="Apertura: problema y objetivo "/>
    <tableColumn id="19" xr3:uid="{29B82E56-660C-6C47-8E59-97307F47475C}" name="Points - Apertura: problema y objetivo "/>
    <tableColumn id="20" xr3:uid="{188F260A-415D-7145-A186-15CD5A5B0066}" name="Feedback - Apertura: problema y objetivo "/>
    <tableColumn id="21" xr3:uid="{E866956D-33A4-F84A-B3A0-C85844BE9D4F}" name="Metodología (nivel adecuado)"/>
    <tableColumn id="22" xr3:uid="{65937EF6-5895-E249-9E30-BF449B45BF1A}" name="Points - Metodología (nivel adecuado)"/>
    <tableColumn id="23" xr3:uid="{A5B5A487-9E4D-CE43-9123-3A17D75CE9CE}" name="Feedback - Metodología (nivel adecuado)"/>
    <tableColumn id="24" xr3:uid="{7950530A-E9EA-E94F-B4CA-4D06E68104B5}" name="Resultados y evidencia "/>
    <tableColumn id="25" xr3:uid="{43D2EC3F-91F8-704D-B6A0-729B35486546}" name="Points - Resultados y evidencia "/>
    <tableColumn id="26" xr3:uid="{89B6FBE9-A9B2-224C-B824-06692E84892B}" name="Feedback - Resultados y evidencia "/>
    <tableColumn id="27" xr3:uid="{154354D8-F4B2-3E4D-B71B-CAB1BFFEAD7A}" name="Coherencia y manejo del tiempo"/>
    <tableColumn id="28" xr3:uid="{2F046F51-ABF3-8C4E-B578-B4471BD6A4E1}" name="Points - Coherencia y manejo del tiempo"/>
    <tableColumn id="29" xr3:uid="{77C7CC86-70FF-D04D-8848-0500794E11E4}" name="Feedback - Coherencia y manejo del tiempo"/>
    <tableColumn id="30" xr3:uid="{5B871464-F8CF-A04F-BA26-B98827DFD521}" name="Diapositivas como apoyo"/>
    <tableColumn id="31" xr3:uid="{E5BE792C-A8E4-EE4D-B598-AD0249AABF7E}" name="Points - Diapositivas como apoyo"/>
    <tableColumn id="32" xr3:uid="{D4DC2B3F-3976-9949-8016-373E9AF98336}" name="Feedback - Diapositivas como apoyo"/>
    <tableColumn id="33" xr3:uid="{DF90B162-F00B-DE42-9791-7C5C83D8182A}" name="Respuestas a preguntas"/>
    <tableColumn id="34" xr3:uid="{3F8415B0-96CE-9947-A81C-9825E1C07F67}" name="Points - Respuestas a preguntas"/>
    <tableColumn id="35" xr3:uid="{84C08252-F46E-5143-8FEB-392F3A631A7D}" name="Feedback - Respuestas a preguntas"/>
    <tableColumn id="36" xr3:uid="{85AF9FEC-CA25-8A40-9939-88692BF9FF77}" name="Cierre: aporte a próximos pasos"/>
    <tableColumn id="37" xr3:uid="{6A479058-4B80-034B-B8B5-12C5EEA3D6B1}" name="Points - Cierre: aporte a próximos pasos"/>
    <tableColumn id="38" xr3:uid="{F7756916-AE66-D744-A5E6-B750242497D3}" name="Feedback - Cierre: aporte a próximos pasos"/>
    <tableColumn id="39" xr3:uid="{1640AA91-3E55-1B49-95CF-511EBC1A792B}" name="PUNTAJE APERTU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14"/>
  <sheetViews>
    <sheetView topLeftCell="AF556" zoomScale="123" zoomScaleNormal="123" workbookViewId="0">
      <selection activeCell="AK592" sqref="AK592:AK601"/>
    </sheetView>
  </sheetViews>
  <sheetFormatPr baseColWidth="10" defaultColWidth="8.83203125" defaultRowHeight="15"/>
  <cols>
    <col min="1" max="4" width="20" bestFit="1" customWidth="1"/>
    <col min="5" max="5" width="30" bestFit="1" customWidth="1"/>
    <col min="6" max="11" width="20" bestFit="1" customWidth="1"/>
    <col min="12" max="12" width="30" bestFit="1" customWidth="1"/>
    <col min="13" max="13" width="59.5" style="26" bestFit="1" customWidth="1"/>
    <col min="14" max="14" width="20" bestFit="1" customWidth="1"/>
    <col min="15" max="15" width="34" bestFit="1" customWidth="1"/>
    <col min="16" max="17" width="20" bestFit="1" customWidth="1"/>
    <col min="18" max="18" width="27.5" bestFit="1" customWidth="1"/>
    <col min="19" max="19" width="20" style="22" bestFit="1" customWidth="1"/>
    <col min="20" max="20" width="20" bestFit="1" customWidth="1"/>
    <col min="21" max="21" width="26.83203125" bestFit="1" customWidth="1"/>
    <col min="22" max="22" width="20" style="22" bestFit="1" customWidth="1"/>
    <col min="23" max="23" width="20" bestFit="1" customWidth="1"/>
    <col min="24" max="24" width="21.5" bestFit="1" customWidth="1"/>
    <col min="25" max="25" width="20" style="22" bestFit="1" customWidth="1"/>
    <col min="26" max="26" width="20" bestFit="1" customWidth="1"/>
    <col min="27" max="27" width="29.1640625" bestFit="1" customWidth="1"/>
    <col min="28" max="28" width="20" style="22" bestFit="1" customWidth="1"/>
    <col min="29" max="29" width="20" bestFit="1" customWidth="1"/>
    <col min="30" max="30" width="19.83203125" customWidth="1"/>
    <col min="31" max="31" width="20" style="22" bestFit="1" customWidth="1"/>
    <col min="32" max="32" width="20" bestFit="1" customWidth="1"/>
    <col min="33" max="33" width="21.5" bestFit="1" customWidth="1"/>
    <col min="34" max="34" width="20" style="22" bestFit="1" customWidth="1"/>
    <col min="35" max="35" width="20" bestFit="1" customWidth="1"/>
    <col min="36" max="36" width="28.1640625" bestFit="1" customWidth="1"/>
    <col min="37" max="37" width="20" style="22" bestFit="1" customWidth="1"/>
    <col min="38" max="38" width="20" bestFit="1" customWidth="1"/>
    <col min="39" max="39" width="19.1640625" bestFit="1" customWidth="1"/>
  </cols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6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s="2">
        <v>46133.320081018515</v>
      </c>
      <c r="C2" s="2">
        <v>46133.370752314811</v>
      </c>
      <c r="D2" t="s">
        <v>39</v>
      </c>
      <c r="E2" t="s">
        <v>40</v>
      </c>
      <c r="H2" s="2"/>
      <c r="I2" t="s">
        <v>41</v>
      </c>
      <c r="J2">
        <v>0</v>
      </c>
      <c r="L2" t="s">
        <v>42</v>
      </c>
      <c r="M2" s="26" t="str">
        <f>CONCATENATE(TablaCalificaciones[[#This Row],[Seleccione su nombre (Evaluador)]],TablaCalificaciones[[#This Row],[Seleccione el nombre del Estudiante]])</f>
        <v>Patricio David PonceSolano De La Sala Aldas Paúl Fernando</v>
      </c>
      <c r="O2" t="s">
        <v>43</v>
      </c>
      <c r="P2">
        <v>0</v>
      </c>
      <c r="R2" t="s">
        <v>44</v>
      </c>
      <c r="S2" s="22">
        <f>VLOOKUP(TablaCalificaciones[[#This Row],[Apertura: problema y objetivo ]],PESOS!A$16:B$20,2,0)</f>
        <v>20</v>
      </c>
      <c r="U2" t="s">
        <v>44</v>
      </c>
      <c r="V2" s="22">
        <f>VLOOKUP(TablaCalificaciones[[#This Row],[Metodología (nivel adecuado)]],PESOS!A$16:B$20,2,0)</f>
        <v>20</v>
      </c>
      <c r="X2" t="s">
        <v>44</v>
      </c>
      <c r="Y2" s="22">
        <f>VLOOKUP(TablaCalificaciones[[#This Row],[Resultados y evidencia ]],PESOS!A$16:B$20,2,0)</f>
        <v>20</v>
      </c>
      <c r="AA2" t="s">
        <v>45</v>
      </c>
      <c r="AB2" s="22">
        <f>VLOOKUP(TablaCalificaciones[[#This Row],[Coherencia y manejo del tiempo]],PESOS!A$25:B$29,2,0)</f>
        <v>10</v>
      </c>
      <c r="AD2" t="s">
        <v>45</v>
      </c>
      <c r="AE2" s="22">
        <f>VLOOKUP(TablaCalificaciones[[#This Row],[Diapositivas como apoyo]],PESOS!A$25:B$29,2,0)</f>
        <v>10</v>
      </c>
      <c r="AG2" t="s">
        <v>45</v>
      </c>
      <c r="AH2" s="22">
        <f>VLOOKUP(TablaCalificaciones[[#This Row],[Respuestas a preguntas]],PESOS!A$25:B$29,2,0)</f>
        <v>10</v>
      </c>
      <c r="AJ2" t="s">
        <v>45</v>
      </c>
      <c r="AK2" s="22">
        <f>VLOOKUP(TablaCalificaciones[[#This Row],[Cierre: aporte a próximos pasos]],PESOS!A$25:B$29,2,0)</f>
        <v>10</v>
      </c>
      <c r="AM2" s="1"/>
    </row>
    <row r="3" spans="1:39">
      <c r="A3">
        <v>2</v>
      </c>
      <c r="B3" s="2">
        <v>46133.373865740738</v>
      </c>
      <c r="C3" s="2">
        <v>46133.377280092594</v>
      </c>
      <c r="D3" t="s">
        <v>46</v>
      </c>
      <c r="E3" t="s">
        <v>47</v>
      </c>
      <c r="H3" s="2"/>
      <c r="I3" t="s">
        <v>41</v>
      </c>
      <c r="J3">
        <v>0</v>
      </c>
      <c r="L3" t="s">
        <v>48</v>
      </c>
      <c r="M3" s="26" t="str">
        <f>CONCATENATE(TablaCalificaciones[[#This Row],[Seleccione su nombre (Evaluador)]],TablaCalificaciones[[#This Row],[Seleccione el nombre del Estudiante]])</f>
        <v>Bernarda Sandoval RomoRojas González María Fernanda</v>
      </c>
      <c r="O3" t="s">
        <v>49</v>
      </c>
      <c r="P3">
        <v>0</v>
      </c>
      <c r="R3" t="s">
        <v>44</v>
      </c>
      <c r="S3" s="22">
        <f>VLOOKUP(TablaCalificaciones[[#This Row],[Apertura: problema y objetivo ]],PESOS!A$16:B$20,2,0)</f>
        <v>20</v>
      </c>
      <c r="U3" t="s">
        <v>44</v>
      </c>
      <c r="V3" s="22">
        <f>VLOOKUP(TablaCalificaciones[[#This Row],[Metodología (nivel adecuado)]],PESOS!A$16:B$20,2,0)</f>
        <v>20</v>
      </c>
      <c r="X3" t="s">
        <v>50</v>
      </c>
      <c r="Y3" s="22">
        <f>VLOOKUP(TablaCalificaciones[[#This Row],[Resultados y evidencia ]],PESOS!A$16:B$20,2,0)</f>
        <v>16</v>
      </c>
      <c r="AA3" t="s">
        <v>45</v>
      </c>
      <c r="AB3" s="22">
        <f>VLOOKUP(TablaCalificaciones[[#This Row],[Coherencia y manejo del tiempo]],PESOS!A$25:B$29,2,0)</f>
        <v>10</v>
      </c>
      <c r="AD3" t="s">
        <v>45</v>
      </c>
      <c r="AE3" s="22">
        <f>VLOOKUP(TablaCalificaciones[[#This Row],[Diapositivas como apoyo]],PESOS!A$25:B$29,2,0)</f>
        <v>10</v>
      </c>
      <c r="AG3" t="s">
        <v>45</v>
      </c>
      <c r="AH3" s="22">
        <f>VLOOKUP(TablaCalificaciones[[#This Row],[Respuestas a preguntas]],PESOS!A$25:B$29,2,0)</f>
        <v>10</v>
      </c>
      <c r="AJ3" t="s">
        <v>51</v>
      </c>
      <c r="AK3" s="22">
        <f>VLOOKUP(TablaCalificaciones[[#This Row],[Cierre: aporte a próximos pasos]],PESOS!A$25:B$29,2,0)</f>
        <v>8</v>
      </c>
      <c r="AM3" s="1"/>
    </row>
    <row r="4" spans="1:39">
      <c r="A4">
        <v>3</v>
      </c>
      <c r="B4" s="2">
        <v>46133.377314814818</v>
      </c>
      <c r="C4" s="2">
        <v>46133.378344907411</v>
      </c>
      <c r="D4" t="s">
        <v>46</v>
      </c>
      <c r="E4" t="s">
        <v>47</v>
      </c>
      <c r="H4" s="2"/>
      <c r="I4" t="s">
        <v>41</v>
      </c>
      <c r="J4">
        <v>0</v>
      </c>
      <c r="L4" t="s">
        <v>48</v>
      </c>
      <c r="M4" s="26" t="str">
        <f>CONCATENATE(TablaCalificaciones[[#This Row],[Seleccione su nombre (Evaluador)]],TablaCalificaciones[[#This Row],[Seleccione el nombre del Estudiante]])</f>
        <v>Bernarda Sandoval RomoGarate Pazmiño Víctor Adrián</v>
      </c>
      <c r="O4" t="s">
        <v>52</v>
      </c>
      <c r="P4">
        <v>0</v>
      </c>
      <c r="R4" t="s">
        <v>44</v>
      </c>
      <c r="S4" s="22">
        <f>VLOOKUP(TablaCalificaciones[[#This Row],[Apertura: problema y objetivo ]],PESOS!A$16:B$20,2,0)</f>
        <v>20</v>
      </c>
      <c r="U4" t="s">
        <v>44</v>
      </c>
      <c r="V4" s="22">
        <f>VLOOKUP(TablaCalificaciones[[#This Row],[Metodología (nivel adecuado)]],PESOS!A$16:B$20,2,0)</f>
        <v>20</v>
      </c>
      <c r="X4" t="s">
        <v>50</v>
      </c>
      <c r="Y4" s="22">
        <f>VLOOKUP(TablaCalificaciones[[#This Row],[Resultados y evidencia ]],PESOS!A$16:B$20,2,0)</f>
        <v>16</v>
      </c>
      <c r="AA4" t="s">
        <v>45</v>
      </c>
      <c r="AB4" s="22">
        <f>VLOOKUP(TablaCalificaciones[[#This Row],[Coherencia y manejo del tiempo]],PESOS!A$25:B$29,2,0)</f>
        <v>10</v>
      </c>
      <c r="AD4" t="s">
        <v>45</v>
      </c>
      <c r="AE4" s="22">
        <f>VLOOKUP(TablaCalificaciones[[#This Row],[Diapositivas como apoyo]],PESOS!A$25:B$29,2,0)</f>
        <v>10</v>
      </c>
      <c r="AG4" t="s">
        <v>45</v>
      </c>
      <c r="AH4" s="22">
        <f>VLOOKUP(TablaCalificaciones[[#This Row],[Respuestas a preguntas]],PESOS!A$25:B$29,2,0)</f>
        <v>10</v>
      </c>
      <c r="AJ4" t="s">
        <v>51</v>
      </c>
      <c r="AK4" s="22">
        <f>VLOOKUP(TablaCalificaciones[[#This Row],[Cierre: aporte a próximos pasos]],PESOS!A$25:B$29,2,0)</f>
        <v>8</v>
      </c>
      <c r="AM4" s="1"/>
    </row>
    <row r="5" spans="1:39">
      <c r="A5">
        <v>4</v>
      </c>
      <c r="B5" s="2">
        <v>46133.378379629627</v>
      </c>
      <c r="C5" s="2">
        <v>46133.379201388889</v>
      </c>
      <c r="D5" t="s">
        <v>46</v>
      </c>
      <c r="E5" t="s">
        <v>47</v>
      </c>
      <c r="H5" s="2"/>
      <c r="I5" t="s">
        <v>41</v>
      </c>
      <c r="J5">
        <v>0</v>
      </c>
      <c r="L5" t="s">
        <v>48</v>
      </c>
      <c r="M5" s="26" t="str">
        <f>CONCATENATE(TablaCalificaciones[[#This Row],[Seleccione su nombre (Evaluador)]],TablaCalificaciones[[#This Row],[Seleccione el nombre del Estudiante]])</f>
        <v>Bernarda Sandoval RomoRueda Bravo Erick Josué</v>
      </c>
      <c r="O5" t="s">
        <v>53</v>
      </c>
      <c r="P5">
        <v>0</v>
      </c>
      <c r="R5" t="s">
        <v>44</v>
      </c>
      <c r="S5" s="22">
        <f>VLOOKUP(TablaCalificaciones[[#This Row],[Apertura: problema y objetivo ]],PESOS!A$16:B$20,2,0)</f>
        <v>20</v>
      </c>
      <c r="U5" t="s">
        <v>44</v>
      </c>
      <c r="V5" s="22">
        <f>VLOOKUP(TablaCalificaciones[[#This Row],[Metodología (nivel adecuado)]],PESOS!A$16:B$20,2,0)</f>
        <v>20</v>
      </c>
      <c r="X5" t="s">
        <v>50</v>
      </c>
      <c r="Y5" s="22">
        <f>VLOOKUP(TablaCalificaciones[[#This Row],[Resultados y evidencia ]],PESOS!A$16:B$20,2,0)</f>
        <v>16</v>
      </c>
      <c r="AA5" t="s">
        <v>45</v>
      </c>
      <c r="AB5" s="22">
        <f>VLOOKUP(TablaCalificaciones[[#This Row],[Coherencia y manejo del tiempo]],PESOS!A$25:B$29,2,0)</f>
        <v>10</v>
      </c>
      <c r="AD5" t="s">
        <v>45</v>
      </c>
      <c r="AE5" s="22">
        <f>VLOOKUP(TablaCalificaciones[[#This Row],[Diapositivas como apoyo]],PESOS!A$25:B$29,2,0)</f>
        <v>10</v>
      </c>
      <c r="AG5" t="s">
        <v>45</v>
      </c>
      <c r="AH5" s="22">
        <f>VLOOKUP(TablaCalificaciones[[#This Row],[Respuestas a preguntas]],PESOS!A$25:B$29,2,0)</f>
        <v>10</v>
      </c>
      <c r="AJ5" t="s">
        <v>51</v>
      </c>
      <c r="AK5" s="22">
        <f>VLOOKUP(TablaCalificaciones[[#This Row],[Cierre: aporte a próximos pasos]],PESOS!A$25:B$29,2,0)</f>
        <v>8</v>
      </c>
      <c r="AM5" s="1"/>
    </row>
    <row r="6" spans="1:39">
      <c r="A6">
        <v>5</v>
      </c>
      <c r="B6" s="2">
        <v>46133.383333333331</v>
      </c>
      <c r="C6" s="2">
        <v>46133.384560185186</v>
      </c>
      <c r="D6" t="s">
        <v>54</v>
      </c>
      <c r="E6" t="s">
        <v>55</v>
      </c>
      <c r="H6" s="2"/>
      <c r="I6" t="s">
        <v>41</v>
      </c>
      <c r="J6">
        <v>0</v>
      </c>
      <c r="L6" t="s">
        <v>56</v>
      </c>
      <c r="M6" s="26" t="str">
        <f>CONCATENATE(TablaCalificaciones[[#This Row],[Seleccione su nombre (Evaluador)]],TablaCalificaciones[[#This Row],[Seleccione el nombre del Estudiante]])</f>
        <v>Marco Antonio Galarza CastilloCalderón Tuárez Diana Alejandra</v>
      </c>
      <c r="O6" t="s">
        <v>57</v>
      </c>
      <c r="P6">
        <v>0</v>
      </c>
      <c r="R6" t="s">
        <v>44</v>
      </c>
      <c r="S6" s="22">
        <f>VLOOKUP(TablaCalificaciones[[#This Row],[Apertura: problema y objetivo ]],PESOS!A$16:B$20,2,0)</f>
        <v>20</v>
      </c>
      <c r="U6" t="s">
        <v>44</v>
      </c>
      <c r="V6" s="22">
        <f>VLOOKUP(TablaCalificaciones[[#This Row],[Metodología (nivel adecuado)]],PESOS!A$16:B$20,2,0)</f>
        <v>20</v>
      </c>
      <c r="X6" t="s">
        <v>44</v>
      </c>
      <c r="Y6" s="22">
        <f>VLOOKUP(TablaCalificaciones[[#This Row],[Resultados y evidencia ]],PESOS!A$16:B$20,2,0)</f>
        <v>20</v>
      </c>
      <c r="AA6" t="s">
        <v>51</v>
      </c>
      <c r="AB6" s="22">
        <f>VLOOKUP(TablaCalificaciones[[#This Row],[Coherencia y manejo del tiempo]],PESOS!A$25:B$29,2,0)</f>
        <v>8</v>
      </c>
      <c r="AD6" t="s">
        <v>45</v>
      </c>
      <c r="AE6" s="22">
        <f>VLOOKUP(TablaCalificaciones[[#This Row],[Diapositivas como apoyo]],PESOS!A$25:B$29,2,0)</f>
        <v>10</v>
      </c>
      <c r="AG6" t="s">
        <v>51</v>
      </c>
      <c r="AH6" s="22">
        <f>VLOOKUP(TablaCalificaciones[[#This Row],[Respuestas a preguntas]],PESOS!A$25:B$29,2,0)</f>
        <v>8</v>
      </c>
      <c r="AJ6" t="s">
        <v>45</v>
      </c>
      <c r="AK6" s="22">
        <f>VLOOKUP(TablaCalificaciones[[#This Row],[Cierre: aporte a próximos pasos]],PESOS!A$25:B$29,2,0)</f>
        <v>10</v>
      </c>
      <c r="AM6" s="1"/>
    </row>
    <row r="7" spans="1:39">
      <c r="A7">
        <v>6</v>
      </c>
      <c r="B7" s="2">
        <v>46133.384583333333</v>
      </c>
      <c r="C7" s="2">
        <v>46133.385104166664</v>
      </c>
      <c r="D7" t="s">
        <v>54</v>
      </c>
      <c r="E7" t="s">
        <v>55</v>
      </c>
      <c r="H7" s="2"/>
      <c r="I7" t="s">
        <v>41</v>
      </c>
      <c r="J7">
        <v>0</v>
      </c>
      <c r="L7" t="s">
        <v>56</v>
      </c>
      <c r="M7" s="26" t="str">
        <f>CONCATENATE(TablaCalificaciones[[#This Row],[Seleccione su nombre (Evaluador)]],TablaCalificaciones[[#This Row],[Seleccione el nombre del Estudiante]])</f>
        <v>Marco Antonio Galarza CastilloMartínez Porte Carlos Sebastián</v>
      </c>
      <c r="O7" t="s">
        <v>58</v>
      </c>
      <c r="P7">
        <v>0</v>
      </c>
      <c r="R7" t="s">
        <v>44</v>
      </c>
      <c r="S7" s="22">
        <f>VLOOKUP(TablaCalificaciones[[#This Row],[Apertura: problema y objetivo ]],PESOS!A$16:B$20,2,0)</f>
        <v>20</v>
      </c>
      <c r="U7" t="s">
        <v>44</v>
      </c>
      <c r="V7" s="22">
        <f>VLOOKUP(TablaCalificaciones[[#This Row],[Metodología (nivel adecuado)]],PESOS!A$16:B$20,2,0)</f>
        <v>20</v>
      </c>
      <c r="X7" t="s">
        <v>44</v>
      </c>
      <c r="Y7" s="22">
        <f>VLOOKUP(TablaCalificaciones[[#This Row],[Resultados y evidencia ]],PESOS!A$16:B$20,2,0)</f>
        <v>20</v>
      </c>
      <c r="AA7" t="s">
        <v>51</v>
      </c>
      <c r="AB7" s="22">
        <f>VLOOKUP(TablaCalificaciones[[#This Row],[Coherencia y manejo del tiempo]],PESOS!A$25:B$29,2,0)</f>
        <v>8</v>
      </c>
      <c r="AD7" t="s">
        <v>45</v>
      </c>
      <c r="AE7" s="22">
        <f>VLOOKUP(TablaCalificaciones[[#This Row],[Diapositivas como apoyo]],PESOS!A$25:B$29,2,0)</f>
        <v>10</v>
      </c>
      <c r="AG7" t="s">
        <v>51</v>
      </c>
      <c r="AH7" s="22">
        <f>VLOOKUP(TablaCalificaciones[[#This Row],[Respuestas a preguntas]],PESOS!A$25:B$29,2,0)</f>
        <v>8</v>
      </c>
      <c r="AJ7" t="s">
        <v>45</v>
      </c>
      <c r="AK7" s="22">
        <f>VLOOKUP(TablaCalificaciones[[#This Row],[Cierre: aporte a próximos pasos]],PESOS!A$25:B$29,2,0)</f>
        <v>10</v>
      </c>
      <c r="AM7" s="1"/>
    </row>
    <row r="8" spans="1:39">
      <c r="A8">
        <v>7</v>
      </c>
      <c r="B8" s="2">
        <v>46133.385127314818</v>
      </c>
      <c r="C8" s="2">
        <v>46133.385520833333</v>
      </c>
      <c r="D8" t="s">
        <v>54</v>
      </c>
      <c r="E8" t="s">
        <v>55</v>
      </c>
      <c r="H8" s="2"/>
      <c r="I8" t="s">
        <v>41</v>
      </c>
      <c r="J8">
        <v>0</v>
      </c>
      <c r="L8" t="s">
        <v>56</v>
      </c>
      <c r="M8" s="26" t="str">
        <f>CONCATENATE(TablaCalificaciones[[#This Row],[Seleccione su nombre (Evaluador)]],TablaCalificaciones[[#This Row],[Seleccione el nombre del Estudiante]])</f>
        <v>Marco Antonio Galarza CastilloSolano De La Sala Aldas Paúl Fernando</v>
      </c>
      <c r="O8" t="s">
        <v>43</v>
      </c>
      <c r="P8">
        <v>0</v>
      </c>
      <c r="R8" t="s">
        <v>44</v>
      </c>
      <c r="S8" s="22">
        <f>VLOOKUP(TablaCalificaciones[[#This Row],[Apertura: problema y objetivo ]],PESOS!A$16:B$20,2,0)</f>
        <v>20</v>
      </c>
      <c r="U8" t="s">
        <v>44</v>
      </c>
      <c r="V8" s="22">
        <f>VLOOKUP(TablaCalificaciones[[#This Row],[Metodología (nivel adecuado)]],PESOS!A$16:B$20,2,0)</f>
        <v>20</v>
      </c>
      <c r="X8" t="s">
        <v>44</v>
      </c>
      <c r="Y8" s="22">
        <f>VLOOKUP(TablaCalificaciones[[#This Row],[Resultados y evidencia ]],PESOS!A$16:B$20,2,0)</f>
        <v>20</v>
      </c>
      <c r="AA8" t="s">
        <v>51</v>
      </c>
      <c r="AB8" s="22">
        <f>VLOOKUP(TablaCalificaciones[[#This Row],[Coherencia y manejo del tiempo]],PESOS!A$25:B$29,2,0)</f>
        <v>8</v>
      </c>
      <c r="AD8" t="s">
        <v>45</v>
      </c>
      <c r="AE8" s="22">
        <f>VLOOKUP(TablaCalificaciones[[#This Row],[Diapositivas como apoyo]],PESOS!A$25:B$29,2,0)</f>
        <v>10</v>
      </c>
      <c r="AG8" t="s">
        <v>45</v>
      </c>
      <c r="AH8" s="22">
        <f>VLOOKUP(TablaCalificaciones[[#This Row],[Respuestas a preguntas]],PESOS!A$25:B$29,2,0)</f>
        <v>10</v>
      </c>
      <c r="AJ8" t="s">
        <v>45</v>
      </c>
      <c r="AK8" s="22">
        <f>VLOOKUP(TablaCalificaciones[[#This Row],[Cierre: aporte a próximos pasos]],PESOS!A$25:B$29,2,0)</f>
        <v>10</v>
      </c>
      <c r="AM8" s="1"/>
    </row>
    <row r="9" spans="1:39">
      <c r="A9">
        <v>8</v>
      </c>
      <c r="B9" s="2">
        <v>46133.376319444447</v>
      </c>
      <c r="C9" s="2">
        <v>46133.397407407407</v>
      </c>
      <c r="D9" t="s">
        <v>59</v>
      </c>
      <c r="E9" t="s">
        <v>60</v>
      </c>
      <c r="H9" s="2"/>
      <c r="I9" t="s">
        <v>41</v>
      </c>
      <c r="J9">
        <v>0</v>
      </c>
      <c r="L9" t="s">
        <v>60</v>
      </c>
      <c r="M9" s="26" t="str">
        <f>CONCATENATE(TablaCalificaciones[[#This Row],[Seleccione su nombre (Evaluador)]],TablaCalificaciones[[#This Row],[Seleccione el nombre del Estudiante]])</f>
        <v>Santiago Leonardo SolórzanoVinueza Torres Luis Fernando</v>
      </c>
      <c r="O9" t="s">
        <v>61</v>
      </c>
      <c r="P9">
        <v>0</v>
      </c>
      <c r="R9" t="s">
        <v>44</v>
      </c>
      <c r="S9" s="22">
        <f>VLOOKUP(TablaCalificaciones[[#This Row],[Apertura: problema y objetivo ]],PESOS!A$16:B$20,2,0)</f>
        <v>20</v>
      </c>
      <c r="U9" t="s">
        <v>44</v>
      </c>
      <c r="V9" s="22">
        <f>VLOOKUP(TablaCalificaciones[[#This Row],[Metodología (nivel adecuado)]],PESOS!A$16:B$20,2,0)</f>
        <v>20</v>
      </c>
      <c r="X9" t="s">
        <v>44</v>
      </c>
      <c r="Y9" s="22">
        <f>VLOOKUP(TablaCalificaciones[[#This Row],[Resultados y evidencia ]],PESOS!A$16:B$20,2,0)</f>
        <v>20</v>
      </c>
      <c r="AA9" t="s">
        <v>51</v>
      </c>
      <c r="AB9" s="22">
        <f>VLOOKUP(TablaCalificaciones[[#This Row],[Coherencia y manejo del tiempo]],PESOS!A$25:B$29,2,0)</f>
        <v>8</v>
      </c>
      <c r="AD9" t="s">
        <v>51</v>
      </c>
      <c r="AE9" s="22">
        <f>VLOOKUP(TablaCalificaciones[[#This Row],[Diapositivas como apoyo]],PESOS!A$25:B$29,2,0)</f>
        <v>8</v>
      </c>
      <c r="AG9" t="s">
        <v>51</v>
      </c>
      <c r="AH9" s="22">
        <f>VLOOKUP(TablaCalificaciones[[#This Row],[Respuestas a preguntas]],PESOS!A$25:B$29,2,0)</f>
        <v>8</v>
      </c>
      <c r="AJ9" t="s">
        <v>45</v>
      </c>
      <c r="AK9" s="22">
        <f>VLOOKUP(TablaCalificaciones[[#This Row],[Cierre: aporte a próximos pasos]],PESOS!A$25:B$29,2,0)</f>
        <v>10</v>
      </c>
      <c r="AM9" s="1"/>
    </row>
    <row r="10" spans="1:39">
      <c r="A10">
        <v>9</v>
      </c>
      <c r="B10" s="2">
        <v>46133.001944444448</v>
      </c>
      <c r="C10" s="2">
        <v>46133.397453703707</v>
      </c>
      <c r="D10" t="s">
        <v>59</v>
      </c>
      <c r="E10" t="s">
        <v>60</v>
      </c>
      <c r="H10" s="2"/>
      <c r="I10" t="s">
        <v>41</v>
      </c>
      <c r="J10">
        <v>0</v>
      </c>
      <c r="L10" t="s">
        <v>60</v>
      </c>
      <c r="M10" s="26" t="str">
        <f>CONCATENATE(TablaCalificaciones[[#This Row],[Seleccione su nombre (Evaluador)]],TablaCalificaciones[[#This Row],[Seleccione el nombre del Estudiante]])</f>
        <v>Santiago Leonardo SolórzanoRedin Muñoz Juan Sebastián</v>
      </c>
      <c r="O10" t="s">
        <v>62</v>
      </c>
      <c r="P10">
        <v>0</v>
      </c>
      <c r="R10" t="s">
        <v>44</v>
      </c>
      <c r="S10" s="22">
        <f>VLOOKUP(TablaCalificaciones[[#This Row],[Apertura: problema y objetivo ]],PESOS!A$16:B$20,2,0)</f>
        <v>20</v>
      </c>
      <c r="U10" t="s">
        <v>44</v>
      </c>
      <c r="V10" s="22">
        <f>VLOOKUP(TablaCalificaciones[[#This Row],[Metodología (nivel adecuado)]],PESOS!A$16:B$20,2,0)</f>
        <v>20</v>
      </c>
      <c r="X10" t="s">
        <v>44</v>
      </c>
      <c r="Y10" s="22">
        <f>VLOOKUP(TablaCalificaciones[[#This Row],[Resultados y evidencia ]],PESOS!A$16:B$20,2,0)</f>
        <v>20</v>
      </c>
      <c r="AA10" t="s">
        <v>51</v>
      </c>
      <c r="AB10" s="22">
        <f>VLOOKUP(TablaCalificaciones[[#This Row],[Coherencia y manejo del tiempo]],PESOS!A$25:B$29,2,0)</f>
        <v>8</v>
      </c>
      <c r="AD10" t="s">
        <v>51</v>
      </c>
      <c r="AE10" s="22">
        <f>VLOOKUP(TablaCalificaciones[[#This Row],[Diapositivas como apoyo]],PESOS!A$25:B$29,2,0)</f>
        <v>8</v>
      </c>
      <c r="AG10" t="s">
        <v>51</v>
      </c>
      <c r="AH10" s="22">
        <f>VLOOKUP(TablaCalificaciones[[#This Row],[Respuestas a preguntas]],PESOS!A$25:B$29,2,0)</f>
        <v>8</v>
      </c>
      <c r="AJ10" t="s">
        <v>45</v>
      </c>
      <c r="AK10" s="22">
        <f>VLOOKUP(TablaCalificaciones[[#This Row],[Cierre: aporte a próximos pasos]],PESOS!A$25:B$29,2,0)</f>
        <v>10</v>
      </c>
      <c r="AM10" s="1"/>
    </row>
    <row r="11" spans="1:39">
      <c r="A11">
        <v>10</v>
      </c>
      <c r="B11" s="2">
        <v>46133.385555555556</v>
      </c>
      <c r="C11" s="2">
        <v>46133.399710648147</v>
      </c>
      <c r="D11" t="s">
        <v>54</v>
      </c>
      <c r="E11" t="s">
        <v>55</v>
      </c>
      <c r="H11" s="2"/>
      <c r="I11" t="s">
        <v>41</v>
      </c>
      <c r="J11">
        <v>0</v>
      </c>
      <c r="L11" t="s">
        <v>56</v>
      </c>
      <c r="M11" s="26" t="str">
        <f>CONCATENATE(TablaCalificaciones[[#This Row],[Seleccione su nombre (Evaluador)]],TablaCalificaciones[[#This Row],[Seleccione el nombre del Estudiante]])</f>
        <v>Marco Antonio Galarza CastilloFernández Lazcano María José</v>
      </c>
      <c r="O11" t="s">
        <v>63</v>
      </c>
      <c r="P11">
        <v>0</v>
      </c>
      <c r="R11" t="s">
        <v>44</v>
      </c>
      <c r="S11" s="22">
        <f>VLOOKUP(TablaCalificaciones[[#This Row],[Apertura: problema y objetivo ]],PESOS!A$16:B$20,2,0)</f>
        <v>20</v>
      </c>
      <c r="U11" t="s">
        <v>44</v>
      </c>
      <c r="V11" s="22">
        <f>VLOOKUP(TablaCalificaciones[[#This Row],[Metodología (nivel adecuado)]],PESOS!A$16:B$20,2,0)</f>
        <v>20</v>
      </c>
      <c r="X11" t="s">
        <v>44</v>
      </c>
      <c r="Y11" s="22">
        <f>VLOOKUP(TablaCalificaciones[[#This Row],[Resultados y evidencia ]],PESOS!A$16:B$20,2,0)</f>
        <v>20</v>
      </c>
      <c r="AA11" t="s">
        <v>45</v>
      </c>
      <c r="AB11" s="22">
        <f>VLOOKUP(TablaCalificaciones[[#This Row],[Coherencia y manejo del tiempo]],PESOS!A$25:B$29,2,0)</f>
        <v>10</v>
      </c>
      <c r="AD11" t="s">
        <v>45</v>
      </c>
      <c r="AE11" s="22">
        <f>VLOOKUP(TablaCalificaciones[[#This Row],[Diapositivas como apoyo]],PESOS!A$25:B$29,2,0)</f>
        <v>10</v>
      </c>
      <c r="AG11" t="s">
        <v>45</v>
      </c>
      <c r="AH11" s="22">
        <f>VLOOKUP(TablaCalificaciones[[#This Row],[Respuestas a preguntas]],PESOS!A$25:B$29,2,0)</f>
        <v>10</v>
      </c>
      <c r="AJ11" t="s">
        <v>45</v>
      </c>
      <c r="AK11" s="22">
        <f>VLOOKUP(TablaCalificaciones[[#This Row],[Cierre: aporte a próximos pasos]],PESOS!A$25:B$29,2,0)</f>
        <v>10</v>
      </c>
      <c r="AM11" s="1"/>
    </row>
    <row r="12" spans="1:39">
      <c r="A12">
        <v>11</v>
      </c>
      <c r="B12" s="2">
        <v>46133.399733796294</v>
      </c>
      <c r="C12" s="2">
        <v>46133.400046296294</v>
      </c>
      <c r="D12" t="s">
        <v>54</v>
      </c>
      <c r="E12" t="s">
        <v>55</v>
      </c>
      <c r="H12" s="2"/>
      <c r="I12" t="s">
        <v>41</v>
      </c>
      <c r="J12">
        <v>0</v>
      </c>
      <c r="L12" t="s">
        <v>56</v>
      </c>
      <c r="M12" s="26" t="str">
        <f>CONCATENATE(TablaCalificaciones[[#This Row],[Seleccione su nombre (Evaluador)]],TablaCalificaciones[[#This Row],[Seleccione el nombre del Estudiante]])</f>
        <v>Marco Antonio Galarza CastilloSacoto Macías Alicia Fernanda</v>
      </c>
      <c r="O12" t="s">
        <v>64</v>
      </c>
      <c r="P12">
        <v>0</v>
      </c>
      <c r="R12" t="s">
        <v>44</v>
      </c>
      <c r="S12" s="22">
        <f>VLOOKUP(TablaCalificaciones[[#This Row],[Apertura: problema y objetivo ]],PESOS!A$16:B$20,2,0)</f>
        <v>20</v>
      </c>
      <c r="U12" t="s">
        <v>44</v>
      </c>
      <c r="V12" s="22">
        <f>VLOOKUP(TablaCalificaciones[[#This Row],[Metodología (nivel adecuado)]],PESOS!A$16:B$20,2,0)</f>
        <v>20</v>
      </c>
      <c r="X12" t="s">
        <v>44</v>
      </c>
      <c r="Y12" s="22">
        <f>VLOOKUP(TablaCalificaciones[[#This Row],[Resultados y evidencia ]],PESOS!A$16:B$20,2,0)</f>
        <v>20</v>
      </c>
      <c r="AA12" t="s">
        <v>45</v>
      </c>
      <c r="AB12" s="22">
        <f>VLOOKUP(TablaCalificaciones[[#This Row],[Coherencia y manejo del tiempo]],PESOS!A$25:B$29,2,0)</f>
        <v>10</v>
      </c>
      <c r="AD12" t="s">
        <v>45</v>
      </c>
      <c r="AE12" s="22">
        <f>VLOOKUP(TablaCalificaciones[[#This Row],[Diapositivas como apoyo]],PESOS!A$25:B$29,2,0)</f>
        <v>10</v>
      </c>
      <c r="AG12" t="s">
        <v>45</v>
      </c>
      <c r="AH12" s="22">
        <f>VLOOKUP(TablaCalificaciones[[#This Row],[Respuestas a preguntas]],PESOS!A$25:B$29,2,0)</f>
        <v>10</v>
      </c>
      <c r="AJ12" t="s">
        <v>45</v>
      </c>
      <c r="AK12" s="22">
        <f>VLOOKUP(TablaCalificaciones[[#This Row],[Cierre: aporte a próximos pasos]],PESOS!A$25:B$29,2,0)</f>
        <v>10</v>
      </c>
      <c r="AM12" s="1"/>
    </row>
    <row r="13" spans="1:39">
      <c r="A13">
        <v>12</v>
      </c>
      <c r="B13" s="2">
        <v>46133.400069444448</v>
      </c>
      <c r="C13" s="2">
        <v>46133.400439814817</v>
      </c>
      <c r="D13" t="s">
        <v>54</v>
      </c>
      <c r="E13" t="s">
        <v>55</v>
      </c>
      <c r="H13" s="2"/>
      <c r="I13" t="s">
        <v>41</v>
      </c>
      <c r="J13">
        <v>0</v>
      </c>
      <c r="L13" t="s">
        <v>56</v>
      </c>
      <c r="M13" s="26" t="str">
        <f>CONCATENATE(TablaCalificaciones[[#This Row],[Seleccione su nombre (Evaluador)]],TablaCalificaciones[[#This Row],[Seleccione el nombre del Estudiante]])</f>
        <v>Marco Antonio Galarza CastilloZaldumbide Egas Ana Cristina</v>
      </c>
      <c r="O13" t="s">
        <v>65</v>
      </c>
      <c r="P13">
        <v>0</v>
      </c>
      <c r="R13" t="s">
        <v>44</v>
      </c>
      <c r="S13" s="22">
        <f>VLOOKUP(TablaCalificaciones[[#This Row],[Apertura: problema y objetivo ]],PESOS!A$16:B$20,2,0)</f>
        <v>20</v>
      </c>
      <c r="U13" t="s">
        <v>44</v>
      </c>
      <c r="V13" s="22">
        <f>VLOOKUP(TablaCalificaciones[[#This Row],[Metodología (nivel adecuado)]],PESOS!A$16:B$20,2,0)</f>
        <v>20</v>
      </c>
      <c r="X13" t="s">
        <v>44</v>
      </c>
      <c r="Y13" s="22">
        <f>VLOOKUP(TablaCalificaciones[[#This Row],[Resultados y evidencia ]],PESOS!A$16:B$20,2,0)</f>
        <v>20</v>
      </c>
      <c r="AA13" t="s">
        <v>45</v>
      </c>
      <c r="AB13" s="22">
        <f>VLOOKUP(TablaCalificaciones[[#This Row],[Coherencia y manejo del tiempo]],PESOS!A$25:B$29,2,0)</f>
        <v>10</v>
      </c>
      <c r="AD13" t="s">
        <v>45</v>
      </c>
      <c r="AE13" s="22">
        <f>VLOOKUP(TablaCalificaciones[[#This Row],[Diapositivas como apoyo]],PESOS!A$25:B$29,2,0)</f>
        <v>10</v>
      </c>
      <c r="AG13" t="s">
        <v>45</v>
      </c>
      <c r="AH13" s="22">
        <f>VLOOKUP(TablaCalificaciones[[#This Row],[Respuestas a preguntas]],PESOS!A$25:B$29,2,0)</f>
        <v>10</v>
      </c>
      <c r="AJ13" t="s">
        <v>45</v>
      </c>
      <c r="AK13" s="22">
        <f>VLOOKUP(TablaCalificaciones[[#This Row],[Cierre: aporte a próximos pasos]],PESOS!A$25:B$29,2,0)</f>
        <v>10</v>
      </c>
      <c r="AM13" s="1"/>
    </row>
    <row r="14" spans="1:39">
      <c r="A14">
        <v>13</v>
      </c>
      <c r="B14" s="2">
        <v>46133.400011574071</v>
      </c>
      <c r="C14" s="2">
        <v>46133.402916666666</v>
      </c>
      <c r="D14" t="s">
        <v>66</v>
      </c>
      <c r="E14" t="s">
        <v>67</v>
      </c>
      <c r="H14" s="2"/>
      <c r="I14" t="s">
        <v>68</v>
      </c>
      <c r="J14">
        <v>0</v>
      </c>
      <c r="L14" t="s">
        <v>67</v>
      </c>
      <c r="M14" s="26" t="str">
        <f>CONCATENATE(TablaCalificaciones[[#This Row],[Seleccione su nombre (Evaluador)]],TablaCalificaciones[[#This Row],[Seleccione el nombre del Estudiante]])</f>
        <v>Hugo Fernando Chimbo AcostaRedin Muñoz Juan Sebastián</v>
      </c>
      <c r="O14" t="s">
        <v>62</v>
      </c>
      <c r="P14">
        <v>0</v>
      </c>
      <c r="R14" t="s">
        <v>44</v>
      </c>
      <c r="S14" s="22">
        <f>VLOOKUP(TablaCalificaciones[[#This Row],[Apertura: problema y objetivo ]],PESOS!A$16:B$20,2,0)</f>
        <v>20</v>
      </c>
      <c r="U14" t="s">
        <v>50</v>
      </c>
      <c r="V14" s="22">
        <f>VLOOKUP(TablaCalificaciones[[#This Row],[Metodología (nivel adecuado)]],PESOS!A$16:B$20,2,0)</f>
        <v>16</v>
      </c>
      <c r="X14" t="s">
        <v>44</v>
      </c>
      <c r="Y14" s="22">
        <f>VLOOKUP(TablaCalificaciones[[#This Row],[Resultados y evidencia ]],PESOS!A$16:B$20,2,0)</f>
        <v>20</v>
      </c>
      <c r="AA14" t="s">
        <v>51</v>
      </c>
      <c r="AB14" s="22">
        <f>VLOOKUP(TablaCalificaciones[[#This Row],[Coherencia y manejo del tiempo]],PESOS!A$25:B$29,2,0)</f>
        <v>8</v>
      </c>
      <c r="AD14" t="s">
        <v>45</v>
      </c>
      <c r="AE14" s="22">
        <f>VLOOKUP(TablaCalificaciones[[#This Row],[Diapositivas como apoyo]],PESOS!A$25:B$29,2,0)</f>
        <v>10</v>
      </c>
      <c r="AG14" t="s">
        <v>51</v>
      </c>
      <c r="AH14" s="22">
        <f>VLOOKUP(TablaCalificaciones[[#This Row],[Respuestas a preguntas]],PESOS!A$25:B$29,2,0)</f>
        <v>8</v>
      </c>
      <c r="AJ14" t="s">
        <v>45</v>
      </c>
      <c r="AK14" s="22">
        <f>VLOOKUP(TablaCalificaciones[[#This Row],[Cierre: aporte a próximos pasos]],PESOS!A$25:B$29,2,0)</f>
        <v>10</v>
      </c>
      <c r="AM14" s="1"/>
    </row>
    <row r="15" spans="1:39">
      <c r="A15">
        <v>14</v>
      </c>
      <c r="B15" s="2">
        <v>46133.402997685182</v>
      </c>
      <c r="C15" s="2">
        <v>46133.404780092591</v>
      </c>
      <c r="D15" t="s">
        <v>66</v>
      </c>
      <c r="E15" t="s">
        <v>67</v>
      </c>
      <c r="H15" s="2"/>
      <c r="I15" t="s">
        <v>41</v>
      </c>
      <c r="J15">
        <v>0</v>
      </c>
      <c r="L15" t="s">
        <v>67</v>
      </c>
      <c r="M15" s="26" t="str">
        <f>CONCATENATE(TablaCalificaciones[[#This Row],[Seleccione su nombre (Evaluador)]],TablaCalificaciones[[#This Row],[Seleccione el nombre del Estudiante]])</f>
        <v>Hugo Fernando Chimbo AcostaVinueza Torres Luis Fernando</v>
      </c>
      <c r="O15" t="s">
        <v>61</v>
      </c>
      <c r="P15">
        <v>0</v>
      </c>
      <c r="R15" t="s">
        <v>44</v>
      </c>
      <c r="S15" s="22">
        <f>VLOOKUP(TablaCalificaciones[[#This Row],[Apertura: problema y objetivo ]],PESOS!A$16:B$20,2,0)</f>
        <v>20</v>
      </c>
      <c r="U15" t="s">
        <v>44</v>
      </c>
      <c r="V15" s="22">
        <f>VLOOKUP(TablaCalificaciones[[#This Row],[Metodología (nivel adecuado)]],PESOS!A$16:B$20,2,0)</f>
        <v>20</v>
      </c>
      <c r="X15" t="s">
        <v>44</v>
      </c>
      <c r="Y15" s="22">
        <f>VLOOKUP(TablaCalificaciones[[#This Row],[Resultados y evidencia ]],PESOS!A$16:B$20,2,0)</f>
        <v>20</v>
      </c>
      <c r="AA15" t="s">
        <v>51</v>
      </c>
      <c r="AB15" s="22">
        <f>VLOOKUP(TablaCalificaciones[[#This Row],[Coherencia y manejo del tiempo]],PESOS!A$25:B$29,2,0)</f>
        <v>8</v>
      </c>
      <c r="AD15" t="s">
        <v>45</v>
      </c>
      <c r="AE15" s="22">
        <f>VLOOKUP(TablaCalificaciones[[#This Row],[Diapositivas como apoyo]],PESOS!A$25:B$29,2,0)</f>
        <v>10</v>
      </c>
      <c r="AG15" t="s">
        <v>51</v>
      </c>
      <c r="AH15" s="22">
        <f>VLOOKUP(TablaCalificaciones[[#This Row],[Respuestas a preguntas]],PESOS!A$25:B$29,2,0)</f>
        <v>8</v>
      </c>
      <c r="AJ15" t="s">
        <v>45</v>
      </c>
      <c r="AK15" s="22">
        <f>VLOOKUP(TablaCalificaciones[[#This Row],[Cierre: aporte a próximos pasos]],PESOS!A$25:B$29,2,0)</f>
        <v>10</v>
      </c>
      <c r="AM15" s="1"/>
    </row>
    <row r="16" spans="1:39">
      <c r="A16">
        <v>15</v>
      </c>
      <c r="B16" s="2">
        <v>46133.398379629631</v>
      </c>
      <c r="C16" s="2">
        <v>46133.407395833332</v>
      </c>
      <c r="D16" t="s">
        <v>69</v>
      </c>
      <c r="E16" t="s">
        <v>70</v>
      </c>
      <c r="H16" s="2"/>
      <c r="I16" t="s">
        <v>41</v>
      </c>
      <c r="J16">
        <v>0</v>
      </c>
      <c r="L16" t="s">
        <v>71</v>
      </c>
      <c r="M16" s="26" t="str">
        <f>CONCATENATE(TablaCalificaciones[[#This Row],[Seleccione su nombre (Evaluador)]],TablaCalificaciones[[#This Row],[Seleccione el nombre del Estudiante]])</f>
        <v>Ana Belén Tulcanaza PrietoToapanta Sandoval Nicole Germania</v>
      </c>
      <c r="O16" t="s">
        <v>72</v>
      </c>
      <c r="P16">
        <v>0</v>
      </c>
      <c r="R16" t="s">
        <v>44</v>
      </c>
      <c r="S16" s="22">
        <f>VLOOKUP(TablaCalificaciones[[#This Row],[Apertura: problema y objetivo ]],PESOS!A$16:B$20,2,0)</f>
        <v>20</v>
      </c>
      <c r="U16" t="s">
        <v>44</v>
      </c>
      <c r="V16" s="22">
        <f>VLOOKUP(TablaCalificaciones[[#This Row],[Metodología (nivel adecuado)]],PESOS!A$16:B$20,2,0)</f>
        <v>20</v>
      </c>
      <c r="X16" t="s">
        <v>44</v>
      </c>
      <c r="Y16" s="22">
        <f>VLOOKUP(TablaCalificaciones[[#This Row],[Resultados y evidencia ]],PESOS!A$16:B$20,2,0)</f>
        <v>20</v>
      </c>
      <c r="AA16" t="s">
        <v>45</v>
      </c>
      <c r="AB16" s="22">
        <f>VLOOKUP(TablaCalificaciones[[#This Row],[Coherencia y manejo del tiempo]],PESOS!A$25:B$29,2,0)</f>
        <v>10</v>
      </c>
      <c r="AD16" t="s">
        <v>45</v>
      </c>
      <c r="AE16" s="22">
        <f>VLOOKUP(TablaCalificaciones[[#This Row],[Diapositivas como apoyo]],PESOS!A$25:B$29,2,0)</f>
        <v>10</v>
      </c>
      <c r="AG16" t="s">
        <v>45</v>
      </c>
      <c r="AH16" s="22">
        <f>VLOOKUP(TablaCalificaciones[[#This Row],[Respuestas a preguntas]],PESOS!A$25:B$29,2,0)</f>
        <v>10</v>
      </c>
      <c r="AJ16" t="s">
        <v>51</v>
      </c>
      <c r="AK16" s="22">
        <f>VLOOKUP(TablaCalificaciones[[#This Row],[Cierre: aporte a próximos pasos]],PESOS!A$25:B$29,2,0)</f>
        <v>8</v>
      </c>
      <c r="AM16" s="1"/>
    </row>
    <row r="17" spans="1:39">
      <c r="A17">
        <v>16</v>
      </c>
      <c r="B17" s="2">
        <v>46133.407500000001</v>
      </c>
      <c r="C17" s="2">
        <v>46133.407951388886</v>
      </c>
      <c r="D17" t="s">
        <v>69</v>
      </c>
      <c r="E17" t="s">
        <v>70</v>
      </c>
      <c r="H17" s="2"/>
      <c r="I17" t="s">
        <v>41</v>
      </c>
      <c r="J17">
        <v>0</v>
      </c>
      <c r="L17" t="s">
        <v>71</v>
      </c>
      <c r="M17" s="26" t="str">
        <f>CONCATENATE(TablaCalificaciones[[#This Row],[Seleccione su nombre (Evaluador)]],TablaCalificaciones[[#This Row],[Seleccione el nombre del Estudiante]])</f>
        <v>Ana Belén Tulcanaza PrietoPalomeque Núñez Oscar Esteban</v>
      </c>
      <c r="O17" t="s">
        <v>73</v>
      </c>
      <c r="P17">
        <v>0</v>
      </c>
      <c r="R17" t="s">
        <v>44</v>
      </c>
      <c r="S17" s="22">
        <f>VLOOKUP(TablaCalificaciones[[#This Row],[Apertura: problema y objetivo ]],PESOS!A$16:B$20,2,0)</f>
        <v>20</v>
      </c>
      <c r="U17" t="s">
        <v>44</v>
      </c>
      <c r="V17" s="22">
        <f>VLOOKUP(TablaCalificaciones[[#This Row],[Metodología (nivel adecuado)]],PESOS!A$16:B$20,2,0)</f>
        <v>20</v>
      </c>
      <c r="X17" t="s">
        <v>44</v>
      </c>
      <c r="Y17" s="22">
        <f>VLOOKUP(TablaCalificaciones[[#This Row],[Resultados y evidencia ]],PESOS!A$16:B$20,2,0)</f>
        <v>20</v>
      </c>
      <c r="AA17" t="s">
        <v>45</v>
      </c>
      <c r="AB17" s="22">
        <f>VLOOKUP(TablaCalificaciones[[#This Row],[Coherencia y manejo del tiempo]],PESOS!A$25:B$29,2,0)</f>
        <v>10</v>
      </c>
      <c r="AD17" t="s">
        <v>45</v>
      </c>
      <c r="AE17" s="22">
        <f>VLOOKUP(TablaCalificaciones[[#This Row],[Diapositivas como apoyo]],PESOS!A$25:B$29,2,0)</f>
        <v>10</v>
      </c>
      <c r="AG17" t="s">
        <v>45</v>
      </c>
      <c r="AH17" s="22">
        <f>VLOOKUP(TablaCalificaciones[[#This Row],[Respuestas a preguntas]],PESOS!A$25:B$29,2,0)</f>
        <v>10</v>
      </c>
      <c r="AJ17" t="s">
        <v>51</v>
      </c>
      <c r="AK17" s="22">
        <f>VLOOKUP(TablaCalificaciones[[#This Row],[Cierre: aporte a próximos pasos]],PESOS!A$25:B$29,2,0)</f>
        <v>8</v>
      </c>
      <c r="AM17" s="1"/>
    </row>
    <row r="18" spans="1:39">
      <c r="A18">
        <v>17</v>
      </c>
      <c r="B18" s="2">
        <v>46133.39472222222</v>
      </c>
      <c r="C18" s="2">
        <v>46133.413958333331</v>
      </c>
      <c r="D18" t="s">
        <v>74</v>
      </c>
      <c r="E18" t="s">
        <v>75</v>
      </c>
      <c r="H18" s="2"/>
      <c r="I18" t="s">
        <v>41</v>
      </c>
      <c r="J18">
        <v>0</v>
      </c>
      <c r="L18" t="s">
        <v>76</v>
      </c>
      <c r="M18" s="26" t="str">
        <f>CONCATENATE(TablaCalificaciones[[#This Row],[Seleccione su nombre (Evaluador)]],TablaCalificaciones[[#This Row],[Seleccione el nombre del Estudiante]])</f>
        <v>Edwin García AucatomaPalomeque Núñez Oscar Esteban</v>
      </c>
      <c r="O18" t="s">
        <v>73</v>
      </c>
      <c r="P18">
        <v>0</v>
      </c>
      <c r="R18" t="s">
        <v>50</v>
      </c>
      <c r="S18" s="22">
        <f>VLOOKUP(TablaCalificaciones[[#This Row],[Apertura: problema y objetivo ]],PESOS!A$16:B$20,2,0)</f>
        <v>16</v>
      </c>
      <c r="U18" t="s">
        <v>44</v>
      </c>
      <c r="V18" s="22">
        <f>VLOOKUP(TablaCalificaciones[[#This Row],[Metodología (nivel adecuado)]],PESOS!A$16:B$20,2,0)</f>
        <v>20</v>
      </c>
      <c r="X18" t="s">
        <v>44</v>
      </c>
      <c r="Y18" s="22">
        <f>VLOOKUP(TablaCalificaciones[[#This Row],[Resultados y evidencia ]],PESOS!A$16:B$20,2,0)</f>
        <v>20</v>
      </c>
      <c r="AA18" t="s">
        <v>45</v>
      </c>
      <c r="AB18" s="22">
        <f>VLOOKUP(TablaCalificaciones[[#This Row],[Coherencia y manejo del tiempo]],PESOS!A$25:B$29,2,0)</f>
        <v>10</v>
      </c>
      <c r="AD18" t="s">
        <v>45</v>
      </c>
      <c r="AE18" s="22">
        <f>VLOOKUP(TablaCalificaciones[[#This Row],[Diapositivas como apoyo]],PESOS!A$25:B$29,2,0)</f>
        <v>10</v>
      </c>
      <c r="AG18" t="s">
        <v>51</v>
      </c>
      <c r="AH18" s="22">
        <f>VLOOKUP(TablaCalificaciones[[#This Row],[Respuestas a preguntas]],PESOS!A$25:B$29,2,0)</f>
        <v>8</v>
      </c>
      <c r="AJ18" t="s">
        <v>51</v>
      </c>
      <c r="AK18" s="22">
        <f>VLOOKUP(TablaCalificaciones[[#This Row],[Cierre: aporte a próximos pasos]],PESOS!A$25:B$29,2,0)</f>
        <v>8</v>
      </c>
      <c r="AM18" s="1"/>
    </row>
    <row r="19" spans="1:39">
      <c r="A19">
        <v>18</v>
      </c>
      <c r="B19" s="2">
        <v>46133.397870370369</v>
      </c>
      <c r="C19" s="2">
        <v>46133.4143287037</v>
      </c>
      <c r="D19" t="s">
        <v>74</v>
      </c>
      <c r="E19" t="s">
        <v>75</v>
      </c>
      <c r="H19" s="2"/>
      <c r="I19" t="s">
        <v>41</v>
      </c>
      <c r="J19">
        <v>0</v>
      </c>
      <c r="L19" t="s">
        <v>76</v>
      </c>
      <c r="M19" s="26" t="str">
        <f>CONCATENATE(TablaCalificaciones[[#This Row],[Seleccione su nombre (Evaluador)]],TablaCalificaciones[[#This Row],[Seleccione el nombre del Estudiante]])</f>
        <v>Edwin García AucatomaToapanta Sandoval Nicole Germania</v>
      </c>
      <c r="O19" t="s">
        <v>72</v>
      </c>
      <c r="P19">
        <v>0</v>
      </c>
      <c r="R19" t="s">
        <v>50</v>
      </c>
      <c r="S19" s="22">
        <f>VLOOKUP(TablaCalificaciones[[#This Row],[Apertura: problema y objetivo ]],PESOS!A$16:B$20,2,0)</f>
        <v>16</v>
      </c>
      <c r="U19" t="s">
        <v>44</v>
      </c>
      <c r="V19" s="22">
        <f>VLOOKUP(TablaCalificaciones[[#This Row],[Metodología (nivel adecuado)]],PESOS!A$16:B$20,2,0)</f>
        <v>20</v>
      </c>
      <c r="X19" t="s">
        <v>50</v>
      </c>
      <c r="Y19" s="22">
        <f>VLOOKUP(TablaCalificaciones[[#This Row],[Resultados y evidencia ]],PESOS!A$16:B$20,2,0)</f>
        <v>16</v>
      </c>
      <c r="AA19" t="s">
        <v>45</v>
      </c>
      <c r="AB19" s="22">
        <f>VLOOKUP(TablaCalificaciones[[#This Row],[Coherencia y manejo del tiempo]],PESOS!A$25:B$29,2,0)</f>
        <v>10</v>
      </c>
      <c r="AD19" t="s">
        <v>45</v>
      </c>
      <c r="AE19" s="22">
        <f>VLOOKUP(TablaCalificaciones[[#This Row],[Diapositivas como apoyo]],PESOS!A$25:B$29,2,0)</f>
        <v>10</v>
      </c>
      <c r="AG19" t="s">
        <v>45</v>
      </c>
      <c r="AH19" s="22">
        <f>VLOOKUP(TablaCalificaciones[[#This Row],[Respuestas a preguntas]],PESOS!A$25:B$29,2,0)</f>
        <v>10</v>
      </c>
      <c r="AJ19" t="s">
        <v>45</v>
      </c>
      <c r="AK19" s="22">
        <f>VLOOKUP(TablaCalificaciones[[#This Row],[Cierre: aporte a próximos pasos]],PESOS!A$25:B$29,2,0)</f>
        <v>10</v>
      </c>
      <c r="AM19" s="1"/>
    </row>
    <row r="20" spans="1:39">
      <c r="A20">
        <v>19</v>
      </c>
      <c r="B20" s="2">
        <v>46133.42690972222</v>
      </c>
      <c r="C20" s="2">
        <v>46133.430509259262</v>
      </c>
      <c r="D20" t="s">
        <v>69</v>
      </c>
      <c r="E20" t="s">
        <v>70</v>
      </c>
      <c r="H20" s="2"/>
      <c r="I20" t="s">
        <v>41</v>
      </c>
      <c r="J20">
        <v>0</v>
      </c>
      <c r="L20" t="s">
        <v>71</v>
      </c>
      <c r="M20" s="26" t="str">
        <f>CONCATENATE(TablaCalificaciones[[#This Row],[Seleccione su nombre (Evaluador)]],TablaCalificaciones[[#This Row],[Seleccione el nombre del Estudiante]])</f>
        <v>Ana Belén Tulcanaza PrietoVintimilla Silva Thyara Mikaela</v>
      </c>
      <c r="O20" t="s">
        <v>77</v>
      </c>
      <c r="P20">
        <v>0</v>
      </c>
      <c r="R20" t="s">
        <v>44</v>
      </c>
      <c r="S20" s="22">
        <f>VLOOKUP(TablaCalificaciones[[#This Row],[Apertura: problema y objetivo ]],PESOS!A$16:B$20,2,0)</f>
        <v>20</v>
      </c>
      <c r="U20" t="s">
        <v>44</v>
      </c>
      <c r="V20" s="22">
        <f>VLOOKUP(TablaCalificaciones[[#This Row],[Metodología (nivel adecuado)]],PESOS!A$16:B$20,2,0)</f>
        <v>20</v>
      </c>
      <c r="X20" t="s">
        <v>44</v>
      </c>
      <c r="Y20" s="22">
        <f>VLOOKUP(TablaCalificaciones[[#This Row],[Resultados y evidencia ]],PESOS!A$16:B$20,2,0)</f>
        <v>20</v>
      </c>
      <c r="AA20" t="s">
        <v>51</v>
      </c>
      <c r="AB20" s="22">
        <f>VLOOKUP(TablaCalificaciones[[#This Row],[Coherencia y manejo del tiempo]],PESOS!A$25:B$29,2,0)</f>
        <v>8</v>
      </c>
      <c r="AD20" t="s">
        <v>45</v>
      </c>
      <c r="AE20" s="22">
        <f>VLOOKUP(TablaCalificaciones[[#This Row],[Diapositivas como apoyo]],PESOS!A$25:B$29,2,0)</f>
        <v>10</v>
      </c>
      <c r="AG20" t="s">
        <v>45</v>
      </c>
      <c r="AH20" s="22">
        <f>VLOOKUP(TablaCalificaciones[[#This Row],[Respuestas a preguntas]],PESOS!A$25:B$29,2,0)</f>
        <v>10</v>
      </c>
      <c r="AJ20" t="s">
        <v>51</v>
      </c>
      <c r="AK20" s="22">
        <f>VLOOKUP(TablaCalificaciones[[#This Row],[Cierre: aporte a próximos pasos]],PESOS!A$25:B$29,2,0)</f>
        <v>8</v>
      </c>
      <c r="AM20" s="1"/>
    </row>
    <row r="21" spans="1:39">
      <c r="A21">
        <v>20</v>
      </c>
      <c r="B21" s="2">
        <v>46133.4296412037</v>
      </c>
      <c r="C21" s="2">
        <v>46133.430613425924</v>
      </c>
      <c r="D21" t="s">
        <v>78</v>
      </c>
      <c r="E21" t="s">
        <v>79</v>
      </c>
      <c r="H21" s="2"/>
      <c r="I21" t="s">
        <v>41</v>
      </c>
      <c r="J21">
        <v>0</v>
      </c>
      <c r="L21" t="s">
        <v>79</v>
      </c>
      <c r="M21" s="26" t="str">
        <f>CONCATENATE(TablaCalificaciones[[#This Row],[Seleccione su nombre (Evaluador)]],TablaCalificaciones[[#This Row],[Seleccione el nombre del Estudiante]])</f>
        <v>César Alberto Larrea AraujoZapata Espinosa María Fernanda</v>
      </c>
      <c r="O21" t="s">
        <v>80</v>
      </c>
      <c r="P21">
        <v>0</v>
      </c>
      <c r="R21" t="s">
        <v>44</v>
      </c>
      <c r="S21" s="22">
        <f>VLOOKUP(TablaCalificaciones[[#This Row],[Apertura: problema y objetivo ]],PESOS!A$16:B$20,2,0)</f>
        <v>20</v>
      </c>
      <c r="U21" t="s">
        <v>44</v>
      </c>
      <c r="V21" s="22">
        <f>VLOOKUP(TablaCalificaciones[[#This Row],[Metodología (nivel adecuado)]],PESOS!A$16:B$20,2,0)</f>
        <v>20</v>
      </c>
      <c r="X21" t="s">
        <v>44</v>
      </c>
      <c r="Y21" s="22">
        <f>VLOOKUP(TablaCalificaciones[[#This Row],[Resultados y evidencia ]],PESOS!A$16:B$20,2,0)</f>
        <v>20</v>
      </c>
      <c r="AA21" t="s">
        <v>45</v>
      </c>
      <c r="AB21" s="22">
        <f>VLOOKUP(TablaCalificaciones[[#This Row],[Coherencia y manejo del tiempo]],PESOS!A$25:B$29,2,0)</f>
        <v>10</v>
      </c>
      <c r="AD21" t="s">
        <v>45</v>
      </c>
      <c r="AE21" s="22">
        <f>VLOOKUP(TablaCalificaciones[[#This Row],[Diapositivas como apoyo]],PESOS!A$25:B$29,2,0)</f>
        <v>10</v>
      </c>
      <c r="AG21" t="s">
        <v>45</v>
      </c>
      <c r="AH21" s="22">
        <f>VLOOKUP(TablaCalificaciones[[#This Row],[Respuestas a preguntas]],PESOS!A$25:B$29,2,0)</f>
        <v>10</v>
      </c>
      <c r="AJ21" t="s">
        <v>45</v>
      </c>
      <c r="AK21" s="22">
        <f>VLOOKUP(TablaCalificaciones[[#This Row],[Cierre: aporte a próximos pasos]],PESOS!A$25:B$29,2,0)</f>
        <v>10</v>
      </c>
      <c r="AM21" s="1"/>
    </row>
    <row r="22" spans="1:39">
      <c r="A22">
        <v>21</v>
      </c>
      <c r="B22" s="2">
        <v>46133.430601851855</v>
      </c>
      <c r="C22" s="2">
        <v>46133.431087962963</v>
      </c>
      <c r="D22" t="s">
        <v>69</v>
      </c>
      <c r="E22" t="s">
        <v>70</v>
      </c>
      <c r="H22" s="2"/>
      <c r="I22" t="s">
        <v>41</v>
      </c>
      <c r="J22">
        <v>0</v>
      </c>
      <c r="L22" t="s">
        <v>71</v>
      </c>
      <c r="M22" s="26" t="str">
        <f>CONCATENATE(TablaCalificaciones[[#This Row],[Seleccione su nombre (Evaluador)]],TablaCalificaciones[[#This Row],[Seleccione el nombre del Estudiante]])</f>
        <v>Ana Belén Tulcanaza PrietoNarváez Torres Christian Ariel</v>
      </c>
      <c r="O22" t="s">
        <v>81</v>
      </c>
      <c r="P22">
        <v>0</v>
      </c>
      <c r="R22" t="s">
        <v>44</v>
      </c>
      <c r="S22" s="22">
        <f>VLOOKUP(TablaCalificaciones[[#This Row],[Apertura: problema y objetivo ]],PESOS!A$16:B$20,2,0)</f>
        <v>20</v>
      </c>
      <c r="U22" t="s">
        <v>44</v>
      </c>
      <c r="V22" s="22">
        <f>VLOOKUP(TablaCalificaciones[[#This Row],[Metodología (nivel adecuado)]],PESOS!A$16:B$20,2,0)</f>
        <v>20</v>
      </c>
      <c r="X22" t="s">
        <v>44</v>
      </c>
      <c r="Y22" s="22">
        <f>VLOOKUP(TablaCalificaciones[[#This Row],[Resultados y evidencia ]],PESOS!A$16:B$20,2,0)</f>
        <v>20</v>
      </c>
      <c r="AA22" t="s">
        <v>51</v>
      </c>
      <c r="AB22" s="22">
        <f>VLOOKUP(TablaCalificaciones[[#This Row],[Coherencia y manejo del tiempo]],PESOS!A$25:B$29,2,0)</f>
        <v>8</v>
      </c>
      <c r="AD22" t="s">
        <v>45</v>
      </c>
      <c r="AE22" s="22">
        <f>VLOOKUP(TablaCalificaciones[[#This Row],[Diapositivas como apoyo]],PESOS!A$25:B$29,2,0)</f>
        <v>10</v>
      </c>
      <c r="AG22" t="s">
        <v>45</v>
      </c>
      <c r="AH22" s="22">
        <f>VLOOKUP(TablaCalificaciones[[#This Row],[Respuestas a preguntas]],PESOS!A$25:B$29,2,0)</f>
        <v>10</v>
      </c>
      <c r="AJ22" t="s">
        <v>51</v>
      </c>
      <c r="AK22" s="22">
        <f>VLOOKUP(TablaCalificaciones[[#This Row],[Cierre: aporte a próximos pasos]],PESOS!A$25:B$29,2,0)</f>
        <v>8</v>
      </c>
      <c r="AM22" s="1"/>
    </row>
    <row r="23" spans="1:39">
      <c r="A23">
        <v>22</v>
      </c>
      <c r="B23" s="2">
        <v>46133.430648148147</v>
      </c>
      <c r="C23" s="2">
        <v>46133.431550925925</v>
      </c>
      <c r="D23" t="s">
        <v>78</v>
      </c>
      <c r="E23" t="s">
        <v>79</v>
      </c>
      <c r="H23" s="2"/>
      <c r="I23" t="s">
        <v>41</v>
      </c>
      <c r="J23">
        <v>0</v>
      </c>
      <c r="L23" t="s">
        <v>79</v>
      </c>
      <c r="M23" s="26" t="str">
        <f>CONCATENATE(TablaCalificaciones[[#This Row],[Seleccione su nombre (Evaluador)]],TablaCalificaciones[[#This Row],[Seleccione el nombre del Estudiante]])</f>
        <v>César Alberto Larrea AraujoFlores Perez Dayana Liseth</v>
      </c>
      <c r="O23" t="s">
        <v>82</v>
      </c>
      <c r="P23">
        <v>0</v>
      </c>
      <c r="R23" t="s">
        <v>44</v>
      </c>
      <c r="S23" s="22">
        <f>VLOOKUP(TablaCalificaciones[[#This Row],[Apertura: problema y objetivo ]],PESOS!A$16:B$20,2,0)</f>
        <v>20</v>
      </c>
      <c r="U23" t="s">
        <v>44</v>
      </c>
      <c r="V23" s="22">
        <f>VLOOKUP(TablaCalificaciones[[#This Row],[Metodología (nivel adecuado)]],PESOS!A$16:B$20,2,0)</f>
        <v>20</v>
      </c>
      <c r="X23" t="s">
        <v>44</v>
      </c>
      <c r="Y23" s="22">
        <f>VLOOKUP(TablaCalificaciones[[#This Row],[Resultados y evidencia ]],PESOS!A$16:B$20,2,0)</f>
        <v>20</v>
      </c>
      <c r="AA23" t="s">
        <v>45</v>
      </c>
      <c r="AB23" s="22">
        <f>VLOOKUP(TablaCalificaciones[[#This Row],[Coherencia y manejo del tiempo]],PESOS!A$25:B$29,2,0)</f>
        <v>10</v>
      </c>
      <c r="AD23" t="s">
        <v>45</v>
      </c>
      <c r="AE23" s="22">
        <f>VLOOKUP(TablaCalificaciones[[#This Row],[Diapositivas como apoyo]],PESOS!A$25:B$29,2,0)</f>
        <v>10</v>
      </c>
      <c r="AG23" t="s">
        <v>83</v>
      </c>
      <c r="AH23" s="22">
        <f>VLOOKUP(TablaCalificaciones[[#This Row],[Respuestas a preguntas]],PESOS!A$25:B$29,2,0)</f>
        <v>6</v>
      </c>
      <c r="AJ23" t="s">
        <v>45</v>
      </c>
      <c r="AK23" s="22">
        <f>VLOOKUP(TablaCalificaciones[[#This Row],[Cierre: aporte a próximos pasos]],PESOS!A$25:B$29,2,0)</f>
        <v>10</v>
      </c>
      <c r="AM23" s="1"/>
    </row>
    <row r="24" spans="1:39">
      <c r="A24">
        <v>23</v>
      </c>
      <c r="B24" s="2">
        <v>46133.431585648148</v>
      </c>
      <c r="C24" s="2">
        <v>46133.432939814818</v>
      </c>
      <c r="D24" t="s">
        <v>78</v>
      </c>
      <c r="E24" t="s">
        <v>79</v>
      </c>
      <c r="H24" s="2"/>
      <c r="I24" t="s">
        <v>41</v>
      </c>
      <c r="J24">
        <v>0</v>
      </c>
      <c r="L24" t="s">
        <v>79</v>
      </c>
      <c r="M24" s="26" t="str">
        <f>CONCATENATE(TablaCalificaciones[[#This Row],[Seleccione su nombre (Evaluador)]],TablaCalificaciones[[#This Row],[Seleccione el nombre del Estudiante]])</f>
        <v>César Alberto Larrea AraujoOrtega Calderon Ricardo Antonio</v>
      </c>
      <c r="O24" t="s">
        <v>84</v>
      </c>
      <c r="P24">
        <v>0</v>
      </c>
      <c r="R24" t="s">
        <v>85</v>
      </c>
      <c r="S24" s="22">
        <f>VLOOKUP(TablaCalificaciones[[#This Row],[Apertura: problema y objetivo ]],PESOS!A$16:B$20,2,0)</f>
        <v>8</v>
      </c>
      <c r="U24" t="s">
        <v>50</v>
      </c>
      <c r="V24" s="22">
        <f>VLOOKUP(TablaCalificaciones[[#This Row],[Metodología (nivel adecuado)]],PESOS!A$16:B$20,2,0)</f>
        <v>16</v>
      </c>
      <c r="X24" t="s">
        <v>50</v>
      </c>
      <c r="Y24" s="22">
        <f>VLOOKUP(TablaCalificaciones[[#This Row],[Resultados y evidencia ]],PESOS!A$16:B$20,2,0)</f>
        <v>16</v>
      </c>
      <c r="AA24" t="s">
        <v>83</v>
      </c>
      <c r="AB24" s="22">
        <f>VLOOKUP(TablaCalificaciones[[#This Row],[Coherencia y manejo del tiempo]],PESOS!A$25:B$29,2,0)</f>
        <v>6</v>
      </c>
      <c r="AD24" t="s">
        <v>45</v>
      </c>
      <c r="AE24" s="22">
        <f>VLOOKUP(TablaCalificaciones[[#This Row],[Diapositivas como apoyo]],PESOS!A$25:B$29,2,0)</f>
        <v>10</v>
      </c>
      <c r="AG24" t="s">
        <v>86</v>
      </c>
      <c r="AH24" s="22">
        <f>VLOOKUP(TablaCalificaciones[[#This Row],[Respuestas a preguntas]],PESOS!A$25:B$29,2,0)</f>
        <v>2</v>
      </c>
      <c r="AJ24" t="s">
        <v>51</v>
      </c>
      <c r="AK24" s="22">
        <f>VLOOKUP(TablaCalificaciones[[#This Row],[Cierre: aporte a próximos pasos]],PESOS!A$25:B$29,2,0)</f>
        <v>8</v>
      </c>
      <c r="AM24" s="1"/>
    </row>
    <row r="25" spans="1:39">
      <c r="A25">
        <v>24</v>
      </c>
      <c r="B25" s="2">
        <v>46133.433564814812</v>
      </c>
      <c r="C25" s="2">
        <v>46133.434178240743</v>
      </c>
      <c r="D25" t="s">
        <v>87</v>
      </c>
      <c r="E25" t="s">
        <v>88</v>
      </c>
      <c r="H25" s="2"/>
      <c r="I25" t="s">
        <v>41</v>
      </c>
      <c r="J25">
        <v>0</v>
      </c>
      <c r="L25" t="s">
        <v>88</v>
      </c>
      <c r="M25" s="26" t="str">
        <f>CONCATENATE(TablaCalificaciones[[#This Row],[Seleccione su nombre (Evaluador)]],TablaCalificaciones[[#This Row],[Seleccione el nombre del Estudiante]])</f>
        <v>Ana María Pazmiño DelgadoDiaz Priscila Soledad</v>
      </c>
      <c r="O25" t="s">
        <v>89</v>
      </c>
      <c r="P25">
        <v>0</v>
      </c>
      <c r="R25" t="s">
        <v>44</v>
      </c>
      <c r="S25" s="22">
        <f>VLOOKUP(TablaCalificaciones[[#This Row],[Apertura: problema y objetivo ]],PESOS!A$16:B$20,2,0)</f>
        <v>20</v>
      </c>
      <c r="U25" t="s">
        <v>44</v>
      </c>
      <c r="V25" s="22">
        <f>VLOOKUP(TablaCalificaciones[[#This Row],[Metodología (nivel adecuado)]],PESOS!A$16:B$20,2,0)</f>
        <v>20</v>
      </c>
      <c r="X25" t="s">
        <v>44</v>
      </c>
      <c r="Y25" s="22">
        <f>VLOOKUP(TablaCalificaciones[[#This Row],[Resultados y evidencia ]],PESOS!A$16:B$20,2,0)</f>
        <v>20</v>
      </c>
      <c r="AA25" t="s">
        <v>45</v>
      </c>
      <c r="AB25" s="22">
        <f>VLOOKUP(TablaCalificaciones[[#This Row],[Coherencia y manejo del tiempo]],PESOS!A$25:B$29,2,0)</f>
        <v>10</v>
      </c>
      <c r="AD25" t="s">
        <v>45</v>
      </c>
      <c r="AE25" s="22">
        <f>VLOOKUP(TablaCalificaciones[[#This Row],[Diapositivas como apoyo]],PESOS!A$25:B$29,2,0)</f>
        <v>10</v>
      </c>
      <c r="AG25" t="s">
        <v>45</v>
      </c>
      <c r="AH25" s="22">
        <f>VLOOKUP(TablaCalificaciones[[#This Row],[Respuestas a preguntas]],PESOS!A$25:B$29,2,0)</f>
        <v>10</v>
      </c>
      <c r="AJ25" t="s">
        <v>45</v>
      </c>
      <c r="AK25" s="22">
        <f>VLOOKUP(TablaCalificaciones[[#This Row],[Cierre: aporte a próximos pasos]],PESOS!A$25:B$29,2,0)</f>
        <v>10</v>
      </c>
      <c r="AM25" s="1"/>
    </row>
    <row r="26" spans="1:39">
      <c r="A26">
        <v>25</v>
      </c>
      <c r="B26" s="2">
        <v>46133.415775462963</v>
      </c>
      <c r="C26" s="2">
        <v>46133.434479166666</v>
      </c>
      <c r="D26" t="s">
        <v>90</v>
      </c>
      <c r="E26" t="s">
        <v>91</v>
      </c>
      <c r="H26" s="2"/>
      <c r="I26" t="s">
        <v>41</v>
      </c>
      <c r="J26">
        <v>0</v>
      </c>
      <c r="L26" t="s">
        <v>91</v>
      </c>
      <c r="M26" s="26" t="str">
        <f>CONCATENATE(TablaCalificaciones[[#This Row],[Seleccione su nombre (Evaluador)]],TablaCalificaciones[[#This Row],[Seleccione el nombre del Estudiante]])</f>
        <v>Jessica Maria Guevara ZambranoHaro Ortega Kasandra Guadalupe</v>
      </c>
      <c r="O26" t="s">
        <v>92</v>
      </c>
      <c r="P26">
        <v>0</v>
      </c>
      <c r="R26" t="s">
        <v>50</v>
      </c>
      <c r="S26" s="22">
        <f>VLOOKUP(TablaCalificaciones[[#This Row],[Apertura: problema y objetivo ]],PESOS!A$16:B$20,2,0)</f>
        <v>16</v>
      </c>
      <c r="U26" t="s">
        <v>44</v>
      </c>
      <c r="V26" s="22">
        <f>VLOOKUP(TablaCalificaciones[[#This Row],[Metodología (nivel adecuado)]],PESOS!A$16:B$20,2,0)</f>
        <v>20</v>
      </c>
      <c r="X26" t="s">
        <v>44</v>
      </c>
      <c r="Y26" s="22">
        <f>VLOOKUP(TablaCalificaciones[[#This Row],[Resultados y evidencia ]],PESOS!A$16:B$20,2,0)</f>
        <v>20</v>
      </c>
      <c r="AA26" t="s">
        <v>45</v>
      </c>
      <c r="AB26" s="22">
        <f>VLOOKUP(TablaCalificaciones[[#This Row],[Coherencia y manejo del tiempo]],PESOS!A$25:B$29,2,0)</f>
        <v>10</v>
      </c>
      <c r="AD26" t="s">
        <v>45</v>
      </c>
      <c r="AE26" s="22">
        <f>VLOOKUP(TablaCalificaciones[[#This Row],[Diapositivas como apoyo]],PESOS!A$25:B$29,2,0)</f>
        <v>10</v>
      </c>
      <c r="AG26" t="s">
        <v>45</v>
      </c>
      <c r="AH26" s="22">
        <f>VLOOKUP(TablaCalificaciones[[#This Row],[Respuestas a preguntas]],PESOS!A$25:B$29,2,0)</f>
        <v>10</v>
      </c>
      <c r="AJ26" t="s">
        <v>45</v>
      </c>
      <c r="AK26" s="22">
        <f>VLOOKUP(TablaCalificaciones[[#This Row],[Cierre: aporte a próximos pasos]],PESOS!A$25:B$29,2,0)</f>
        <v>10</v>
      </c>
      <c r="AM26" s="1"/>
    </row>
    <row r="27" spans="1:39">
      <c r="A27">
        <v>26</v>
      </c>
      <c r="B27" s="2">
        <v>46133.434201388889</v>
      </c>
      <c r="C27" s="2">
        <v>46133.434641203705</v>
      </c>
      <c r="D27" t="s">
        <v>87</v>
      </c>
      <c r="E27" t="s">
        <v>88</v>
      </c>
      <c r="H27" s="2"/>
      <c r="I27" t="s">
        <v>41</v>
      </c>
      <c r="J27">
        <v>0</v>
      </c>
      <c r="L27" t="s">
        <v>88</v>
      </c>
      <c r="M27" s="26" t="str">
        <f>CONCATENATE(TablaCalificaciones[[#This Row],[Seleccione su nombre (Evaluador)]],TablaCalificaciones[[#This Row],[Seleccione el nombre del Estudiante]])</f>
        <v>Ana María Pazmiño DelgadoHaro Ortega Kasandra Guadalupe</v>
      </c>
      <c r="O27" t="s">
        <v>92</v>
      </c>
      <c r="P27">
        <v>0</v>
      </c>
      <c r="R27" t="s">
        <v>44</v>
      </c>
      <c r="S27" s="22">
        <f>VLOOKUP(TablaCalificaciones[[#This Row],[Apertura: problema y objetivo ]],PESOS!A$16:B$20,2,0)</f>
        <v>20</v>
      </c>
      <c r="U27" t="s">
        <v>44</v>
      </c>
      <c r="V27" s="22">
        <f>VLOOKUP(TablaCalificaciones[[#This Row],[Metodología (nivel adecuado)]],PESOS!A$16:B$20,2,0)</f>
        <v>20</v>
      </c>
      <c r="X27" t="s">
        <v>44</v>
      </c>
      <c r="Y27" s="22">
        <f>VLOOKUP(TablaCalificaciones[[#This Row],[Resultados y evidencia ]],PESOS!A$16:B$20,2,0)</f>
        <v>20</v>
      </c>
      <c r="AA27" t="s">
        <v>45</v>
      </c>
      <c r="AB27" s="22">
        <f>VLOOKUP(TablaCalificaciones[[#This Row],[Coherencia y manejo del tiempo]],PESOS!A$25:B$29,2,0)</f>
        <v>10</v>
      </c>
      <c r="AD27" t="s">
        <v>45</v>
      </c>
      <c r="AE27" s="22">
        <f>VLOOKUP(TablaCalificaciones[[#This Row],[Diapositivas como apoyo]],PESOS!A$25:B$29,2,0)</f>
        <v>10</v>
      </c>
      <c r="AG27" t="s">
        <v>45</v>
      </c>
      <c r="AH27" s="22">
        <f>VLOOKUP(TablaCalificaciones[[#This Row],[Respuestas a preguntas]],PESOS!A$25:B$29,2,0)</f>
        <v>10</v>
      </c>
      <c r="AJ27" t="s">
        <v>45</v>
      </c>
      <c r="AK27" s="22">
        <f>VLOOKUP(TablaCalificaciones[[#This Row],[Cierre: aporte a próximos pasos]],PESOS!A$25:B$29,2,0)</f>
        <v>10</v>
      </c>
      <c r="AM27" s="1"/>
    </row>
    <row r="28" spans="1:39">
      <c r="A28">
        <v>27</v>
      </c>
      <c r="B28" s="2">
        <v>46133.371041666665</v>
      </c>
      <c r="C28" s="2">
        <v>46133.434907407405</v>
      </c>
      <c r="D28" t="s">
        <v>39</v>
      </c>
      <c r="E28" t="s">
        <v>40</v>
      </c>
      <c r="H28" s="2"/>
      <c r="I28" t="s">
        <v>41</v>
      </c>
      <c r="J28">
        <v>0</v>
      </c>
      <c r="L28" t="s">
        <v>42</v>
      </c>
      <c r="M28" s="26" t="str">
        <f>CONCATENATE(TablaCalificaciones[[#This Row],[Seleccione su nombre (Evaluador)]],TablaCalificaciones[[#This Row],[Seleccione el nombre del Estudiante]])</f>
        <v>Patricio David PonceDiaz Priscila Soledad</v>
      </c>
      <c r="O28" t="s">
        <v>89</v>
      </c>
      <c r="P28">
        <v>0</v>
      </c>
      <c r="R28" t="s">
        <v>44</v>
      </c>
      <c r="S28" s="22">
        <f>VLOOKUP(TablaCalificaciones[[#This Row],[Apertura: problema y objetivo ]],PESOS!A$16:B$20,2,0)</f>
        <v>20</v>
      </c>
      <c r="U28" t="s">
        <v>44</v>
      </c>
      <c r="V28" s="22">
        <f>VLOOKUP(TablaCalificaciones[[#This Row],[Metodología (nivel adecuado)]],PESOS!A$16:B$20,2,0)</f>
        <v>20</v>
      </c>
      <c r="X28" t="s">
        <v>44</v>
      </c>
      <c r="Y28" s="22">
        <f>VLOOKUP(TablaCalificaciones[[#This Row],[Resultados y evidencia ]],PESOS!A$16:B$20,2,0)</f>
        <v>20</v>
      </c>
      <c r="AA28" t="s">
        <v>45</v>
      </c>
      <c r="AB28" s="22">
        <f>VLOOKUP(TablaCalificaciones[[#This Row],[Coherencia y manejo del tiempo]],PESOS!A$25:B$29,2,0)</f>
        <v>10</v>
      </c>
      <c r="AD28" t="s">
        <v>45</v>
      </c>
      <c r="AE28" s="22">
        <f>VLOOKUP(TablaCalificaciones[[#This Row],[Diapositivas como apoyo]],PESOS!A$25:B$29,2,0)</f>
        <v>10</v>
      </c>
      <c r="AG28" t="s">
        <v>45</v>
      </c>
      <c r="AH28" s="22">
        <f>VLOOKUP(TablaCalificaciones[[#This Row],[Respuestas a preguntas]],PESOS!A$25:B$29,2,0)</f>
        <v>10</v>
      </c>
      <c r="AJ28" t="s">
        <v>45</v>
      </c>
      <c r="AK28" s="22">
        <f>VLOOKUP(TablaCalificaciones[[#This Row],[Cierre: aporte a próximos pasos]],PESOS!A$25:B$29,2,0)</f>
        <v>10</v>
      </c>
      <c r="AM28" s="1"/>
    </row>
    <row r="29" spans="1:39">
      <c r="A29">
        <v>28</v>
      </c>
      <c r="B29" s="2">
        <v>46133.434525462966</v>
      </c>
      <c r="C29" s="2">
        <v>46133.435023148151</v>
      </c>
      <c r="D29" t="s">
        <v>90</v>
      </c>
      <c r="E29" t="s">
        <v>91</v>
      </c>
      <c r="H29" s="2"/>
      <c r="I29" t="s">
        <v>41</v>
      </c>
      <c r="J29">
        <v>0</v>
      </c>
      <c r="L29" t="s">
        <v>91</v>
      </c>
      <c r="M29" s="26" t="str">
        <f>CONCATENATE(TablaCalificaciones[[#This Row],[Seleccione su nombre (Evaluador)]],TablaCalificaciones[[#This Row],[Seleccione el nombre del Estudiante]])</f>
        <v>Jessica Maria Guevara ZambranoDiaz Priscila Soledad</v>
      </c>
      <c r="O29" t="s">
        <v>89</v>
      </c>
      <c r="P29">
        <v>0</v>
      </c>
      <c r="R29" t="s">
        <v>44</v>
      </c>
      <c r="S29" s="22">
        <f>VLOOKUP(TablaCalificaciones[[#This Row],[Apertura: problema y objetivo ]],PESOS!A$16:B$20,2,0)</f>
        <v>20</v>
      </c>
      <c r="U29" t="s">
        <v>44</v>
      </c>
      <c r="V29" s="22">
        <f>VLOOKUP(TablaCalificaciones[[#This Row],[Metodología (nivel adecuado)]],PESOS!A$16:B$20,2,0)</f>
        <v>20</v>
      </c>
      <c r="X29" t="s">
        <v>44</v>
      </c>
      <c r="Y29" s="22">
        <f>VLOOKUP(TablaCalificaciones[[#This Row],[Resultados y evidencia ]],PESOS!A$16:B$20,2,0)</f>
        <v>20</v>
      </c>
      <c r="AA29" t="s">
        <v>45</v>
      </c>
      <c r="AB29" s="22">
        <f>VLOOKUP(TablaCalificaciones[[#This Row],[Coherencia y manejo del tiempo]],PESOS!A$25:B$29,2,0)</f>
        <v>10</v>
      </c>
      <c r="AD29" t="s">
        <v>45</v>
      </c>
      <c r="AE29" s="22">
        <f>VLOOKUP(TablaCalificaciones[[#This Row],[Diapositivas como apoyo]],PESOS!A$25:B$29,2,0)</f>
        <v>10</v>
      </c>
      <c r="AG29" t="s">
        <v>45</v>
      </c>
      <c r="AH29" s="22">
        <f>VLOOKUP(TablaCalificaciones[[#This Row],[Respuestas a preguntas]],PESOS!A$25:B$29,2,0)</f>
        <v>10</v>
      </c>
      <c r="AJ29" t="s">
        <v>45</v>
      </c>
      <c r="AK29" s="22">
        <f>VLOOKUP(TablaCalificaciones[[#This Row],[Cierre: aporte a próximos pasos]],PESOS!A$25:B$29,2,0)</f>
        <v>10</v>
      </c>
      <c r="AM29" s="1"/>
    </row>
    <row r="30" spans="1:39">
      <c r="A30">
        <v>29</v>
      </c>
      <c r="B30" s="2">
        <v>46133.397511574076</v>
      </c>
      <c r="C30" s="2">
        <v>46133.435231481482</v>
      </c>
      <c r="D30" t="s">
        <v>59</v>
      </c>
      <c r="E30" t="s">
        <v>60</v>
      </c>
      <c r="H30" s="2"/>
      <c r="I30" t="s">
        <v>41</v>
      </c>
      <c r="J30">
        <v>0</v>
      </c>
      <c r="L30" t="s">
        <v>60</v>
      </c>
      <c r="M30" s="26" t="str">
        <f>CONCATENATE(TablaCalificaciones[[#This Row],[Seleccione su nombre (Evaluador)]],TablaCalificaciones[[#This Row],[Seleccione el nombre del Estudiante]])</f>
        <v>Santiago Leonardo SolórzanoNarváez Torres Christian Ariel</v>
      </c>
      <c r="O30" t="s">
        <v>81</v>
      </c>
      <c r="P30">
        <v>0</v>
      </c>
      <c r="R30" t="s">
        <v>44</v>
      </c>
      <c r="S30" s="22">
        <f>VLOOKUP(TablaCalificaciones[[#This Row],[Apertura: problema y objetivo ]],PESOS!A$16:B$20,2,0)</f>
        <v>20</v>
      </c>
      <c r="U30" t="s">
        <v>44</v>
      </c>
      <c r="V30" s="22">
        <f>VLOOKUP(TablaCalificaciones[[#This Row],[Metodología (nivel adecuado)]],PESOS!A$16:B$20,2,0)</f>
        <v>20</v>
      </c>
      <c r="X30" t="s">
        <v>44</v>
      </c>
      <c r="Y30" s="22">
        <f>VLOOKUP(TablaCalificaciones[[#This Row],[Resultados y evidencia ]],PESOS!A$16:B$20,2,0)</f>
        <v>20</v>
      </c>
      <c r="AA30" t="s">
        <v>51</v>
      </c>
      <c r="AB30" s="22">
        <f>VLOOKUP(TablaCalificaciones[[#This Row],[Coherencia y manejo del tiempo]],PESOS!A$25:B$29,2,0)</f>
        <v>8</v>
      </c>
      <c r="AD30" t="s">
        <v>51</v>
      </c>
      <c r="AE30" s="22">
        <f>VLOOKUP(TablaCalificaciones[[#This Row],[Diapositivas como apoyo]],PESOS!A$25:B$29,2,0)</f>
        <v>8</v>
      </c>
      <c r="AG30" t="s">
        <v>45</v>
      </c>
      <c r="AH30" s="22">
        <f>VLOOKUP(TablaCalificaciones[[#This Row],[Respuestas a preguntas]],PESOS!A$25:B$29,2,0)</f>
        <v>10</v>
      </c>
      <c r="AJ30" t="s">
        <v>45</v>
      </c>
      <c r="AK30" s="22">
        <f>VLOOKUP(TablaCalificaciones[[#This Row],[Cierre: aporte a próximos pasos]],PESOS!A$25:B$29,2,0)</f>
        <v>10</v>
      </c>
      <c r="AM30" s="1"/>
    </row>
    <row r="31" spans="1:39">
      <c r="A31">
        <v>30</v>
      </c>
      <c r="B31" s="2">
        <v>46133.434965277775</v>
      </c>
      <c r="C31" s="2">
        <v>46133.435381944444</v>
      </c>
      <c r="D31" t="s">
        <v>39</v>
      </c>
      <c r="E31" t="s">
        <v>40</v>
      </c>
      <c r="H31" s="2"/>
      <c r="I31" t="s">
        <v>41</v>
      </c>
      <c r="J31">
        <v>0</v>
      </c>
      <c r="L31" t="s">
        <v>42</v>
      </c>
      <c r="M31" s="26" t="str">
        <f>CONCATENATE(TablaCalificaciones[[#This Row],[Seleccione su nombre (Evaluador)]],TablaCalificaciones[[#This Row],[Seleccione el nombre del Estudiante]])</f>
        <v>Patricio David PonceHaro Ortega Kasandra Guadalupe</v>
      </c>
      <c r="O31" t="s">
        <v>92</v>
      </c>
      <c r="P31">
        <v>0</v>
      </c>
      <c r="R31" t="s">
        <v>44</v>
      </c>
      <c r="S31" s="22">
        <f>VLOOKUP(TablaCalificaciones[[#This Row],[Apertura: problema y objetivo ]],PESOS!A$16:B$20,2,0)</f>
        <v>20</v>
      </c>
      <c r="U31" t="s">
        <v>44</v>
      </c>
      <c r="V31" s="22">
        <f>VLOOKUP(TablaCalificaciones[[#This Row],[Metodología (nivel adecuado)]],PESOS!A$16:B$20,2,0)</f>
        <v>20</v>
      </c>
      <c r="X31" t="s">
        <v>44</v>
      </c>
      <c r="Y31" s="22">
        <f>VLOOKUP(TablaCalificaciones[[#This Row],[Resultados y evidencia ]],PESOS!A$16:B$20,2,0)</f>
        <v>20</v>
      </c>
      <c r="AA31" t="s">
        <v>45</v>
      </c>
      <c r="AB31" s="22">
        <f>VLOOKUP(TablaCalificaciones[[#This Row],[Coherencia y manejo del tiempo]],PESOS!A$25:B$29,2,0)</f>
        <v>10</v>
      </c>
      <c r="AD31" t="s">
        <v>45</v>
      </c>
      <c r="AE31" s="22">
        <f>VLOOKUP(TablaCalificaciones[[#This Row],[Diapositivas como apoyo]],PESOS!A$25:B$29,2,0)</f>
        <v>10</v>
      </c>
      <c r="AG31" t="s">
        <v>45</v>
      </c>
      <c r="AH31" s="22">
        <f>VLOOKUP(TablaCalificaciones[[#This Row],[Respuestas a preguntas]],PESOS!A$25:B$29,2,0)</f>
        <v>10</v>
      </c>
      <c r="AJ31" t="s">
        <v>45</v>
      </c>
      <c r="AK31" s="22">
        <f>VLOOKUP(TablaCalificaciones[[#This Row],[Cierre: aporte a próximos pasos]],PESOS!A$25:B$29,2,0)</f>
        <v>10</v>
      </c>
      <c r="AM31" s="1"/>
    </row>
    <row r="32" spans="1:39">
      <c r="A32">
        <v>31</v>
      </c>
      <c r="B32" s="2">
        <v>46133.415972222225</v>
      </c>
      <c r="C32" s="2">
        <v>46133.435636574075</v>
      </c>
      <c r="D32" t="s">
        <v>59</v>
      </c>
      <c r="E32" t="s">
        <v>60</v>
      </c>
      <c r="H32" s="2"/>
      <c r="I32" t="s">
        <v>41</v>
      </c>
      <c r="J32">
        <v>0</v>
      </c>
      <c r="L32" t="s">
        <v>60</v>
      </c>
      <c r="M32" s="26" t="str">
        <f>CONCATENATE(TablaCalificaciones[[#This Row],[Seleccione su nombre (Evaluador)]],TablaCalificaciones[[#This Row],[Seleccione el nombre del Estudiante]])</f>
        <v>Santiago Leonardo SolórzanoVintimilla Silva Thyara Mikaela</v>
      </c>
      <c r="O32" t="s">
        <v>77</v>
      </c>
      <c r="P32">
        <v>0</v>
      </c>
      <c r="R32" t="s">
        <v>44</v>
      </c>
      <c r="S32" s="22">
        <f>VLOOKUP(TablaCalificaciones[[#This Row],[Apertura: problema y objetivo ]],PESOS!A$16:B$20,2,0)</f>
        <v>20</v>
      </c>
      <c r="U32" t="s">
        <v>44</v>
      </c>
      <c r="V32" s="22">
        <f>VLOOKUP(TablaCalificaciones[[#This Row],[Metodología (nivel adecuado)]],PESOS!A$16:B$20,2,0)</f>
        <v>20</v>
      </c>
      <c r="X32" t="s">
        <v>44</v>
      </c>
      <c r="Y32" s="22">
        <f>VLOOKUP(TablaCalificaciones[[#This Row],[Resultados y evidencia ]],PESOS!A$16:B$20,2,0)</f>
        <v>20</v>
      </c>
      <c r="AA32" t="s">
        <v>51</v>
      </c>
      <c r="AB32" s="22">
        <f>VLOOKUP(TablaCalificaciones[[#This Row],[Coherencia y manejo del tiempo]],PESOS!A$25:B$29,2,0)</f>
        <v>8</v>
      </c>
      <c r="AD32" t="s">
        <v>51</v>
      </c>
      <c r="AE32" s="22">
        <f>VLOOKUP(TablaCalificaciones[[#This Row],[Diapositivas como apoyo]],PESOS!A$25:B$29,2,0)</f>
        <v>8</v>
      </c>
      <c r="AG32" t="s">
        <v>45</v>
      </c>
      <c r="AH32" s="22">
        <f>VLOOKUP(TablaCalificaciones[[#This Row],[Respuestas a preguntas]],PESOS!A$25:B$29,2,0)</f>
        <v>10</v>
      </c>
      <c r="AJ32" t="s">
        <v>45</v>
      </c>
      <c r="AK32" s="22">
        <f>VLOOKUP(TablaCalificaciones[[#This Row],[Cierre: aporte a próximos pasos]],PESOS!A$25:B$29,2,0)</f>
        <v>10</v>
      </c>
      <c r="AM32" s="1"/>
    </row>
    <row r="33" spans="1:39">
      <c r="A33">
        <v>32</v>
      </c>
      <c r="B33" s="2">
        <v>46133.434675925928</v>
      </c>
      <c r="C33" s="2">
        <v>46133.438518518517</v>
      </c>
      <c r="D33" t="s">
        <v>87</v>
      </c>
      <c r="E33" t="s">
        <v>88</v>
      </c>
      <c r="H33" s="2"/>
      <c r="I33" t="s">
        <v>41</v>
      </c>
      <c r="J33">
        <v>0</v>
      </c>
      <c r="L33" t="s">
        <v>88</v>
      </c>
      <c r="M33" s="26" t="str">
        <f>CONCATENATE(TablaCalificaciones[[#This Row],[Seleccione su nombre (Evaluador)]],TablaCalificaciones[[#This Row],[Seleccione el nombre del Estudiante]])</f>
        <v>Ana María Pazmiño DelgadoFernández Lazcano María José</v>
      </c>
      <c r="O33" t="s">
        <v>63</v>
      </c>
      <c r="P33">
        <v>0</v>
      </c>
      <c r="R33" t="s">
        <v>44</v>
      </c>
      <c r="S33" s="22">
        <f>VLOOKUP(TablaCalificaciones[[#This Row],[Apertura: problema y objetivo ]],PESOS!A$16:B$20,2,0)</f>
        <v>20</v>
      </c>
      <c r="U33" t="s">
        <v>44</v>
      </c>
      <c r="V33" s="22">
        <f>VLOOKUP(TablaCalificaciones[[#This Row],[Metodología (nivel adecuado)]],PESOS!A$16:B$20,2,0)</f>
        <v>20</v>
      </c>
      <c r="X33" t="s">
        <v>44</v>
      </c>
      <c r="Y33" s="22">
        <f>VLOOKUP(TablaCalificaciones[[#This Row],[Resultados y evidencia ]],PESOS!A$16:B$20,2,0)</f>
        <v>20</v>
      </c>
      <c r="AA33" t="s">
        <v>45</v>
      </c>
      <c r="AB33" s="22">
        <f>VLOOKUP(TablaCalificaciones[[#This Row],[Coherencia y manejo del tiempo]],PESOS!A$25:B$29,2,0)</f>
        <v>10</v>
      </c>
      <c r="AD33" t="s">
        <v>45</v>
      </c>
      <c r="AE33" s="22">
        <f>VLOOKUP(TablaCalificaciones[[#This Row],[Diapositivas como apoyo]],PESOS!A$25:B$29,2,0)</f>
        <v>10</v>
      </c>
      <c r="AG33" t="s">
        <v>45</v>
      </c>
      <c r="AH33" s="22">
        <f>VLOOKUP(TablaCalificaciones[[#This Row],[Respuestas a preguntas]],PESOS!A$25:B$29,2,0)</f>
        <v>10</v>
      </c>
      <c r="AJ33" t="s">
        <v>45</v>
      </c>
      <c r="AK33" s="22">
        <f>VLOOKUP(TablaCalificaciones[[#This Row],[Cierre: aporte a próximos pasos]],PESOS!A$25:B$29,2,0)</f>
        <v>10</v>
      </c>
      <c r="AM33" s="1"/>
    </row>
    <row r="34" spans="1:39">
      <c r="A34">
        <v>33</v>
      </c>
      <c r="B34" s="2">
        <v>46133.43854166667</v>
      </c>
      <c r="C34" s="2">
        <v>46133.439166666663</v>
      </c>
      <c r="D34" t="s">
        <v>87</v>
      </c>
      <c r="E34" t="s">
        <v>88</v>
      </c>
      <c r="H34" s="2"/>
      <c r="I34" t="s">
        <v>41</v>
      </c>
      <c r="J34">
        <v>0</v>
      </c>
      <c r="L34" t="s">
        <v>88</v>
      </c>
      <c r="M34" s="26" t="str">
        <f>CONCATENATE(TablaCalificaciones[[#This Row],[Seleccione su nombre (Evaluador)]],TablaCalificaciones[[#This Row],[Seleccione el nombre del Estudiante]])</f>
        <v>Ana María Pazmiño DelgadoSacoto Macías Alicia Fernanda</v>
      </c>
      <c r="O34" t="s">
        <v>64</v>
      </c>
      <c r="P34">
        <v>0</v>
      </c>
      <c r="R34" t="s">
        <v>44</v>
      </c>
      <c r="S34" s="22">
        <f>VLOOKUP(TablaCalificaciones[[#This Row],[Apertura: problema y objetivo ]],PESOS!A$16:B$20,2,0)</f>
        <v>20</v>
      </c>
      <c r="U34" t="s">
        <v>44</v>
      </c>
      <c r="V34" s="22">
        <f>VLOOKUP(TablaCalificaciones[[#This Row],[Metodología (nivel adecuado)]],PESOS!A$16:B$20,2,0)</f>
        <v>20</v>
      </c>
      <c r="X34" t="s">
        <v>44</v>
      </c>
      <c r="Y34" s="22">
        <f>VLOOKUP(TablaCalificaciones[[#This Row],[Resultados y evidencia ]],PESOS!A$16:B$20,2,0)</f>
        <v>20</v>
      </c>
      <c r="AA34" t="s">
        <v>45</v>
      </c>
      <c r="AB34" s="22">
        <f>VLOOKUP(TablaCalificaciones[[#This Row],[Coherencia y manejo del tiempo]],PESOS!A$25:B$29,2,0)</f>
        <v>10</v>
      </c>
      <c r="AD34" t="s">
        <v>45</v>
      </c>
      <c r="AE34" s="22">
        <f>VLOOKUP(TablaCalificaciones[[#This Row],[Diapositivas como apoyo]],PESOS!A$25:B$29,2,0)</f>
        <v>10</v>
      </c>
      <c r="AG34" t="s">
        <v>45</v>
      </c>
      <c r="AH34" s="22">
        <f>VLOOKUP(TablaCalificaciones[[#This Row],[Respuestas a preguntas]],PESOS!A$25:B$29,2,0)</f>
        <v>10</v>
      </c>
      <c r="AJ34" t="s">
        <v>45</v>
      </c>
      <c r="AK34" s="22">
        <f>VLOOKUP(TablaCalificaciones[[#This Row],[Cierre: aporte a próximos pasos]],PESOS!A$25:B$29,2,0)</f>
        <v>10</v>
      </c>
      <c r="AM34" s="1"/>
    </row>
    <row r="35" spans="1:39">
      <c r="A35">
        <v>34</v>
      </c>
      <c r="B35" s="2">
        <v>46133.43917824074</v>
      </c>
      <c r="C35" s="2">
        <v>46133.439525462964</v>
      </c>
      <c r="D35" t="s">
        <v>87</v>
      </c>
      <c r="E35" t="s">
        <v>88</v>
      </c>
      <c r="H35" s="2"/>
      <c r="I35" t="s">
        <v>41</v>
      </c>
      <c r="J35">
        <v>0</v>
      </c>
      <c r="L35" t="s">
        <v>88</v>
      </c>
      <c r="M35" s="26" t="str">
        <f>CONCATENATE(TablaCalificaciones[[#This Row],[Seleccione su nombre (Evaluador)]],TablaCalificaciones[[#This Row],[Seleccione el nombre del Estudiante]])</f>
        <v>Ana María Pazmiño DelgadoZaldumbide Egas Ana Cristina</v>
      </c>
      <c r="O35" t="s">
        <v>65</v>
      </c>
      <c r="P35">
        <v>0</v>
      </c>
      <c r="R35" t="s">
        <v>44</v>
      </c>
      <c r="S35" s="22">
        <f>VLOOKUP(TablaCalificaciones[[#This Row],[Apertura: problema y objetivo ]],PESOS!A$16:B$20,2,0)</f>
        <v>20</v>
      </c>
      <c r="U35" t="s">
        <v>44</v>
      </c>
      <c r="V35" s="22">
        <f>VLOOKUP(TablaCalificaciones[[#This Row],[Metodología (nivel adecuado)]],PESOS!A$16:B$20,2,0)</f>
        <v>20</v>
      </c>
      <c r="X35" t="s">
        <v>44</v>
      </c>
      <c r="Y35" s="22">
        <f>VLOOKUP(TablaCalificaciones[[#This Row],[Resultados y evidencia ]],PESOS!A$16:B$20,2,0)</f>
        <v>20</v>
      </c>
      <c r="AA35" t="s">
        <v>45</v>
      </c>
      <c r="AB35" s="22">
        <f>VLOOKUP(TablaCalificaciones[[#This Row],[Coherencia y manejo del tiempo]],PESOS!A$25:B$29,2,0)</f>
        <v>10</v>
      </c>
      <c r="AD35" t="s">
        <v>45</v>
      </c>
      <c r="AE35" s="22">
        <f>VLOOKUP(TablaCalificaciones[[#This Row],[Diapositivas como apoyo]],PESOS!A$25:B$29,2,0)</f>
        <v>10</v>
      </c>
      <c r="AG35" t="s">
        <v>45</v>
      </c>
      <c r="AH35" s="22">
        <f>VLOOKUP(TablaCalificaciones[[#This Row],[Respuestas a preguntas]],PESOS!A$25:B$29,2,0)</f>
        <v>10</v>
      </c>
      <c r="AJ35" t="s">
        <v>45</v>
      </c>
      <c r="AK35" s="22">
        <f>VLOOKUP(TablaCalificaciones[[#This Row],[Cierre: aporte a próximos pasos]],PESOS!A$25:B$29,2,0)</f>
        <v>10</v>
      </c>
      <c r="AM35" s="1"/>
    </row>
    <row r="36" spans="1:39">
      <c r="A36">
        <v>35</v>
      </c>
      <c r="B36" s="2">
        <v>46133.418541666666</v>
      </c>
      <c r="C36" s="2">
        <v>46133.439872685187</v>
      </c>
      <c r="D36" t="s">
        <v>74</v>
      </c>
      <c r="E36" t="s">
        <v>75</v>
      </c>
      <c r="H36" s="2"/>
      <c r="I36" t="s">
        <v>41</v>
      </c>
      <c r="J36">
        <v>0</v>
      </c>
      <c r="L36" t="s">
        <v>76</v>
      </c>
      <c r="M36" s="26" t="str">
        <f>CONCATENATE(TablaCalificaciones[[#This Row],[Seleccione su nombre (Evaluador)]],TablaCalificaciones[[#This Row],[Seleccione el nombre del Estudiante]])</f>
        <v>Edwin García AucatomaNarváez Torres Christian Ariel</v>
      </c>
      <c r="O36" t="s">
        <v>81</v>
      </c>
      <c r="P36">
        <v>0</v>
      </c>
      <c r="R36" t="s">
        <v>50</v>
      </c>
      <c r="S36" s="22">
        <f>VLOOKUP(TablaCalificaciones[[#This Row],[Apertura: problema y objetivo ]],PESOS!A$16:B$20,2,0)</f>
        <v>16</v>
      </c>
      <c r="U36" t="s">
        <v>44</v>
      </c>
      <c r="V36" s="22">
        <f>VLOOKUP(TablaCalificaciones[[#This Row],[Metodología (nivel adecuado)]],PESOS!A$16:B$20,2,0)</f>
        <v>20</v>
      </c>
      <c r="X36" t="s">
        <v>50</v>
      </c>
      <c r="Y36" s="22">
        <f>VLOOKUP(TablaCalificaciones[[#This Row],[Resultados y evidencia ]],PESOS!A$16:B$20,2,0)</f>
        <v>16</v>
      </c>
      <c r="AA36" t="s">
        <v>51</v>
      </c>
      <c r="AB36" s="22">
        <f>VLOOKUP(TablaCalificaciones[[#This Row],[Coherencia y manejo del tiempo]],PESOS!A$25:B$29,2,0)</f>
        <v>8</v>
      </c>
      <c r="AD36" t="s">
        <v>45</v>
      </c>
      <c r="AE36" s="22">
        <f>VLOOKUP(TablaCalificaciones[[#This Row],[Diapositivas como apoyo]],PESOS!A$25:B$29,2,0)</f>
        <v>10</v>
      </c>
      <c r="AG36" t="s">
        <v>45</v>
      </c>
      <c r="AH36" s="22">
        <f>VLOOKUP(TablaCalificaciones[[#This Row],[Respuestas a preguntas]],PESOS!A$25:B$29,2,0)</f>
        <v>10</v>
      </c>
      <c r="AJ36" t="s">
        <v>51</v>
      </c>
      <c r="AK36" s="22">
        <f>VLOOKUP(TablaCalificaciones[[#This Row],[Cierre: aporte a próximos pasos]],PESOS!A$25:B$29,2,0)</f>
        <v>8</v>
      </c>
      <c r="AM36" s="1"/>
    </row>
    <row r="37" spans="1:39">
      <c r="A37">
        <v>36</v>
      </c>
      <c r="B37" s="2">
        <v>46133.415613425925</v>
      </c>
      <c r="C37" s="2">
        <v>46133.439895833333</v>
      </c>
      <c r="D37" t="s">
        <v>74</v>
      </c>
      <c r="E37" t="s">
        <v>75</v>
      </c>
      <c r="H37" s="2"/>
      <c r="I37" t="s">
        <v>41</v>
      </c>
      <c r="J37">
        <v>0</v>
      </c>
      <c r="L37" t="s">
        <v>76</v>
      </c>
      <c r="M37" s="26" t="str">
        <f>CONCATENATE(TablaCalificaciones[[#This Row],[Seleccione su nombre (Evaluador)]],TablaCalificaciones[[#This Row],[Seleccione el nombre del Estudiante]])</f>
        <v>Edwin García AucatomaVintimilla Silva Thyara Mikaela</v>
      </c>
      <c r="O37" t="s">
        <v>77</v>
      </c>
      <c r="P37">
        <v>0</v>
      </c>
      <c r="R37" t="s">
        <v>50</v>
      </c>
      <c r="S37" s="22">
        <f>VLOOKUP(TablaCalificaciones[[#This Row],[Apertura: problema y objetivo ]],PESOS!A$16:B$20,2,0)</f>
        <v>16</v>
      </c>
      <c r="U37" t="s">
        <v>44</v>
      </c>
      <c r="V37" s="22">
        <f>VLOOKUP(TablaCalificaciones[[#This Row],[Metodología (nivel adecuado)]],PESOS!A$16:B$20,2,0)</f>
        <v>20</v>
      </c>
      <c r="X37" t="s">
        <v>50</v>
      </c>
      <c r="Y37" s="22">
        <f>VLOOKUP(TablaCalificaciones[[#This Row],[Resultados y evidencia ]],PESOS!A$16:B$20,2,0)</f>
        <v>16</v>
      </c>
      <c r="AA37" t="s">
        <v>51</v>
      </c>
      <c r="AB37" s="22">
        <f>VLOOKUP(TablaCalificaciones[[#This Row],[Coherencia y manejo del tiempo]],PESOS!A$25:B$29,2,0)</f>
        <v>8</v>
      </c>
      <c r="AD37" t="s">
        <v>45</v>
      </c>
      <c r="AE37" s="22">
        <f>VLOOKUP(TablaCalificaciones[[#This Row],[Diapositivas como apoyo]],PESOS!A$25:B$29,2,0)</f>
        <v>10</v>
      </c>
      <c r="AG37" t="s">
        <v>45</v>
      </c>
      <c r="AH37" s="22">
        <f>VLOOKUP(TablaCalificaciones[[#This Row],[Respuestas a preguntas]],PESOS!A$25:B$29,2,0)</f>
        <v>10</v>
      </c>
      <c r="AJ37" t="s">
        <v>51</v>
      </c>
      <c r="AK37" s="22">
        <f>VLOOKUP(TablaCalificaciones[[#This Row],[Cierre: aporte a próximos pasos]],PESOS!A$25:B$29,2,0)</f>
        <v>8</v>
      </c>
      <c r="AM37" s="1"/>
    </row>
    <row r="38" spans="1:39">
      <c r="A38">
        <v>37</v>
      </c>
      <c r="B38" s="2">
        <v>46133.439062500001</v>
      </c>
      <c r="C38" s="2">
        <v>46133.439953703702</v>
      </c>
      <c r="D38" t="s">
        <v>93</v>
      </c>
      <c r="E38" t="s">
        <v>94</v>
      </c>
      <c r="H38" s="2"/>
      <c r="I38" t="s">
        <v>41</v>
      </c>
      <c r="J38">
        <v>0</v>
      </c>
      <c r="L38" t="s">
        <v>95</v>
      </c>
      <c r="M38" s="26" t="str">
        <f>CONCATENATE(TablaCalificaciones[[#This Row],[Seleccione su nombre (Evaluador)]],TablaCalificaciones[[#This Row],[Seleccione el nombre del Estudiante]])</f>
        <v>Nelly Patricia Acosta VargasHerrera Ávila Boris Mateo</v>
      </c>
      <c r="O38" t="s">
        <v>96</v>
      </c>
      <c r="P38">
        <v>0</v>
      </c>
      <c r="R38" t="s">
        <v>44</v>
      </c>
      <c r="S38" s="22">
        <f>VLOOKUP(TablaCalificaciones[[#This Row],[Apertura: problema y objetivo ]],PESOS!A$16:B$20,2,0)</f>
        <v>20</v>
      </c>
      <c r="U38" t="s">
        <v>44</v>
      </c>
      <c r="V38" s="22">
        <f>VLOOKUP(TablaCalificaciones[[#This Row],[Metodología (nivel adecuado)]],PESOS!A$16:B$20,2,0)</f>
        <v>20</v>
      </c>
      <c r="X38" t="s">
        <v>44</v>
      </c>
      <c r="Y38" s="22">
        <f>VLOOKUP(TablaCalificaciones[[#This Row],[Resultados y evidencia ]],PESOS!A$16:B$20,2,0)</f>
        <v>20</v>
      </c>
      <c r="AA38" t="s">
        <v>45</v>
      </c>
      <c r="AB38" s="22">
        <f>VLOOKUP(TablaCalificaciones[[#This Row],[Coherencia y manejo del tiempo]],PESOS!A$25:B$29,2,0)</f>
        <v>10</v>
      </c>
      <c r="AD38" t="s">
        <v>45</v>
      </c>
      <c r="AE38" s="22">
        <f>VLOOKUP(TablaCalificaciones[[#This Row],[Diapositivas como apoyo]],PESOS!A$25:B$29,2,0)</f>
        <v>10</v>
      </c>
      <c r="AG38" t="s">
        <v>45</v>
      </c>
      <c r="AH38" s="22">
        <f>VLOOKUP(TablaCalificaciones[[#This Row],[Respuestas a preguntas]],PESOS!A$25:B$29,2,0)</f>
        <v>10</v>
      </c>
      <c r="AJ38" t="s">
        <v>45</v>
      </c>
      <c r="AK38" s="22">
        <f>VLOOKUP(TablaCalificaciones[[#This Row],[Cierre: aporte a próximos pasos]],PESOS!A$25:B$29,2,0)</f>
        <v>10</v>
      </c>
      <c r="AM38" s="1"/>
    </row>
    <row r="39" spans="1:39">
      <c r="A39">
        <v>38</v>
      </c>
      <c r="B39" s="2">
        <v>46133.395439814813</v>
      </c>
      <c r="C39" s="2">
        <v>46133.442384259259</v>
      </c>
      <c r="D39" t="s">
        <v>97</v>
      </c>
      <c r="E39" t="s">
        <v>98</v>
      </c>
      <c r="H39" s="2"/>
      <c r="I39" t="s">
        <v>41</v>
      </c>
      <c r="J39">
        <v>0</v>
      </c>
      <c r="L39" t="s">
        <v>99</v>
      </c>
      <c r="M39" s="26" t="str">
        <f>CONCATENATE(TablaCalificaciones[[#This Row],[Seleccione su nombre (Evaluador)]],TablaCalificaciones[[#This Row],[Seleccione el nombre del Estudiante]])</f>
        <v>Víctor Javier Gómez RegaladoRojas González María Fernanda</v>
      </c>
      <c r="O39" t="s">
        <v>49</v>
      </c>
      <c r="P39">
        <v>0</v>
      </c>
      <c r="R39" t="s">
        <v>44</v>
      </c>
      <c r="S39" s="22">
        <f>VLOOKUP(TablaCalificaciones[[#This Row],[Apertura: problema y objetivo ]],PESOS!A$16:B$20,2,0)</f>
        <v>20</v>
      </c>
      <c r="U39" t="s">
        <v>44</v>
      </c>
      <c r="V39" s="22">
        <f>VLOOKUP(TablaCalificaciones[[#This Row],[Metodología (nivel adecuado)]],PESOS!A$16:B$20,2,0)</f>
        <v>20</v>
      </c>
      <c r="X39" t="s">
        <v>44</v>
      </c>
      <c r="Y39" s="22">
        <f>VLOOKUP(TablaCalificaciones[[#This Row],[Resultados y evidencia ]],PESOS!A$16:B$20,2,0)</f>
        <v>20</v>
      </c>
      <c r="AA39" t="s">
        <v>45</v>
      </c>
      <c r="AB39" s="22">
        <f>VLOOKUP(TablaCalificaciones[[#This Row],[Coherencia y manejo del tiempo]],PESOS!A$25:B$29,2,0)</f>
        <v>10</v>
      </c>
      <c r="AD39" t="s">
        <v>45</v>
      </c>
      <c r="AE39" s="22">
        <f>VLOOKUP(TablaCalificaciones[[#This Row],[Diapositivas como apoyo]],PESOS!A$25:B$29,2,0)</f>
        <v>10</v>
      </c>
      <c r="AG39" t="s">
        <v>45</v>
      </c>
      <c r="AH39" s="22">
        <f>VLOOKUP(TablaCalificaciones[[#This Row],[Respuestas a preguntas]],PESOS!A$25:B$29,2,0)</f>
        <v>10</v>
      </c>
      <c r="AJ39" t="s">
        <v>51</v>
      </c>
      <c r="AK39" s="22">
        <f>VLOOKUP(TablaCalificaciones[[#This Row],[Cierre: aporte a próximos pasos]],PESOS!A$25:B$29,2,0)</f>
        <v>8</v>
      </c>
      <c r="AM39" s="1"/>
    </row>
    <row r="40" spans="1:39">
      <c r="A40">
        <v>39</v>
      </c>
      <c r="B40" s="2">
        <v>46133.442476851851</v>
      </c>
      <c r="C40" s="2">
        <v>46133.448506944442</v>
      </c>
      <c r="D40" t="s">
        <v>97</v>
      </c>
      <c r="E40" t="s">
        <v>98</v>
      </c>
      <c r="H40" s="2"/>
      <c r="I40" t="s">
        <v>41</v>
      </c>
      <c r="J40">
        <v>0</v>
      </c>
      <c r="L40" t="s">
        <v>99</v>
      </c>
      <c r="M40" s="26" t="str">
        <f>CONCATENATE(TablaCalificaciones[[#This Row],[Seleccione su nombre (Evaluador)]],TablaCalificaciones[[#This Row],[Seleccione el nombre del Estudiante]])</f>
        <v>Víctor Javier Gómez RegaladoRueda Bravo Erick Josué</v>
      </c>
      <c r="O40" t="s">
        <v>53</v>
      </c>
      <c r="P40">
        <v>0</v>
      </c>
      <c r="R40" t="s">
        <v>44</v>
      </c>
      <c r="S40" s="22">
        <f>VLOOKUP(TablaCalificaciones[[#This Row],[Apertura: problema y objetivo ]],PESOS!A$16:B$20,2,0)</f>
        <v>20</v>
      </c>
      <c r="U40" t="s">
        <v>50</v>
      </c>
      <c r="V40" s="22">
        <f>VLOOKUP(TablaCalificaciones[[#This Row],[Metodología (nivel adecuado)]],PESOS!A$16:B$20,2,0)</f>
        <v>16</v>
      </c>
      <c r="X40" t="s">
        <v>44</v>
      </c>
      <c r="Y40" s="22">
        <f>VLOOKUP(TablaCalificaciones[[#This Row],[Resultados y evidencia ]],PESOS!A$16:B$20,2,0)</f>
        <v>20</v>
      </c>
      <c r="AA40" t="s">
        <v>51</v>
      </c>
      <c r="AB40" s="22">
        <f>VLOOKUP(TablaCalificaciones[[#This Row],[Coherencia y manejo del tiempo]],PESOS!A$25:B$29,2,0)</f>
        <v>8</v>
      </c>
      <c r="AD40" t="s">
        <v>51</v>
      </c>
      <c r="AE40" s="22">
        <f>VLOOKUP(TablaCalificaciones[[#This Row],[Diapositivas como apoyo]],PESOS!A$25:B$29,2,0)</f>
        <v>8</v>
      </c>
      <c r="AG40" t="s">
        <v>45</v>
      </c>
      <c r="AH40" s="22">
        <f>VLOOKUP(TablaCalificaciones[[#This Row],[Respuestas a preguntas]],PESOS!A$25:B$29,2,0)</f>
        <v>10</v>
      </c>
      <c r="AJ40" t="s">
        <v>51</v>
      </c>
      <c r="AK40" s="22">
        <f>VLOOKUP(TablaCalificaciones[[#This Row],[Cierre: aporte a próximos pasos]],PESOS!A$25:B$29,2,0)</f>
        <v>8</v>
      </c>
      <c r="AM40" s="1"/>
    </row>
    <row r="41" spans="1:39">
      <c r="A41">
        <v>40</v>
      </c>
      <c r="B41" s="2">
        <v>46133.448541666665</v>
      </c>
      <c r="C41" s="2">
        <v>46133.449733796297</v>
      </c>
      <c r="D41" t="s">
        <v>97</v>
      </c>
      <c r="E41" t="s">
        <v>98</v>
      </c>
      <c r="H41" s="2"/>
      <c r="I41" t="s">
        <v>41</v>
      </c>
      <c r="J41">
        <v>0</v>
      </c>
      <c r="L41" t="s">
        <v>99</v>
      </c>
      <c r="M41" s="26" t="str">
        <f>CONCATENATE(TablaCalificaciones[[#This Row],[Seleccione su nombre (Evaluador)]],TablaCalificaciones[[#This Row],[Seleccione el nombre del Estudiante]])</f>
        <v>Víctor Javier Gómez RegaladoGarate Pazmiño Víctor Adrián</v>
      </c>
      <c r="O41" t="s">
        <v>52</v>
      </c>
      <c r="P41">
        <v>0</v>
      </c>
      <c r="R41" t="s">
        <v>44</v>
      </c>
      <c r="S41" s="22">
        <f>VLOOKUP(TablaCalificaciones[[#This Row],[Apertura: problema y objetivo ]],PESOS!A$16:B$20,2,0)</f>
        <v>20</v>
      </c>
      <c r="U41" t="s">
        <v>44</v>
      </c>
      <c r="V41" s="22">
        <f>VLOOKUP(TablaCalificaciones[[#This Row],[Metodología (nivel adecuado)]],PESOS!A$16:B$20,2,0)</f>
        <v>20</v>
      </c>
      <c r="X41" t="s">
        <v>44</v>
      </c>
      <c r="Y41" s="22">
        <f>VLOOKUP(TablaCalificaciones[[#This Row],[Resultados y evidencia ]],PESOS!A$16:B$20,2,0)</f>
        <v>20</v>
      </c>
      <c r="AA41" t="s">
        <v>51</v>
      </c>
      <c r="AB41" s="22">
        <f>VLOOKUP(TablaCalificaciones[[#This Row],[Coherencia y manejo del tiempo]],PESOS!A$25:B$29,2,0)</f>
        <v>8</v>
      </c>
      <c r="AD41" t="s">
        <v>51</v>
      </c>
      <c r="AE41" s="22">
        <f>VLOOKUP(TablaCalificaciones[[#This Row],[Diapositivas como apoyo]],PESOS!A$25:B$29,2,0)</f>
        <v>8</v>
      </c>
      <c r="AG41" t="s">
        <v>45</v>
      </c>
      <c r="AH41" s="22">
        <f>VLOOKUP(TablaCalificaciones[[#This Row],[Respuestas a preguntas]],PESOS!A$25:B$29,2,0)</f>
        <v>10</v>
      </c>
      <c r="AJ41" t="s">
        <v>45</v>
      </c>
      <c r="AK41" s="22">
        <f>VLOOKUP(TablaCalificaciones[[#This Row],[Cierre: aporte a próximos pasos]],PESOS!A$25:B$29,2,0)</f>
        <v>10</v>
      </c>
      <c r="AM41" s="1"/>
    </row>
    <row r="42" spans="1:39">
      <c r="A42">
        <v>41</v>
      </c>
      <c r="B42" s="2">
        <v>46133.449780092589</v>
      </c>
      <c r="C42" s="2">
        <v>46133.450810185182</v>
      </c>
      <c r="D42" t="s">
        <v>97</v>
      </c>
      <c r="E42" t="s">
        <v>98</v>
      </c>
      <c r="H42" s="2"/>
      <c r="I42" t="s">
        <v>41</v>
      </c>
      <c r="J42">
        <v>0</v>
      </c>
      <c r="L42" t="s">
        <v>99</v>
      </c>
      <c r="M42" s="26" t="str">
        <f>CONCATENATE(TablaCalificaciones[[#This Row],[Seleccione su nombre (Evaluador)]],TablaCalificaciones[[#This Row],[Seleccione el nombre del Estudiante]])</f>
        <v>Víctor Javier Gómez RegaladoRedin Muñoz Juan Sebastián</v>
      </c>
      <c r="O42" t="s">
        <v>62</v>
      </c>
      <c r="P42">
        <v>0</v>
      </c>
      <c r="R42" t="s">
        <v>44</v>
      </c>
      <c r="S42" s="22">
        <f>VLOOKUP(TablaCalificaciones[[#This Row],[Apertura: problema y objetivo ]],PESOS!A$16:B$20,2,0)</f>
        <v>20</v>
      </c>
      <c r="U42" t="s">
        <v>44</v>
      </c>
      <c r="V42" s="22">
        <f>VLOOKUP(TablaCalificaciones[[#This Row],[Metodología (nivel adecuado)]],PESOS!A$16:B$20,2,0)</f>
        <v>20</v>
      </c>
      <c r="X42" t="s">
        <v>44</v>
      </c>
      <c r="Y42" s="22">
        <f>VLOOKUP(TablaCalificaciones[[#This Row],[Resultados y evidencia ]],PESOS!A$16:B$20,2,0)</f>
        <v>20</v>
      </c>
      <c r="AA42" t="s">
        <v>45</v>
      </c>
      <c r="AB42" s="22">
        <f>VLOOKUP(TablaCalificaciones[[#This Row],[Coherencia y manejo del tiempo]],PESOS!A$25:B$29,2,0)</f>
        <v>10</v>
      </c>
      <c r="AD42" t="s">
        <v>45</v>
      </c>
      <c r="AE42" s="22">
        <f>VLOOKUP(TablaCalificaciones[[#This Row],[Diapositivas como apoyo]],PESOS!A$25:B$29,2,0)</f>
        <v>10</v>
      </c>
      <c r="AG42" t="s">
        <v>45</v>
      </c>
      <c r="AH42" s="22">
        <f>VLOOKUP(TablaCalificaciones[[#This Row],[Respuestas a preguntas]],PESOS!A$25:B$29,2,0)</f>
        <v>10</v>
      </c>
      <c r="AJ42" t="s">
        <v>45</v>
      </c>
      <c r="AK42" s="22">
        <f>VLOOKUP(TablaCalificaciones[[#This Row],[Cierre: aporte a próximos pasos]],PESOS!A$25:B$29,2,0)</f>
        <v>10</v>
      </c>
      <c r="AM42" s="1"/>
    </row>
    <row r="43" spans="1:39">
      <c r="A43">
        <v>42</v>
      </c>
      <c r="B43" s="2">
        <v>46133.439560185187</v>
      </c>
      <c r="C43" s="2">
        <v>46133.450925925928</v>
      </c>
      <c r="D43" t="s">
        <v>87</v>
      </c>
      <c r="E43" t="s">
        <v>88</v>
      </c>
      <c r="H43" s="2"/>
      <c r="I43" t="s">
        <v>41</v>
      </c>
      <c r="J43">
        <v>0</v>
      </c>
      <c r="L43" t="s">
        <v>88</v>
      </c>
      <c r="M43" s="26" t="str">
        <f>CONCATENATE(TablaCalificaciones[[#This Row],[Seleccione su nombre (Evaluador)]],TablaCalificaciones[[#This Row],[Seleccione el nombre del Estudiante]])</f>
        <v>Ana María Pazmiño DelgadoPeñaherrera Cevallos Patricio Paúl</v>
      </c>
      <c r="O43" t="s">
        <v>100</v>
      </c>
      <c r="P43">
        <v>0</v>
      </c>
      <c r="R43" t="s">
        <v>44</v>
      </c>
      <c r="S43" s="22">
        <f>VLOOKUP(TablaCalificaciones[[#This Row],[Apertura: problema y objetivo ]],PESOS!A$16:B$20,2,0)</f>
        <v>20</v>
      </c>
      <c r="U43" t="s">
        <v>44</v>
      </c>
      <c r="V43" s="22">
        <f>VLOOKUP(TablaCalificaciones[[#This Row],[Metodología (nivel adecuado)]],PESOS!A$16:B$20,2,0)</f>
        <v>20</v>
      </c>
      <c r="X43" t="s">
        <v>44</v>
      </c>
      <c r="Y43" s="22">
        <f>VLOOKUP(TablaCalificaciones[[#This Row],[Resultados y evidencia ]],PESOS!A$16:B$20,2,0)</f>
        <v>20</v>
      </c>
      <c r="AA43" t="s">
        <v>45</v>
      </c>
      <c r="AB43" s="22">
        <f>VLOOKUP(TablaCalificaciones[[#This Row],[Coherencia y manejo del tiempo]],PESOS!A$25:B$29,2,0)</f>
        <v>10</v>
      </c>
      <c r="AD43" t="s">
        <v>45</v>
      </c>
      <c r="AE43" s="22">
        <f>VLOOKUP(TablaCalificaciones[[#This Row],[Diapositivas como apoyo]],PESOS!A$25:B$29,2,0)</f>
        <v>10</v>
      </c>
      <c r="AG43" t="s">
        <v>51</v>
      </c>
      <c r="AH43" s="22">
        <f>VLOOKUP(TablaCalificaciones[[#This Row],[Respuestas a preguntas]],PESOS!A$25:B$29,2,0)</f>
        <v>8</v>
      </c>
      <c r="AJ43" t="s">
        <v>51</v>
      </c>
      <c r="AK43" s="22">
        <f>VLOOKUP(TablaCalificaciones[[#This Row],[Cierre: aporte a próximos pasos]],PESOS!A$25:B$29,2,0)</f>
        <v>8</v>
      </c>
      <c r="AM43" s="1"/>
    </row>
    <row r="44" spans="1:39">
      <c r="A44">
        <v>43</v>
      </c>
      <c r="B44" s="2">
        <v>46133.450914351852</v>
      </c>
      <c r="C44" s="2">
        <v>46133.451747685183</v>
      </c>
      <c r="D44" t="s">
        <v>97</v>
      </c>
      <c r="E44" t="s">
        <v>98</v>
      </c>
      <c r="H44" s="2"/>
      <c r="I44" t="s">
        <v>41</v>
      </c>
      <c r="J44">
        <v>0</v>
      </c>
      <c r="L44" t="s">
        <v>99</v>
      </c>
      <c r="M44" s="26" t="str">
        <f>CONCATENATE(TablaCalificaciones[[#This Row],[Seleccione su nombre (Evaluador)]],TablaCalificaciones[[#This Row],[Seleccione el nombre del Estudiante]])</f>
        <v>Víctor Javier Gómez RegaladoVinueza Torres Luis Fernando</v>
      </c>
      <c r="O44" t="s">
        <v>61</v>
      </c>
      <c r="P44">
        <v>0</v>
      </c>
      <c r="R44" t="s">
        <v>44</v>
      </c>
      <c r="S44" s="22">
        <f>VLOOKUP(TablaCalificaciones[[#This Row],[Apertura: problema y objetivo ]],PESOS!A$16:B$20,2,0)</f>
        <v>20</v>
      </c>
      <c r="U44" t="s">
        <v>44</v>
      </c>
      <c r="V44" s="22">
        <f>VLOOKUP(TablaCalificaciones[[#This Row],[Metodología (nivel adecuado)]],PESOS!A$16:B$20,2,0)</f>
        <v>20</v>
      </c>
      <c r="X44" t="s">
        <v>44</v>
      </c>
      <c r="Y44" s="22">
        <f>VLOOKUP(TablaCalificaciones[[#This Row],[Resultados y evidencia ]],PESOS!A$16:B$20,2,0)</f>
        <v>20</v>
      </c>
      <c r="AA44" t="s">
        <v>45</v>
      </c>
      <c r="AB44" s="22">
        <f>VLOOKUP(TablaCalificaciones[[#This Row],[Coherencia y manejo del tiempo]],PESOS!A$25:B$29,2,0)</f>
        <v>10</v>
      </c>
      <c r="AD44" t="s">
        <v>45</v>
      </c>
      <c r="AE44" s="22">
        <f>VLOOKUP(TablaCalificaciones[[#This Row],[Diapositivas como apoyo]],PESOS!A$25:B$29,2,0)</f>
        <v>10</v>
      </c>
      <c r="AG44" t="s">
        <v>45</v>
      </c>
      <c r="AH44" s="22">
        <f>VLOOKUP(TablaCalificaciones[[#This Row],[Respuestas a preguntas]],PESOS!A$25:B$29,2,0)</f>
        <v>10</v>
      </c>
      <c r="AJ44" t="s">
        <v>45</v>
      </c>
      <c r="AK44" s="22">
        <f>VLOOKUP(TablaCalificaciones[[#This Row],[Cierre: aporte a próximos pasos]],PESOS!A$25:B$29,2,0)</f>
        <v>10</v>
      </c>
      <c r="AM44" s="1"/>
    </row>
    <row r="45" spans="1:39">
      <c r="A45">
        <v>44</v>
      </c>
      <c r="B45" s="2">
        <v>46133.346990740742</v>
      </c>
      <c r="C45" s="2">
        <v>46133.455428240741</v>
      </c>
      <c r="D45" t="s">
        <v>101</v>
      </c>
      <c r="E45" t="s">
        <v>102</v>
      </c>
      <c r="H45" s="2"/>
      <c r="I45" t="s">
        <v>41</v>
      </c>
      <c r="J45">
        <v>0</v>
      </c>
      <c r="L45" t="s">
        <v>102</v>
      </c>
      <c r="M45" s="26" t="str">
        <f>CONCATENATE(TablaCalificaciones[[#This Row],[Seleccione su nombre (Evaluador)]],TablaCalificaciones[[#This Row],[Seleccione el nombre del Estudiante]])</f>
        <v>Christiam GarzónPeñaherrera Cevallos Patricio Paúl</v>
      </c>
      <c r="O45" t="s">
        <v>100</v>
      </c>
      <c r="P45">
        <v>0</v>
      </c>
      <c r="R45" t="s">
        <v>44</v>
      </c>
      <c r="S45" s="22">
        <f>VLOOKUP(TablaCalificaciones[[#This Row],[Apertura: problema y objetivo ]],PESOS!A$16:B$20,2,0)</f>
        <v>20</v>
      </c>
      <c r="U45" t="s">
        <v>50</v>
      </c>
      <c r="V45" s="22">
        <f>VLOOKUP(TablaCalificaciones[[#This Row],[Metodología (nivel adecuado)]],PESOS!A$16:B$20,2,0)</f>
        <v>16</v>
      </c>
      <c r="X45" t="s">
        <v>50</v>
      </c>
      <c r="Y45" s="22">
        <f>VLOOKUP(TablaCalificaciones[[#This Row],[Resultados y evidencia ]],PESOS!A$16:B$20,2,0)</f>
        <v>16</v>
      </c>
      <c r="AA45" t="s">
        <v>45</v>
      </c>
      <c r="AB45" s="22">
        <f>VLOOKUP(TablaCalificaciones[[#This Row],[Coherencia y manejo del tiempo]],PESOS!A$25:B$29,2,0)</f>
        <v>10</v>
      </c>
      <c r="AD45" t="s">
        <v>45</v>
      </c>
      <c r="AE45" s="22">
        <f>VLOOKUP(TablaCalificaciones[[#This Row],[Diapositivas como apoyo]],PESOS!A$25:B$29,2,0)</f>
        <v>10</v>
      </c>
      <c r="AG45" t="s">
        <v>45</v>
      </c>
      <c r="AH45" s="22">
        <f>VLOOKUP(TablaCalificaciones[[#This Row],[Respuestas a preguntas]],PESOS!A$25:B$29,2,0)</f>
        <v>10</v>
      </c>
      <c r="AJ45" t="s">
        <v>45</v>
      </c>
      <c r="AK45" s="22">
        <f>VLOOKUP(TablaCalificaciones[[#This Row],[Cierre: aporte a próximos pasos]],PESOS!A$25:B$29,2,0)</f>
        <v>10</v>
      </c>
      <c r="AM45" s="1"/>
    </row>
    <row r="46" spans="1:39">
      <c r="A46">
        <v>45</v>
      </c>
      <c r="B46" s="2">
        <v>46133.43540509259</v>
      </c>
      <c r="C46" s="2">
        <v>46133.456261574072</v>
      </c>
      <c r="D46" t="s">
        <v>39</v>
      </c>
      <c r="E46" t="s">
        <v>40</v>
      </c>
      <c r="H46" s="2"/>
      <c r="I46" t="s">
        <v>41</v>
      </c>
      <c r="J46">
        <v>0</v>
      </c>
      <c r="L46" t="s">
        <v>42</v>
      </c>
      <c r="M46" s="26" t="str">
        <f>CONCATENATE(TablaCalificaciones[[#This Row],[Seleccione su nombre (Evaluador)]],TablaCalificaciones[[#This Row],[Seleccione el nombre del Estudiante]])</f>
        <v>Patricio David PoncePeñaherrera Cevallos Patricio Paúl</v>
      </c>
      <c r="O46" t="s">
        <v>100</v>
      </c>
      <c r="P46">
        <v>0</v>
      </c>
      <c r="R46" t="s">
        <v>44</v>
      </c>
      <c r="S46" s="22">
        <f>VLOOKUP(TablaCalificaciones[[#This Row],[Apertura: problema y objetivo ]],PESOS!A$16:B$20,2,0)</f>
        <v>20</v>
      </c>
      <c r="U46" t="s">
        <v>44</v>
      </c>
      <c r="V46" s="22">
        <f>VLOOKUP(TablaCalificaciones[[#This Row],[Metodología (nivel adecuado)]],PESOS!A$16:B$20,2,0)</f>
        <v>20</v>
      </c>
      <c r="X46" t="s">
        <v>50</v>
      </c>
      <c r="Y46" s="22">
        <f>VLOOKUP(TablaCalificaciones[[#This Row],[Resultados y evidencia ]],PESOS!A$16:B$20,2,0)</f>
        <v>16</v>
      </c>
      <c r="AA46" t="s">
        <v>45</v>
      </c>
      <c r="AB46" s="22">
        <f>VLOOKUP(TablaCalificaciones[[#This Row],[Coherencia y manejo del tiempo]],PESOS!A$25:B$29,2,0)</f>
        <v>10</v>
      </c>
      <c r="AD46" t="s">
        <v>45</v>
      </c>
      <c r="AE46" s="22">
        <f>VLOOKUP(TablaCalificaciones[[#This Row],[Diapositivas como apoyo]],PESOS!A$25:B$29,2,0)</f>
        <v>10</v>
      </c>
      <c r="AG46" t="s">
        <v>45</v>
      </c>
      <c r="AH46" s="22">
        <f>VLOOKUP(TablaCalificaciones[[#This Row],[Respuestas a preguntas]],PESOS!A$25:B$29,2,0)</f>
        <v>10</v>
      </c>
      <c r="AJ46" t="s">
        <v>45</v>
      </c>
      <c r="AK46" s="22">
        <f>VLOOKUP(TablaCalificaciones[[#This Row],[Cierre: aporte a próximos pasos]],PESOS!A$25:B$29,2,0)</f>
        <v>10</v>
      </c>
      <c r="AM46" s="1"/>
    </row>
    <row r="47" spans="1:39">
      <c r="A47">
        <v>46</v>
      </c>
      <c r="B47" s="2">
        <v>46133.455381944441</v>
      </c>
      <c r="C47" s="2">
        <v>46133.456377314818</v>
      </c>
      <c r="D47" t="s">
        <v>103</v>
      </c>
      <c r="E47" t="s">
        <v>104</v>
      </c>
      <c r="H47" s="2"/>
      <c r="I47" t="s">
        <v>41</v>
      </c>
      <c r="J47">
        <v>0</v>
      </c>
      <c r="L47" t="s">
        <v>56</v>
      </c>
      <c r="M47" s="26" t="str">
        <f>CONCATENATE(TablaCalificaciones[[#This Row],[Seleccione su nombre (Evaluador)]],TablaCalificaciones[[#This Row],[Seleccione el nombre del Estudiante]])</f>
        <v>Marco Antonio Galarza CastilloHerrera Ávila Boris Mateo</v>
      </c>
      <c r="O47" t="s">
        <v>96</v>
      </c>
      <c r="P47">
        <v>0</v>
      </c>
      <c r="R47" t="s">
        <v>44</v>
      </c>
      <c r="S47" s="22">
        <f>VLOOKUP(TablaCalificaciones[[#This Row],[Apertura: problema y objetivo ]],PESOS!A$16:B$20,2,0)</f>
        <v>20</v>
      </c>
      <c r="U47" t="s">
        <v>44</v>
      </c>
      <c r="V47" s="22">
        <f>VLOOKUP(TablaCalificaciones[[#This Row],[Metodología (nivel adecuado)]],PESOS!A$16:B$20,2,0)</f>
        <v>20</v>
      </c>
      <c r="X47" t="s">
        <v>44</v>
      </c>
      <c r="Y47" s="22">
        <f>VLOOKUP(TablaCalificaciones[[#This Row],[Resultados y evidencia ]],PESOS!A$16:B$20,2,0)</f>
        <v>20</v>
      </c>
      <c r="AA47" t="s">
        <v>45</v>
      </c>
      <c r="AB47" s="22">
        <f>VLOOKUP(TablaCalificaciones[[#This Row],[Coherencia y manejo del tiempo]],PESOS!A$25:B$29,2,0)</f>
        <v>10</v>
      </c>
      <c r="AD47" t="s">
        <v>45</v>
      </c>
      <c r="AE47" s="22">
        <f>VLOOKUP(TablaCalificaciones[[#This Row],[Diapositivas como apoyo]],PESOS!A$25:B$29,2,0)</f>
        <v>10</v>
      </c>
      <c r="AG47" t="s">
        <v>45</v>
      </c>
      <c r="AH47" s="22">
        <f>VLOOKUP(TablaCalificaciones[[#This Row],[Respuestas a preguntas]],PESOS!A$25:B$29,2,0)</f>
        <v>10</v>
      </c>
      <c r="AJ47" t="s">
        <v>45</v>
      </c>
      <c r="AK47" s="22">
        <f>VLOOKUP(TablaCalificaciones[[#This Row],[Cierre: aporte a próximos pasos]],PESOS!A$25:B$29,2,0)</f>
        <v>10</v>
      </c>
      <c r="AM47" s="1"/>
    </row>
    <row r="48" spans="1:39">
      <c r="A48">
        <v>47</v>
      </c>
      <c r="B48" s="2">
        <v>46133.451793981483</v>
      </c>
      <c r="C48" s="2">
        <v>46133.456423611111</v>
      </c>
      <c r="D48" t="s">
        <v>97</v>
      </c>
      <c r="E48" t="s">
        <v>98</v>
      </c>
      <c r="H48" s="2"/>
      <c r="I48" t="s">
        <v>41</v>
      </c>
      <c r="J48">
        <v>0</v>
      </c>
      <c r="L48" t="s">
        <v>99</v>
      </c>
      <c r="M48" s="26" t="str">
        <f>CONCATENATE(TablaCalificaciones[[#This Row],[Seleccione su nombre (Evaluador)]],TablaCalificaciones[[#This Row],[Seleccione el nombre del Estudiante]])</f>
        <v>Víctor Javier Gómez RegaladoOrtega Calderon Ricardo Antonio</v>
      </c>
      <c r="O48" t="s">
        <v>84</v>
      </c>
      <c r="P48">
        <v>0</v>
      </c>
      <c r="R48" t="s">
        <v>50</v>
      </c>
      <c r="S48" s="22">
        <f>VLOOKUP(TablaCalificaciones[[#This Row],[Apertura: problema y objetivo ]],PESOS!A$16:B$20,2,0)</f>
        <v>16</v>
      </c>
      <c r="U48" t="s">
        <v>105</v>
      </c>
      <c r="V48" s="22">
        <f>VLOOKUP(TablaCalificaciones[[#This Row],[Metodología (nivel adecuado)]],PESOS!A$16:B$20,2,0)</f>
        <v>12</v>
      </c>
      <c r="X48" t="s">
        <v>50</v>
      </c>
      <c r="Y48" s="22">
        <f>VLOOKUP(TablaCalificaciones[[#This Row],[Resultados y evidencia ]],PESOS!A$16:B$20,2,0)</f>
        <v>16</v>
      </c>
      <c r="AA48" t="s">
        <v>83</v>
      </c>
      <c r="AB48" s="22">
        <f>VLOOKUP(TablaCalificaciones[[#This Row],[Coherencia y manejo del tiempo]],PESOS!A$25:B$29,2,0)</f>
        <v>6</v>
      </c>
      <c r="AD48" t="s">
        <v>51</v>
      </c>
      <c r="AE48" s="22">
        <f>VLOOKUP(TablaCalificaciones[[#This Row],[Diapositivas como apoyo]],PESOS!A$25:B$29,2,0)</f>
        <v>8</v>
      </c>
      <c r="AG48" t="s">
        <v>51</v>
      </c>
      <c r="AH48" s="22">
        <f>VLOOKUP(TablaCalificaciones[[#This Row],[Respuestas a preguntas]],PESOS!A$25:B$29,2,0)</f>
        <v>8</v>
      </c>
      <c r="AJ48" t="s">
        <v>51</v>
      </c>
      <c r="AK48" s="22">
        <f>VLOOKUP(TablaCalificaciones[[#This Row],[Cierre: aporte a próximos pasos]],PESOS!A$25:B$29,2,0)</f>
        <v>8</v>
      </c>
      <c r="AM48" s="1"/>
    </row>
    <row r="49" spans="1:39">
      <c r="A49">
        <v>48</v>
      </c>
      <c r="B49" s="2">
        <v>46133.437013888892</v>
      </c>
      <c r="C49" s="2">
        <v>46133.456817129627</v>
      </c>
      <c r="D49" t="s">
        <v>59</v>
      </c>
      <c r="E49" t="s">
        <v>60</v>
      </c>
      <c r="H49" s="2"/>
      <c r="I49" t="s">
        <v>41</v>
      </c>
      <c r="J49">
        <v>0</v>
      </c>
      <c r="L49" t="s">
        <v>60</v>
      </c>
      <c r="M49" s="26" t="str">
        <f>CONCATENATE(TablaCalificaciones[[#This Row],[Seleccione su nombre (Evaluador)]],TablaCalificaciones[[#This Row],[Seleccione el nombre del Estudiante]])</f>
        <v>Santiago Leonardo SolórzanoMafla Narváez Erik David</v>
      </c>
      <c r="O49" t="s">
        <v>106</v>
      </c>
      <c r="P49">
        <v>0</v>
      </c>
      <c r="R49" t="s">
        <v>44</v>
      </c>
      <c r="S49" s="22">
        <f>VLOOKUP(TablaCalificaciones[[#This Row],[Apertura: problema y objetivo ]],PESOS!A$16:B$20,2,0)</f>
        <v>20</v>
      </c>
      <c r="U49" t="s">
        <v>44</v>
      </c>
      <c r="V49" s="22">
        <f>VLOOKUP(TablaCalificaciones[[#This Row],[Metodología (nivel adecuado)]],PESOS!A$16:B$20,2,0)</f>
        <v>20</v>
      </c>
      <c r="X49" t="s">
        <v>44</v>
      </c>
      <c r="Y49" s="22">
        <f>VLOOKUP(TablaCalificaciones[[#This Row],[Resultados y evidencia ]],PESOS!A$16:B$20,2,0)</f>
        <v>20</v>
      </c>
      <c r="AA49" t="s">
        <v>45</v>
      </c>
      <c r="AB49" s="22">
        <f>VLOOKUP(TablaCalificaciones[[#This Row],[Coherencia y manejo del tiempo]],PESOS!A$25:B$29,2,0)</f>
        <v>10</v>
      </c>
      <c r="AD49" t="s">
        <v>51</v>
      </c>
      <c r="AE49" s="22">
        <f>VLOOKUP(TablaCalificaciones[[#This Row],[Diapositivas como apoyo]],PESOS!A$25:B$29,2,0)</f>
        <v>8</v>
      </c>
      <c r="AG49" t="s">
        <v>45</v>
      </c>
      <c r="AH49" s="22">
        <f>VLOOKUP(TablaCalificaciones[[#This Row],[Respuestas a preguntas]],PESOS!A$25:B$29,2,0)</f>
        <v>10</v>
      </c>
      <c r="AJ49" t="s">
        <v>45</v>
      </c>
      <c r="AK49" s="22">
        <f>VLOOKUP(TablaCalificaciones[[#This Row],[Cierre: aporte a próximos pasos]],PESOS!A$25:B$29,2,0)</f>
        <v>10</v>
      </c>
      <c r="AM49" s="1"/>
    </row>
    <row r="50" spans="1:39">
      <c r="A50">
        <v>49</v>
      </c>
      <c r="B50" s="2">
        <v>46133.456446759257</v>
      </c>
      <c r="C50" s="2">
        <v>46133.457025462965</v>
      </c>
      <c r="D50" t="s">
        <v>97</v>
      </c>
      <c r="E50" t="s">
        <v>98</v>
      </c>
      <c r="H50" s="2"/>
      <c r="I50" t="s">
        <v>41</v>
      </c>
      <c r="J50">
        <v>0</v>
      </c>
      <c r="L50" t="s">
        <v>99</v>
      </c>
      <c r="M50" s="26" t="str">
        <f>CONCATENATE(TablaCalificaciones[[#This Row],[Seleccione su nombre (Evaluador)]],TablaCalificaciones[[#This Row],[Seleccione el nombre del Estudiante]])</f>
        <v>Víctor Javier Gómez RegaladoZapata Espinosa María Fernanda</v>
      </c>
      <c r="O50" t="s">
        <v>80</v>
      </c>
      <c r="P50">
        <v>0</v>
      </c>
      <c r="R50" t="s">
        <v>44</v>
      </c>
      <c r="S50" s="22">
        <f>VLOOKUP(TablaCalificaciones[[#This Row],[Apertura: problema y objetivo ]],PESOS!A$16:B$20,2,0)</f>
        <v>20</v>
      </c>
      <c r="U50" t="s">
        <v>44</v>
      </c>
      <c r="V50" s="22">
        <f>VLOOKUP(TablaCalificaciones[[#This Row],[Metodología (nivel adecuado)]],PESOS!A$16:B$20,2,0)</f>
        <v>20</v>
      </c>
      <c r="X50" t="s">
        <v>44</v>
      </c>
      <c r="Y50" s="22">
        <f>VLOOKUP(TablaCalificaciones[[#This Row],[Resultados y evidencia ]],PESOS!A$16:B$20,2,0)</f>
        <v>20</v>
      </c>
      <c r="AA50" t="s">
        <v>45</v>
      </c>
      <c r="AB50" s="22">
        <f>VLOOKUP(TablaCalificaciones[[#This Row],[Coherencia y manejo del tiempo]],PESOS!A$25:B$29,2,0)</f>
        <v>10</v>
      </c>
      <c r="AD50" t="s">
        <v>45</v>
      </c>
      <c r="AE50" s="22">
        <f>VLOOKUP(TablaCalificaciones[[#This Row],[Diapositivas como apoyo]],PESOS!A$25:B$29,2,0)</f>
        <v>10</v>
      </c>
      <c r="AG50" t="s">
        <v>45</v>
      </c>
      <c r="AH50" s="22">
        <f>VLOOKUP(TablaCalificaciones[[#This Row],[Respuestas a preguntas]],PESOS!A$25:B$29,2,0)</f>
        <v>10</v>
      </c>
      <c r="AJ50" t="s">
        <v>45</v>
      </c>
      <c r="AK50" s="22">
        <f>VLOOKUP(TablaCalificaciones[[#This Row],[Cierre: aporte a próximos pasos]],PESOS!A$25:B$29,2,0)</f>
        <v>10</v>
      </c>
      <c r="AM50" s="1"/>
    </row>
    <row r="51" spans="1:39">
      <c r="A51">
        <v>50</v>
      </c>
      <c r="B51" s="2">
        <v>46133.436990740738</v>
      </c>
      <c r="C51" s="2">
        <v>46133.457175925927</v>
      </c>
      <c r="D51" t="s">
        <v>59</v>
      </c>
      <c r="E51" t="s">
        <v>60</v>
      </c>
      <c r="H51" s="2"/>
      <c r="I51" t="s">
        <v>41</v>
      </c>
      <c r="J51">
        <v>0</v>
      </c>
      <c r="L51" t="s">
        <v>60</v>
      </c>
      <c r="M51" s="26" t="str">
        <f>CONCATENATE(TablaCalificaciones[[#This Row],[Seleccione su nombre (Evaluador)]],TablaCalificaciones[[#This Row],[Seleccione el nombre del Estudiante]])</f>
        <v>Santiago Leonardo SolórzanoGavilanes Rivera Luis Alfredo</v>
      </c>
      <c r="O51" t="s">
        <v>107</v>
      </c>
      <c r="P51">
        <v>0</v>
      </c>
      <c r="R51" t="s">
        <v>44</v>
      </c>
      <c r="S51" s="22">
        <f>VLOOKUP(TablaCalificaciones[[#This Row],[Apertura: problema y objetivo ]],PESOS!A$16:B$20,2,0)</f>
        <v>20</v>
      </c>
      <c r="U51" t="s">
        <v>44</v>
      </c>
      <c r="V51" s="22">
        <f>VLOOKUP(TablaCalificaciones[[#This Row],[Metodología (nivel adecuado)]],PESOS!A$16:B$20,2,0)</f>
        <v>20</v>
      </c>
      <c r="X51" t="s">
        <v>44</v>
      </c>
      <c r="Y51" s="22">
        <f>VLOOKUP(TablaCalificaciones[[#This Row],[Resultados y evidencia ]],PESOS!A$16:B$20,2,0)</f>
        <v>20</v>
      </c>
      <c r="AA51" t="s">
        <v>45</v>
      </c>
      <c r="AB51" s="22">
        <f>VLOOKUP(TablaCalificaciones[[#This Row],[Coherencia y manejo del tiempo]],PESOS!A$25:B$29,2,0)</f>
        <v>10</v>
      </c>
      <c r="AD51" t="s">
        <v>51</v>
      </c>
      <c r="AE51" s="22">
        <f>VLOOKUP(TablaCalificaciones[[#This Row],[Diapositivas como apoyo]],PESOS!A$25:B$29,2,0)</f>
        <v>8</v>
      </c>
      <c r="AG51" t="s">
        <v>45</v>
      </c>
      <c r="AH51" s="22">
        <f>VLOOKUP(TablaCalificaciones[[#This Row],[Respuestas a preguntas]],PESOS!A$25:B$29,2,0)</f>
        <v>10</v>
      </c>
      <c r="AJ51" t="s">
        <v>45</v>
      </c>
      <c r="AK51" s="22">
        <f>VLOOKUP(TablaCalificaciones[[#This Row],[Cierre: aporte a próximos pasos]],PESOS!A$25:B$29,2,0)</f>
        <v>10</v>
      </c>
      <c r="AM51" s="1"/>
    </row>
    <row r="52" spans="1:39">
      <c r="A52">
        <v>51</v>
      </c>
      <c r="B52" s="2">
        <v>46133.456504629627</v>
      </c>
      <c r="C52" s="2">
        <v>46133.457256944443</v>
      </c>
      <c r="D52" t="s">
        <v>103</v>
      </c>
      <c r="E52" t="s">
        <v>104</v>
      </c>
      <c r="H52" s="2"/>
      <c r="I52" t="s">
        <v>41</v>
      </c>
      <c r="J52">
        <v>0</v>
      </c>
      <c r="L52" t="s">
        <v>56</v>
      </c>
      <c r="M52" s="26" t="str">
        <f>CONCATENATE(TablaCalificaciones[[#This Row],[Seleccione su nombre (Evaluador)]],TablaCalificaciones[[#This Row],[Seleccione el nombre del Estudiante]])</f>
        <v>Marco Antonio Galarza CastilloGavilanes Rivera Luis Alfredo</v>
      </c>
      <c r="O52" t="s">
        <v>107</v>
      </c>
      <c r="P52">
        <v>0</v>
      </c>
      <c r="R52" t="s">
        <v>44</v>
      </c>
      <c r="S52" s="22">
        <f>VLOOKUP(TablaCalificaciones[[#This Row],[Apertura: problema y objetivo ]],PESOS!A$16:B$20,2,0)</f>
        <v>20</v>
      </c>
      <c r="U52" t="s">
        <v>50</v>
      </c>
      <c r="V52" s="22">
        <f>VLOOKUP(TablaCalificaciones[[#This Row],[Metodología (nivel adecuado)]],PESOS!A$16:B$20,2,0)</f>
        <v>16</v>
      </c>
      <c r="X52" t="s">
        <v>50</v>
      </c>
      <c r="Y52" s="22">
        <f>VLOOKUP(TablaCalificaciones[[#This Row],[Resultados y evidencia ]],PESOS!A$16:B$20,2,0)</f>
        <v>16</v>
      </c>
      <c r="AA52" t="s">
        <v>45</v>
      </c>
      <c r="AB52" s="22">
        <f>VLOOKUP(TablaCalificaciones[[#This Row],[Coherencia y manejo del tiempo]],PESOS!A$25:B$29,2,0)</f>
        <v>10</v>
      </c>
      <c r="AD52" t="s">
        <v>45</v>
      </c>
      <c r="AE52" s="22">
        <f>VLOOKUP(TablaCalificaciones[[#This Row],[Diapositivas como apoyo]],PESOS!A$25:B$29,2,0)</f>
        <v>10</v>
      </c>
      <c r="AG52" t="s">
        <v>45</v>
      </c>
      <c r="AH52" s="22">
        <f>VLOOKUP(TablaCalificaciones[[#This Row],[Respuestas a preguntas]],PESOS!A$25:B$29,2,0)</f>
        <v>10</v>
      </c>
      <c r="AJ52" t="s">
        <v>45</v>
      </c>
      <c r="AK52" s="22">
        <f>VLOOKUP(TablaCalificaciones[[#This Row],[Cierre: aporte a próximos pasos]],PESOS!A$25:B$29,2,0)</f>
        <v>10</v>
      </c>
      <c r="AM52" s="1"/>
    </row>
    <row r="53" spans="1:39">
      <c r="A53">
        <v>52</v>
      </c>
      <c r="B53" s="2">
        <v>46133.457071759258</v>
      </c>
      <c r="C53" s="2">
        <v>46133.457627314812</v>
      </c>
      <c r="D53" t="s">
        <v>97</v>
      </c>
      <c r="E53" t="s">
        <v>98</v>
      </c>
      <c r="H53" s="2"/>
      <c r="I53" t="s">
        <v>41</v>
      </c>
      <c r="J53">
        <v>0</v>
      </c>
      <c r="L53" t="s">
        <v>99</v>
      </c>
      <c r="M53" s="26" t="str">
        <f>CONCATENATE(TablaCalificaciones[[#This Row],[Seleccione su nombre (Evaluador)]],TablaCalificaciones[[#This Row],[Seleccione el nombre del Estudiante]])</f>
        <v>Víctor Javier Gómez RegaladoFlores Perez Dayana Liseth</v>
      </c>
      <c r="O53" t="s">
        <v>82</v>
      </c>
      <c r="P53">
        <v>0</v>
      </c>
      <c r="R53" t="s">
        <v>44</v>
      </c>
      <c r="S53" s="22">
        <f>VLOOKUP(TablaCalificaciones[[#This Row],[Apertura: problema y objetivo ]],PESOS!A$16:B$20,2,0)</f>
        <v>20</v>
      </c>
      <c r="U53" t="s">
        <v>44</v>
      </c>
      <c r="V53" s="22">
        <f>VLOOKUP(TablaCalificaciones[[#This Row],[Metodología (nivel adecuado)]],PESOS!A$16:B$20,2,0)</f>
        <v>20</v>
      </c>
      <c r="X53" t="s">
        <v>44</v>
      </c>
      <c r="Y53" s="22">
        <f>VLOOKUP(TablaCalificaciones[[#This Row],[Resultados y evidencia ]],PESOS!A$16:B$20,2,0)</f>
        <v>20</v>
      </c>
      <c r="AA53" t="s">
        <v>45</v>
      </c>
      <c r="AB53" s="22">
        <f>VLOOKUP(TablaCalificaciones[[#This Row],[Coherencia y manejo del tiempo]],PESOS!A$25:B$29,2,0)</f>
        <v>10</v>
      </c>
      <c r="AD53" t="s">
        <v>45</v>
      </c>
      <c r="AE53" s="22">
        <f>VLOOKUP(TablaCalificaciones[[#This Row],[Diapositivas como apoyo]],PESOS!A$25:B$29,2,0)</f>
        <v>10</v>
      </c>
      <c r="AG53" t="s">
        <v>45</v>
      </c>
      <c r="AH53" s="22">
        <f>VLOOKUP(TablaCalificaciones[[#This Row],[Respuestas a preguntas]],PESOS!A$25:B$29,2,0)</f>
        <v>10</v>
      </c>
      <c r="AJ53" t="s">
        <v>45</v>
      </c>
      <c r="AK53" s="22">
        <f>VLOOKUP(TablaCalificaciones[[#This Row],[Cierre: aporte a próximos pasos]],PESOS!A$25:B$29,2,0)</f>
        <v>10</v>
      </c>
      <c r="AM53" s="1"/>
    </row>
    <row r="54" spans="1:39">
      <c r="A54">
        <v>53</v>
      </c>
      <c r="B54" s="2">
        <v>46133.457291666666</v>
      </c>
      <c r="C54" s="2">
        <v>46133.457800925928</v>
      </c>
      <c r="D54" t="s">
        <v>103</v>
      </c>
      <c r="E54" t="s">
        <v>104</v>
      </c>
      <c r="H54" s="2"/>
      <c r="I54" t="s">
        <v>41</v>
      </c>
      <c r="J54">
        <v>0</v>
      </c>
      <c r="L54" t="s">
        <v>56</v>
      </c>
      <c r="M54" s="26" t="str">
        <f>CONCATENATE(TablaCalificaciones[[#This Row],[Seleccione su nombre (Evaluador)]],TablaCalificaciones[[#This Row],[Seleccione el nombre del Estudiante]])</f>
        <v>Marco Antonio Galarza CastilloMafla Narváez Erik David</v>
      </c>
      <c r="O54" t="s">
        <v>106</v>
      </c>
      <c r="P54">
        <v>0</v>
      </c>
      <c r="R54" t="s">
        <v>44</v>
      </c>
      <c r="S54" s="22">
        <f>VLOOKUP(TablaCalificaciones[[#This Row],[Apertura: problema y objetivo ]],PESOS!A$16:B$20,2,0)</f>
        <v>20</v>
      </c>
      <c r="U54" t="s">
        <v>50</v>
      </c>
      <c r="V54" s="22">
        <f>VLOOKUP(TablaCalificaciones[[#This Row],[Metodología (nivel adecuado)]],PESOS!A$16:B$20,2,0)</f>
        <v>16</v>
      </c>
      <c r="X54" t="s">
        <v>50</v>
      </c>
      <c r="Y54" s="22">
        <f>VLOOKUP(TablaCalificaciones[[#This Row],[Resultados y evidencia ]],PESOS!A$16:B$20,2,0)</f>
        <v>16</v>
      </c>
      <c r="AA54" t="s">
        <v>45</v>
      </c>
      <c r="AB54" s="22">
        <f>VLOOKUP(TablaCalificaciones[[#This Row],[Coherencia y manejo del tiempo]],PESOS!A$25:B$29,2,0)</f>
        <v>10</v>
      </c>
      <c r="AD54" t="s">
        <v>45</v>
      </c>
      <c r="AE54" s="22">
        <f>VLOOKUP(TablaCalificaciones[[#This Row],[Diapositivas como apoyo]],PESOS!A$25:B$29,2,0)</f>
        <v>10</v>
      </c>
      <c r="AG54" t="s">
        <v>45</v>
      </c>
      <c r="AH54" s="22">
        <f>VLOOKUP(TablaCalificaciones[[#This Row],[Respuestas a preguntas]],PESOS!A$25:B$29,2,0)</f>
        <v>10</v>
      </c>
      <c r="AJ54" t="s">
        <v>45</v>
      </c>
      <c r="AK54" s="22">
        <f>VLOOKUP(TablaCalificaciones[[#This Row],[Cierre: aporte a próximos pasos]],PESOS!A$25:B$29,2,0)</f>
        <v>10</v>
      </c>
      <c r="AM54" s="1"/>
    </row>
    <row r="55" spans="1:39">
      <c r="A55">
        <v>54</v>
      </c>
      <c r="B55" s="2">
        <v>46133.457743055558</v>
      </c>
      <c r="C55" s="2">
        <v>46133.459351851852</v>
      </c>
      <c r="D55" t="s">
        <v>97</v>
      </c>
      <c r="E55" t="s">
        <v>98</v>
      </c>
      <c r="H55" s="2"/>
      <c r="I55" t="s">
        <v>41</v>
      </c>
      <c r="J55">
        <v>0</v>
      </c>
      <c r="L55" t="s">
        <v>99</v>
      </c>
      <c r="M55" s="26" t="str">
        <f>CONCATENATE(TablaCalificaciones[[#This Row],[Seleccione su nombre (Evaluador)]],TablaCalificaciones[[#This Row],[Seleccione el nombre del Estudiante]])</f>
        <v>Víctor Javier Gómez RegaladoHerrera Ávila Boris Mateo</v>
      </c>
      <c r="O55" t="s">
        <v>96</v>
      </c>
      <c r="P55">
        <v>0</v>
      </c>
      <c r="R55" t="s">
        <v>50</v>
      </c>
      <c r="S55" s="22">
        <f>VLOOKUP(TablaCalificaciones[[#This Row],[Apertura: problema y objetivo ]],PESOS!A$16:B$20,2,0)</f>
        <v>16</v>
      </c>
      <c r="U55" t="s">
        <v>50</v>
      </c>
      <c r="V55" s="22">
        <f>VLOOKUP(TablaCalificaciones[[#This Row],[Metodología (nivel adecuado)]],PESOS!A$16:B$20,2,0)</f>
        <v>16</v>
      </c>
      <c r="X55" t="s">
        <v>50</v>
      </c>
      <c r="Y55" s="22">
        <f>VLOOKUP(TablaCalificaciones[[#This Row],[Resultados y evidencia ]],PESOS!A$16:B$20,2,0)</f>
        <v>16</v>
      </c>
      <c r="AA55" t="s">
        <v>51</v>
      </c>
      <c r="AB55" s="22">
        <f>VLOOKUP(TablaCalificaciones[[#This Row],[Coherencia y manejo del tiempo]],PESOS!A$25:B$29,2,0)</f>
        <v>8</v>
      </c>
      <c r="AD55" t="s">
        <v>51</v>
      </c>
      <c r="AE55" s="22">
        <f>VLOOKUP(TablaCalificaciones[[#This Row],[Diapositivas como apoyo]],PESOS!A$25:B$29,2,0)</f>
        <v>8</v>
      </c>
      <c r="AG55" t="s">
        <v>51</v>
      </c>
      <c r="AH55" s="22">
        <f>VLOOKUP(TablaCalificaciones[[#This Row],[Respuestas a preguntas]],PESOS!A$25:B$29,2,0)</f>
        <v>8</v>
      </c>
      <c r="AJ55" t="s">
        <v>51</v>
      </c>
      <c r="AK55" s="22">
        <f>VLOOKUP(TablaCalificaciones[[#This Row],[Cierre: aporte a próximos pasos]],PESOS!A$25:B$29,2,0)</f>
        <v>8</v>
      </c>
      <c r="AM55" s="1"/>
    </row>
    <row r="56" spans="1:39">
      <c r="A56">
        <v>55</v>
      </c>
      <c r="B56" s="2">
        <v>46133.455775462964</v>
      </c>
      <c r="C56" s="2">
        <v>46133.459409722222</v>
      </c>
      <c r="D56" t="s">
        <v>108</v>
      </c>
      <c r="E56" t="s">
        <v>109</v>
      </c>
      <c r="H56" s="2"/>
      <c r="I56" t="s">
        <v>41</v>
      </c>
      <c r="J56">
        <v>0</v>
      </c>
      <c r="L56" t="s">
        <v>110</v>
      </c>
      <c r="M56" s="26" t="str">
        <f>CONCATENATE(TablaCalificaciones[[#This Row],[Seleccione su nombre (Evaluador)]],TablaCalificaciones[[#This Row],[Seleccione el nombre del Estudiante]])</f>
        <v>María Alejandra CruzGavilanes Rivera Luis Alfredo</v>
      </c>
      <c r="O56" t="s">
        <v>107</v>
      </c>
      <c r="P56">
        <v>0</v>
      </c>
      <c r="R56" t="s">
        <v>44</v>
      </c>
      <c r="S56" s="22">
        <f>VLOOKUP(TablaCalificaciones[[#This Row],[Apertura: problema y objetivo ]],PESOS!A$16:B$20,2,0)</f>
        <v>20</v>
      </c>
      <c r="U56" t="s">
        <v>44</v>
      </c>
      <c r="V56" s="22">
        <f>VLOOKUP(TablaCalificaciones[[#This Row],[Metodología (nivel adecuado)]],PESOS!A$16:B$20,2,0)</f>
        <v>20</v>
      </c>
      <c r="X56" t="s">
        <v>44</v>
      </c>
      <c r="Y56" s="22">
        <f>VLOOKUP(TablaCalificaciones[[#This Row],[Resultados y evidencia ]],PESOS!A$16:B$20,2,0)</f>
        <v>20</v>
      </c>
      <c r="AA56" t="s">
        <v>45</v>
      </c>
      <c r="AB56" s="22">
        <f>VLOOKUP(TablaCalificaciones[[#This Row],[Coherencia y manejo del tiempo]],PESOS!A$25:B$29,2,0)</f>
        <v>10</v>
      </c>
      <c r="AD56" t="s">
        <v>45</v>
      </c>
      <c r="AE56" s="22">
        <f>VLOOKUP(TablaCalificaciones[[#This Row],[Diapositivas como apoyo]],PESOS!A$25:B$29,2,0)</f>
        <v>10</v>
      </c>
      <c r="AG56" t="s">
        <v>45</v>
      </c>
      <c r="AH56" s="22">
        <f>VLOOKUP(TablaCalificaciones[[#This Row],[Respuestas a preguntas]],PESOS!A$25:B$29,2,0)</f>
        <v>10</v>
      </c>
      <c r="AJ56" t="s">
        <v>45</v>
      </c>
      <c r="AK56" s="22">
        <f>VLOOKUP(TablaCalificaciones[[#This Row],[Cierre: aporte a próximos pasos]],PESOS!A$25:B$29,2,0)</f>
        <v>10</v>
      </c>
      <c r="AM56" s="1"/>
    </row>
    <row r="57" spans="1:39">
      <c r="A57">
        <v>56</v>
      </c>
      <c r="B57" s="2">
        <v>46133.460127314815</v>
      </c>
      <c r="C57" s="2">
        <v>46133.4606712963</v>
      </c>
      <c r="D57" t="s">
        <v>108</v>
      </c>
      <c r="E57" t="s">
        <v>109</v>
      </c>
      <c r="H57" s="2"/>
      <c r="I57" t="s">
        <v>41</v>
      </c>
      <c r="J57">
        <v>0</v>
      </c>
      <c r="L57" t="s">
        <v>110</v>
      </c>
      <c r="M57" s="26" t="str">
        <f>CONCATENATE(TablaCalificaciones[[#This Row],[Seleccione su nombre (Evaluador)]],TablaCalificaciones[[#This Row],[Seleccione el nombre del Estudiante]])</f>
        <v>María Alejandra CruzMafla Narváez Erik David</v>
      </c>
      <c r="O57" t="s">
        <v>106</v>
      </c>
      <c r="P57">
        <v>0</v>
      </c>
      <c r="R57" t="s">
        <v>44</v>
      </c>
      <c r="S57" s="22">
        <f>VLOOKUP(TablaCalificaciones[[#This Row],[Apertura: problema y objetivo ]],PESOS!A$16:B$20,2,0)</f>
        <v>20</v>
      </c>
      <c r="U57" t="s">
        <v>44</v>
      </c>
      <c r="V57" s="22">
        <f>VLOOKUP(TablaCalificaciones[[#This Row],[Metodología (nivel adecuado)]],PESOS!A$16:B$20,2,0)</f>
        <v>20</v>
      </c>
      <c r="X57" t="s">
        <v>44</v>
      </c>
      <c r="Y57" s="22">
        <f>VLOOKUP(TablaCalificaciones[[#This Row],[Resultados y evidencia ]],PESOS!A$16:B$20,2,0)</f>
        <v>20</v>
      </c>
      <c r="AA57" t="s">
        <v>45</v>
      </c>
      <c r="AB57" s="22">
        <f>VLOOKUP(TablaCalificaciones[[#This Row],[Coherencia y manejo del tiempo]],PESOS!A$25:B$29,2,0)</f>
        <v>10</v>
      </c>
      <c r="AD57" t="s">
        <v>45</v>
      </c>
      <c r="AE57" s="22">
        <f>VLOOKUP(TablaCalificaciones[[#This Row],[Diapositivas como apoyo]],PESOS!A$25:B$29,2,0)</f>
        <v>10</v>
      </c>
      <c r="AG57" t="s">
        <v>45</v>
      </c>
      <c r="AH57" s="22">
        <f>VLOOKUP(TablaCalificaciones[[#This Row],[Respuestas a preguntas]],PESOS!A$25:B$29,2,0)</f>
        <v>10</v>
      </c>
      <c r="AJ57" t="s">
        <v>45</v>
      </c>
      <c r="AK57" s="22">
        <f>VLOOKUP(TablaCalificaciones[[#This Row],[Cierre: aporte a próximos pasos]],PESOS!A$25:B$29,2,0)</f>
        <v>10</v>
      </c>
      <c r="AM57" s="1"/>
    </row>
    <row r="58" spans="1:39">
      <c r="A58">
        <v>57</v>
      </c>
      <c r="B58" s="2">
        <v>46133.474027777775</v>
      </c>
      <c r="C58" s="2">
        <v>46133.47457175926</v>
      </c>
      <c r="D58" t="s">
        <v>69</v>
      </c>
      <c r="E58" t="s">
        <v>70</v>
      </c>
      <c r="H58" s="2"/>
      <c r="I58" t="s">
        <v>41</v>
      </c>
      <c r="J58">
        <v>0</v>
      </c>
      <c r="L58" t="s">
        <v>71</v>
      </c>
      <c r="M58" s="26" t="str">
        <f>CONCATENATE(TablaCalificaciones[[#This Row],[Seleccione su nombre (Evaluador)]],TablaCalificaciones[[#This Row],[Seleccione el nombre del Estudiante]])</f>
        <v>Ana Belén Tulcanaza PrietoPárraga Macías María Mercedes</v>
      </c>
      <c r="O58" t="s">
        <v>111</v>
      </c>
      <c r="P58">
        <v>0</v>
      </c>
      <c r="R58" t="s">
        <v>50</v>
      </c>
      <c r="S58" s="22">
        <f>VLOOKUP(TablaCalificaciones[[#This Row],[Apertura: problema y objetivo ]],PESOS!A$16:B$20,2,0)</f>
        <v>16</v>
      </c>
      <c r="U58" t="s">
        <v>44</v>
      </c>
      <c r="V58" s="22">
        <f>VLOOKUP(TablaCalificaciones[[#This Row],[Metodología (nivel adecuado)]],PESOS!A$16:B$20,2,0)</f>
        <v>20</v>
      </c>
      <c r="X58" t="s">
        <v>44</v>
      </c>
      <c r="Y58" s="22">
        <f>VLOOKUP(TablaCalificaciones[[#This Row],[Resultados y evidencia ]],PESOS!A$16:B$20,2,0)</f>
        <v>20</v>
      </c>
      <c r="AA58" t="s">
        <v>45</v>
      </c>
      <c r="AB58" s="22">
        <f>VLOOKUP(TablaCalificaciones[[#This Row],[Coherencia y manejo del tiempo]],PESOS!A$25:B$29,2,0)</f>
        <v>10</v>
      </c>
      <c r="AD58" t="s">
        <v>45</v>
      </c>
      <c r="AE58" s="22">
        <f>VLOOKUP(TablaCalificaciones[[#This Row],[Diapositivas como apoyo]],PESOS!A$25:B$29,2,0)</f>
        <v>10</v>
      </c>
      <c r="AG58" t="s">
        <v>51</v>
      </c>
      <c r="AH58" s="22">
        <f>VLOOKUP(TablaCalificaciones[[#This Row],[Respuestas a preguntas]],PESOS!A$25:B$29,2,0)</f>
        <v>8</v>
      </c>
      <c r="AJ58" t="s">
        <v>51</v>
      </c>
      <c r="AK58" s="22">
        <f>VLOOKUP(TablaCalificaciones[[#This Row],[Cierre: aporte a próximos pasos]],PESOS!A$25:B$29,2,0)</f>
        <v>8</v>
      </c>
      <c r="AM58" s="1"/>
    </row>
    <row r="59" spans="1:39">
      <c r="A59">
        <v>58</v>
      </c>
      <c r="B59" s="2">
        <v>46133.457812499997</v>
      </c>
      <c r="C59" s="2">
        <v>46133.474664351852</v>
      </c>
      <c r="D59" t="s">
        <v>103</v>
      </c>
      <c r="E59" t="s">
        <v>104</v>
      </c>
      <c r="H59" s="2"/>
      <c r="I59" t="s">
        <v>41</v>
      </c>
      <c r="J59">
        <v>0</v>
      </c>
      <c r="L59" t="s">
        <v>56</v>
      </c>
      <c r="M59" s="26" t="str">
        <f>CONCATENATE(TablaCalificaciones[[#This Row],[Seleccione su nombre (Evaluador)]],TablaCalificaciones[[#This Row],[Seleccione el nombre del Estudiante]])</f>
        <v>Marco Antonio Galarza CastilloÁlvarez Vásquez Marcelo</v>
      </c>
      <c r="O59" t="s">
        <v>112</v>
      </c>
      <c r="P59">
        <v>0</v>
      </c>
      <c r="R59" t="s">
        <v>44</v>
      </c>
      <c r="S59" s="22">
        <f>VLOOKUP(TablaCalificaciones[[#This Row],[Apertura: problema y objetivo ]],PESOS!A$16:B$20,2,0)</f>
        <v>20</v>
      </c>
      <c r="U59" t="s">
        <v>50</v>
      </c>
      <c r="V59" s="22">
        <f>VLOOKUP(TablaCalificaciones[[#This Row],[Metodología (nivel adecuado)]],PESOS!A$16:B$20,2,0)</f>
        <v>16</v>
      </c>
      <c r="X59" t="s">
        <v>50</v>
      </c>
      <c r="Y59" s="22">
        <f>VLOOKUP(TablaCalificaciones[[#This Row],[Resultados y evidencia ]],PESOS!A$16:B$20,2,0)</f>
        <v>16</v>
      </c>
      <c r="AA59" t="s">
        <v>45</v>
      </c>
      <c r="AB59" s="22">
        <f>VLOOKUP(TablaCalificaciones[[#This Row],[Coherencia y manejo del tiempo]],PESOS!A$25:B$29,2,0)</f>
        <v>10</v>
      </c>
      <c r="AD59" t="s">
        <v>45</v>
      </c>
      <c r="AE59" s="22">
        <f>VLOOKUP(TablaCalificaciones[[#This Row],[Diapositivas como apoyo]],PESOS!A$25:B$29,2,0)</f>
        <v>10</v>
      </c>
      <c r="AG59" t="s">
        <v>83</v>
      </c>
      <c r="AH59" s="22">
        <f>VLOOKUP(TablaCalificaciones[[#This Row],[Respuestas a preguntas]],PESOS!A$25:B$29,2,0)</f>
        <v>6</v>
      </c>
      <c r="AJ59" t="s">
        <v>45</v>
      </c>
      <c r="AK59" s="22">
        <f>VLOOKUP(TablaCalificaciones[[#This Row],[Cierre: aporte a próximos pasos]],PESOS!A$25:B$29,2,0)</f>
        <v>10</v>
      </c>
      <c r="AM59" s="1"/>
    </row>
    <row r="60" spans="1:39">
      <c r="A60">
        <v>59</v>
      </c>
      <c r="B60" s="2">
        <v>46133.474050925928</v>
      </c>
      <c r="C60" s="2">
        <v>46133.475092592591</v>
      </c>
      <c r="D60" t="s">
        <v>69</v>
      </c>
      <c r="E60" t="s">
        <v>70</v>
      </c>
      <c r="H60" s="2"/>
      <c r="I60" t="s">
        <v>41</v>
      </c>
      <c r="J60">
        <v>0</v>
      </c>
      <c r="L60" t="s">
        <v>71</v>
      </c>
      <c r="M60" s="26" t="str">
        <f>CONCATENATE(TablaCalificaciones[[#This Row],[Seleccione su nombre (Evaluador)]],TablaCalificaciones[[#This Row],[Seleccione el nombre del Estudiante]])</f>
        <v>Ana Belén Tulcanaza PrietoCrespo Dávila Santiago Sebastián</v>
      </c>
      <c r="O60" t="s">
        <v>113</v>
      </c>
      <c r="P60">
        <v>0</v>
      </c>
      <c r="R60" t="s">
        <v>50</v>
      </c>
      <c r="S60" s="22">
        <f>VLOOKUP(TablaCalificaciones[[#This Row],[Apertura: problema y objetivo ]],PESOS!A$16:B$20,2,0)</f>
        <v>16</v>
      </c>
      <c r="U60" t="s">
        <v>44</v>
      </c>
      <c r="V60" s="22">
        <f>VLOOKUP(TablaCalificaciones[[#This Row],[Metodología (nivel adecuado)]],PESOS!A$16:B$20,2,0)</f>
        <v>20</v>
      </c>
      <c r="X60" t="s">
        <v>44</v>
      </c>
      <c r="Y60" s="22">
        <f>VLOOKUP(TablaCalificaciones[[#This Row],[Resultados y evidencia ]],PESOS!A$16:B$20,2,0)</f>
        <v>20</v>
      </c>
      <c r="AA60" t="s">
        <v>45</v>
      </c>
      <c r="AB60" s="22">
        <f>VLOOKUP(TablaCalificaciones[[#This Row],[Coherencia y manejo del tiempo]],PESOS!A$25:B$29,2,0)</f>
        <v>10</v>
      </c>
      <c r="AD60" t="s">
        <v>45</v>
      </c>
      <c r="AE60" s="22">
        <f>VLOOKUP(TablaCalificaciones[[#This Row],[Diapositivas como apoyo]],PESOS!A$25:B$29,2,0)</f>
        <v>10</v>
      </c>
      <c r="AG60" t="s">
        <v>45</v>
      </c>
      <c r="AH60" s="22">
        <f>VLOOKUP(TablaCalificaciones[[#This Row],[Respuestas a preguntas]],PESOS!A$25:B$29,2,0)</f>
        <v>10</v>
      </c>
      <c r="AJ60" t="s">
        <v>51</v>
      </c>
      <c r="AK60" s="22">
        <f>VLOOKUP(TablaCalificaciones[[#This Row],[Cierre: aporte a próximos pasos]],PESOS!A$25:B$29,2,0)</f>
        <v>8</v>
      </c>
      <c r="AM60" s="1"/>
    </row>
    <row r="61" spans="1:39">
      <c r="A61">
        <v>60</v>
      </c>
      <c r="B61" s="2">
        <v>46133.474687499998</v>
      </c>
      <c r="C61" s="2">
        <v>46133.476145833331</v>
      </c>
      <c r="D61" t="s">
        <v>103</v>
      </c>
      <c r="E61" t="s">
        <v>104</v>
      </c>
      <c r="H61" s="2"/>
      <c r="I61" t="s">
        <v>41</v>
      </c>
      <c r="J61">
        <v>0</v>
      </c>
      <c r="L61" t="s">
        <v>56</v>
      </c>
      <c r="M61" s="26" t="str">
        <f>CONCATENATE(TablaCalificaciones[[#This Row],[Seleccione su nombre (Evaluador)]],TablaCalificaciones[[#This Row],[Seleccione el nombre del Estudiante]])</f>
        <v>Marco Antonio Galarza CastilloOrtiz Guamancela Lunix Efrén</v>
      </c>
      <c r="O61" t="s">
        <v>114</v>
      </c>
      <c r="P61">
        <v>0</v>
      </c>
      <c r="R61" t="s">
        <v>50</v>
      </c>
      <c r="S61" s="22">
        <f>VLOOKUP(TablaCalificaciones[[#This Row],[Apertura: problema y objetivo ]],PESOS!A$16:B$20,2,0)</f>
        <v>16</v>
      </c>
      <c r="U61" t="s">
        <v>50</v>
      </c>
      <c r="V61" s="22">
        <f>VLOOKUP(TablaCalificaciones[[#This Row],[Metodología (nivel adecuado)]],PESOS!A$16:B$20,2,0)</f>
        <v>16</v>
      </c>
      <c r="X61" t="s">
        <v>50</v>
      </c>
      <c r="Y61" s="22">
        <f>VLOOKUP(TablaCalificaciones[[#This Row],[Resultados y evidencia ]],PESOS!A$16:B$20,2,0)</f>
        <v>16</v>
      </c>
      <c r="AA61" t="s">
        <v>45</v>
      </c>
      <c r="AB61" s="22">
        <f>VLOOKUP(TablaCalificaciones[[#This Row],[Coherencia y manejo del tiempo]],PESOS!A$25:B$29,2,0)</f>
        <v>10</v>
      </c>
      <c r="AD61" t="s">
        <v>45</v>
      </c>
      <c r="AE61" s="22">
        <f>VLOOKUP(TablaCalificaciones[[#This Row],[Diapositivas como apoyo]],PESOS!A$25:B$29,2,0)</f>
        <v>10</v>
      </c>
      <c r="AG61" t="s">
        <v>83</v>
      </c>
      <c r="AH61" s="22">
        <f>VLOOKUP(TablaCalificaciones[[#This Row],[Respuestas a preguntas]],PESOS!A$25:B$29,2,0)</f>
        <v>6</v>
      </c>
      <c r="AJ61" t="s">
        <v>45</v>
      </c>
      <c r="AK61" s="22">
        <f>VLOOKUP(TablaCalificaciones[[#This Row],[Cierre: aporte a próximos pasos]],PESOS!A$25:B$29,2,0)</f>
        <v>10</v>
      </c>
      <c r="AM61" s="1"/>
    </row>
    <row r="62" spans="1:39">
      <c r="A62">
        <v>61</v>
      </c>
      <c r="B62" s="2">
        <v>46133.476157407407</v>
      </c>
      <c r="C62" s="2">
        <v>46133.476805555554</v>
      </c>
      <c r="D62" t="s">
        <v>103</v>
      </c>
      <c r="E62" t="s">
        <v>104</v>
      </c>
      <c r="H62" s="2"/>
      <c r="I62" t="s">
        <v>41</v>
      </c>
      <c r="J62">
        <v>0</v>
      </c>
      <c r="L62" t="s">
        <v>56</v>
      </c>
      <c r="M62" s="26" t="str">
        <f>CONCATENATE(TablaCalificaciones[[#This Row],[Seleccione su nombre (Evaluador)]],TablaCalificaciones[[#This Row],[Seleccione el nombre del Estudiante]])</f>
        <v>Marco Antonio Galarza CastilloPuente Ramírez María José</v>
      </c>
      <c r="O62" t="s">
        <v>115</v>
      </c>
      <c r="P62">
        <v>0</v>
      </c>
      <c r="R62" t="s">
        <v>44</v>
      </c>
      <c r="S62" s="22">
        <f>VLOOKUP(TablaCalificaciones[[#This Row],[Apertura: problema y objetivo ]],PESOS!A$16:B$20,2,0)</f>
        <v>20</v>
      </c>
      <c r="U62" t="s">
        <v>50</v>
      </c>
      <c r="V62" s="22">
        <f>VLOOKUP(TablaCalificaciones[[#This Row],[Metodología (nivel adecuado)]],PESOS!A$16:B$20,2,0)</f>
        <v>16</v>
      </c>
      <c r="X62" t="s">
        <v>50</v>
      </c>
      <c r="Y62" s="22">
        <f>VLOOKUP(TablaCalificaciones[[#This Row],[Resultados y evidencia ]],PESOS!A$16:B$20,2,0)</f>
        <v>16</v>
      </c>
      <c r="AA62" t="s">
        <v>45</v>
      </c>
      <c r="AB62" s="22">
        <f>VLOOKUP(TablaCalificaciones[[#This Row],[Coherencia y manejo del tiempo]],PESOS!A$25:B$29,2,0)</f>
        <v>10</v>
      </c>
      <c r="AD62" t="s">
        <v>45</v>
      </c>
      <c r="AE62" s="22">
        <f>VLOOKUP(TablaCalificaciones[[#This Row],[Diapositivas como apoyo]],PESOS!A$25:B$29,2,0)</f>
        <v>10</v>
      </c>
      <c r="AG62" t="s">
        <v>83</v>
      </c>
      <c r="AH62" s="22">
        <f>VLOOKUP(TablaCalificaciones[[#This Row],[Respuestas a preguntas]],PESOS!A$25:B$29,2,0)</f>
        <v>6</v>
      </c>
      <c r="AJ62" t="s">
        <v>45</v>
      </c>
      <c r="AK62" s="22">
        <f>VLOOKUP(TablaCalificaciones[[#This Row],[Cierre: aporte a próximos pasos]],PESOS!A$25:B$29,2,0)</f>
        <v>10</v>
      </c>
      <c r="AM62" s="1"/>
    </row>
    <row r="63" spans="1:39">
      <c r="A63">
        <v>62</v>
      </c>
      <c r="B63" s="2">
        <v>46133.457256944443</v>
      </c>
      <c r="C63" s="2">
        <v>46133.477939814817</v>
      </c>
      <c r="D63" t="s">
        <v>59</v>
      </c>
      <c r="E63" t="s">
        <v>60</v>
      </c>
      <c r="H63" s="2"/>
      <c r="I63" t="s">
        <v>41</v>
      </c>
      <c r="J63">
        <v>0</v>
      </c>
      <c r="L63" t="s">
        <v>60</v>
      </c>
      <c r="M63" s="26" t="str">
        <f>CONCATENATE(TablaCalificaciones[[#This Row],[Seleccione su nombre (Evaluador)]],TablaCalificaciones[[#This Row],[Seleccione el nombre del Estudiante]])</f>
        <v>Santiago Leonardo SolórzanoCrespo Dávila Santiago Sebastián</v>
      </c>
      <c r="O63" t="s">
        <v>113</v>
      </c>
      <c r="P63">
        <v>0</v>
      </c>
      <c r="R63" t="s">
        <v>50</v>
      </c>
      <c r="S63" s="22">
        <f>VLOOKUP(TablaCalificaciones[[#This Row],[Apertura: problema y objetivo ]],PESOS!A$16:B$20,2,0)</f>
        <v>16</v>
      </c>
      <c r="U63" t="s">
        <v>50</v>
      </c>
      <c r="V63" s="22">
        <f>VLOOKUP(TablaCalificaciones[[#This Row],[Metodología (nivel adecuado)]],PESOS!A$16:B$20,2,0)</f>
        <v>16</v>
      </c>
      <c r="X63" t="s">
        <v>50</v>
      </c>
      <c r="Y63" s="22">
        <f>VLOOKUP(TablaCalificaciones[[#This Row],[Resultados y evidencia ]],PESOS!A$16:B$20,2,0)</f>
        <v>16</v>
      </c>
      <c r="AA63" t="s">
        <v>51</v>
      </c>
      <c r="AB63" s="22">
        <f>VLOOKUP(TablaCalificaciones[[#This Row],[Coherencia y manejo del tiempo]],PESOS!A$25:B$29,2,0)</f>
        <v>8</v>
      </c>
      <c r="AD63" t="s">
        <v>51</v>
      </c>
      <c r="AE63" s="22">
        <f>VLOOKUP(TablaCalificaciones[[#This Row],[Diapositivas como apoyo]],PESOS!A$25:B$29,2,0)</f>
        <v>8</v>
      </c>
      <c r="AG63" t="s">
        <v>51</v>
      </c>
      <c r="AH63" s="22">
        <f>VLOOKUP(TablaCalificaciones[[#This Row],[Respuestas a preguntas]],PESOS!A$25:B$29,2,0)</f>
        <v>8</v>
      </c>
      <c r="AJ63" t="s">
        <v>51</v>
      </c>
      <c r="AK63" s="22">
        <f>VLOOKUP(TablaCalificaciones[[#This Row],[Cierre: aporte a próximos pasos]],PESOS!A$25:B$29,2,0)</f>
        <v>8</v>
      </c>
      <c r="AM63" s="1"/>
    </row>
    <row r="64" spans="1:39">
      <c r="A64">
        <v>63</v>
      </c>
      <c r="B64" s="2">
        <v>46133.457233796296</v>
      </c>
      <c r="C64" s="2">
        <v>46133.478148148148</v>
      </c>
      <c r="D64" t="s">
        <v>59</v>
      </c>
      <c r="E64" t="s">
        <v>60</v>
      </c>
      <c r="H64" s="2"/>
      <c r="I64" t="s">
        <v>41</v>
      </c>
      <c r="J64">
        <v>0</v>
      </c>
      <c r="L64" t="s">
        <v>60</v>
      </c>
      <c r="M64" s="26" t="str">
        <f>CONCATENATE(TablaCalificaciones[[#This Row],[Seleccione su nombre (Evaluador)]],TablaCalificaciones[[#This Row],[Seleccione el nombre del Estudiante]])</f>
        <v>Santiago Leonardo SolórzanoPárraga Macías María Mercedes</v>
      </c>
      <c r="O64" t="s">
        <v>111</v>
      </c>
      <c r="P64">
        <v>0</v>
      </c>
      <c r="R64" t="s">
        <v>50</v>
      </c>
      <c r="S64" s="22">
        <f>VLOOKUP(TablaCalificaciones[[#This Row],[Apertura: problema y objetivo ]],PESOS!A$16:B$20,2,0)</f>
        <v>16</v>
      </c>
      <c r="U64" t="s">
        <v>50</v>
      </c>
      <c r="V64" s="22">
        <f>VLOOKUP(TablaCalificaciones[[#This Row],[Metodología (nivel adecuado)]],PESOS!A$16:B$20,2,0)</f>
        <v>16</v>
      </c>
      <c r="X64" t="s">
        <v>50</v>
      </c>
      <c r="Y64" s="22">
        <f>VLOOKUP(TablaCalificaciones[[#This Row],[Resultados y evidencia ]],PESOS!A$16:B$20,2,0)</f>
        <v>16</v>
      </c>
      <c r="AA64" t="s">
        <v>51</v>
      </c>
      <c r="AB64" s="22">
        <f>VLOOKUP(TablaCalificaciones[[#This Row],[Coherencia y manejo del tiempo]],PESOS!A$25:B$29,2,0)</f>
        <v>8</v>
      </c>
      <c r="AD64" t="s">
        <v>51</v>
      </c>
      <c r="AE64" s="22">
        <f>VLOOKUP(TablaCalificaciones[[#This Row],[Diapositivas como apoyo]],PESOS!A$25:B$29,2,0)</f>
        <v>8</v>
      </c>
      <c r="AG64" t="s">
        <v>51</v>
      </c>
      <c r="AH64" s="22">
        <f>VLOOKUP(TablaCalificaciones[[#This Row],[Respuestas a preguntas]],PESOS!A$25:B$29,2,0)</f>
        <v>8</v>
      </c>
      <c r="AJ64" t="s">
        <v>51</v>
      </c>
      <c r="AK64" s="22">
        <f>VLOOKUP(TablaCalificaciones[[#This Row],[Cierre: aporte a próximos pasos]],PESOS!A$25:B$29,2,0)</f>
        <v>8</v>
      </c>
      <c r="AM64" s="1"/>
    </row>
    <row r="65" spans="1:39">
      <c r="A65">
        <v>64</v>
      </c>
      <c r="B65" s="2">
        <v>46133.477407407408</v>
      </c>
      <c r="C65" s="2">
        <v>46133.478888888887</v>
      </c>
      <c r="D65" t="s">
        <v>116</v>
      </c>
      <c r="E65" t="s">
        <v>117</v>
      </c>
      <c r="H65" s="2"/>
      <c r="I65" t="s">
        <v>41</v>
      </c>
      <c r="J65">
        <v>0</v>
      </c>
      <c r="L65" t="s">
        <v>117</v>
      </c>
      <c r="M65" s="26" t="str">
        <f>CONCATENATE(TablaCalificaciones[[#This Row],[Seleccione su nombre (Evaluador)]],TablaCalificaciones[[#This Row],[Seleccione el nombre del Estudiante]])</f>
        <v>Diego Xavier Gonzalez SegoviaCrespo Dávila Santiago Sebastián</v>
      </c>
      <c r="O65" t="s">
        <v>113</v>
      </c>
      <c r="P65">
        <v>0</v>
      </c>
      <c r="R65" t="s">
        <v>44</v>
      </c>
      <c r="S65" s="22">
        <f>VLOOKUP(TablaCalificaciones[[#This Row],[Apertura: problema y objetivo ]],PESOS!A$16:B$20,2,0)</f>
        <v>20</v>
      </c>
      <c r="U65" t="s">
        <v>44</v>
      </c>
      <c r="V65" s="22">
        <f>VLOOKUP(TablaCalificaciones[[#This Row],[Metodología (nivel adecuado)]],PESOS!A$16:B$20,2,0)</f>
        <v>20</v>
      </c>
      <c r="X65" t="s">
        <v>44</v>
      </c>
      <c r="Y65" s="22">
        <f>VLOOKUP(TablaCalificaciones[[#This Row],[Resultados y evidencia ]],PESOS!A$16:B$20,2,0)</f>
        <v>20</v>
      </c>
      <c r="AA65" t="s">
        <v>45</v>
      </c>
      <c r="AB65" s="22">
        <f>VLOOKUP(TablaCalificaciones[[#This Row],[Coherencia y manejo del tiempo]],PESOS!A$25:B$29,2,0)</f>
        <v>10</v>
      </c>
      <c r="AD65" t="s">
        <v>45</v>
      </c>
      <c r="AE65" s="22">
        <f>VLOOKUP(TablaCalificaciones[[#This Row],[Diapositivas como apoyo]],PESOS!A$25:B$29,2,0)</f>
        <v>10</v>
      </c>
      <c r="AG65" t="s">
        <v>45</v>
      </c>
      <c r="AH65" s="22">
        <f>VLOOKUP(TablaCalificaciones[[#This Row],[Respuestas a preguntas]],PESOS!A$25:B$29,2,0)</f>
        <v>10</v>
      </c>
      <c r="AJ65" t="s">
        <v>45</v>
      </c>
      <c r="AK65" s="22">
        <f>VLOOKUP(TablaCalificaciones[[#This Row],[Cierre: aporte a próximos pasos]],PESOS!A$25:B$29,2,0)</f>
        <v>10</v>
      </c>
      <c r="AM65" s="1"/>
    </row>
    <row r="66" spans="1:39">
      <c r="A66">
        <v>65</v>
      </c>
      <c r="B66" s="2">
        <v>46133.478182870371</v>
      </c>
      <c r="C66" s="2">
        <v>46133.48027777778</v>
      </c>
      <c r="D66" t="s">
        <v>116</v>
      </c>
      <c r="E66" t="s">
        <v>117</v>
      </c>
      <c r="H66" s="2"/>
      <c r="I66" t="s">
        <v>41</v>
      </c>
      <c r="J66">
        <v>0</v>
      </c>
      <c r="L66" t="s">
        <v>117</v>
      </c>
      <c r="M66" s="26" t="str">
        <f>CONCATENATE(TablaCalificaciones[[#This Row],[Seleccione su nombre (Evaluador)]],TablaCalificaciones[[#This Row],[Seleccione el nombre del Estudiante]])</f>
        <v>Diego Xavier Gonzalez SegoviaPárraga Macías María Mercedes</v>
      </c>
      <c r="O66" t="s">
        <v>111</v>
      </c>
      <c r="P66">
        <v>0</v>
      </c>
      <c r="R66" t="s">
        <v>50</v>
      </c>
      <c r="S66" s="22">
        <f>VLOOKUP(TablaCalificaciones[[#This Row],[Apertura: problema y objetivo ]],PESOS!A$16:B$20,2,0)</f>
        <v>16</v>
      </c>
      <c r="U66" t="s">
        <v>44</v>
      </c>
      <c r="V66" s="22">
        <f>VLOOKUP(TablaCalificaciones[[#This Row],[Metodología (nivel adecuado)]],PESOS!A$16:B$20,2,0)</f>
        <v>20</v>
      </c>
      <c r="X66" t="s">
        <v>44</v>
      </c>
      <c r="Y66" s="22">
        <f>VLOOKUP(TablaCalificaciones[[#This Row],[Resultados y evidencia ]],PESOS!A$16:B$20,2,0)</f>
        <v>20</v>
      </c>
      <c r="AA66" t="s">
        <v>45</v>
      </c>
      <c r="AB66" s="22">
        <f>VLOOKUP(TablaCalificaciones[[#This Row],[Coherencia y manejo del tiempo]],PESOS!A$25:B$29,2,0)</f>
        <v>10</v>
      </c>
      <c r="AD66" t="s">
        <v>45</v>
      </c>
      <c r="AE66" s="22">
        <f>VLOOKUP(TablaCalificaciones[[#This Row],[Diapositivas como apoyo]],PESOS!A$25:B$29,2,0)</f>
        <v>10</v>
      </c>
      <c r="AG66" t="s">
        <v>45</v>
      </c>
      <c r="AH66" s="22">
        <f>VLOOKUP(TablaCalificaciones[[#This Row],[Respuestas a preguntas]],PESOS!A$25:B$29,2,0)</f>
        <v>10</v>
      </c>
      <c r="AJ66" t="s">
        <v>45</v>
      </c>
      <c r="AK66" s="22">
        <f>VLOOKUP(TablaCalificaciones[[#This Row],[Cierre: aporte a próximos pasos]],PESOS!A$25:B$29,2,0)</f>
        <v>10</v>
      </c>
      <c r="AM66" s="1"/>
    </row>
    <row r="67" spans="1:39">
      <c r="A67">
        <v>66</v>
      </c>
      <c r="B67" s="2">
        <v>46133.40047453704</v>
      </c>
      <c r="C67" s="2">
        <v>46133.488888888889</v>
      </c>
      <c r="D67" t="s">
        <v>54</v>
      </c>
      <c r="E67" t="s">
        <v>55</v>
      </c>
      <c r="H67" s="2"/>
      <c r="I67" t="s">
        <v>41</v>
      </c>
      <c r="J67">
        <v>0</v>
      </c>
      <c r="L67" t="s">
        <v>56</v>
      </c>
      <c r="M67" s="26" t="str">
        <f>CONCATENATE(TablaCalificaciones[[#This Row],[Seleccione su nombre (Evaluador)]],TablaCalificaciones[[#This Row],[Seleccione el nombre del Estudiante]])</f>
        <v>Marco Antonio Galarza CastilloFlores Perez Dayana Liseth</v>
      </c>
      <c r="O67" t="s">
        <v>82</v>
      </c>
      <c r="P67">
        <v>0</v>
      </c>
      <c r="R67" t="s">
        <v>44</v>
      </c>
      <c r="S67" s="22">
        <f>VLOOKUP(TablaCalificaciones[[#This Row],[Apertura: problema y objetivo ]],PESOS!A$16:B$20,2,0)</f>
        <v>20</v>
      </c>
      <c r="U67" t="s">
        <v>44</v>
      </c>
      <c r="V67" s="22">
        <f>VLOOKUP(TablaCalificaciones[[#This Row],[Metodología (nivel adecuado)]],PESOS!A$16:B$20,2,0)</f>
        <v>20</v>
      </c>
      <c r="X67" t="s">
        <v>44</v>
      </c>
      <c r="Y67" s="22">
        <f>VLOOKUP(TablaCalificaciones[[#This Row],[Resultados y evidencia ]],PESOS!A$16:B$20,2,0)</f>
        <v>20</v>
      </c>
      <c r="AA67" t="s">
        <v>51</v>
      </c>
      <c r="AB67" s="22">
        <f>VLOOKUP(TablaCalificaciones[[#This Row],[Coherencia y manejo del tiempo]],PESOS!A$25:B$29,2,0)</f>
        <v>8</v>
      </c>
      <c r="AD67" t="s">
        <v>51</v>
      </c>
      <c r="AE67" s="22">
        <f>VLOOKUP(TablaCalificaciones[[#This Row],[Diapositivas como apoyo]],PESOS!A$25:B$29,2,0)</f>
        <v>8</v>
      </c>
      <c r="AG67" t="s">
        <v>45</v>
      </c>
      <c r="AH67" s="22">
        <f>VLOOKUP(TablaCalificaciones[[#This Row],[Respuestas a preguntas]],PESOS!A$25:B$29,2,0)</f>
        <v>10</v>
      </c>
      <c r="AJ67" t="s">
        <v>45</v>
      </c>
      <c r="AK67" s="22">
        <f>VLOOKUP(TablaCalificaciones[[#This Row],[Cierre: aporte a próximos pasos]],PESOS!A$25:B$29,2,0)</f>
        <v>10</v>
      </c>
      <c r="AM67" s="1"/>
    </row>
    <row r="68" spans="1:39">
      <c r="A68">
        <v>67</v>
      </c>
      <c r="B68" s="2">
        <v>46133.486932870372</v>
      </c>
      <c r="C68" s="2">
        <v>46133.489351851851</v>
      </c>
      <c r="D68" t="s">
        <v>66</v>
      </c>
      <c r="E68" t="s">
        <v>67</v>
      </c>
      <c r="H68" s="2"/>
      <c r="I68" t="s">
        <v>41</v>
      </c>
      <c r="J68">
        <v>0</v>
      </c>
      <c r="L68" t="s">
        <v>67</v>
      </c>
      <c r="M68" s="26" t="str">
        <f>CONCATENATE(TablaCalificaciones[[#This Row],[Seleccione su nombre (Evaluador)]],TablaCalificaciones[[#This Row],[Seleccione el nombre del Estudiante]])</f>
        <v>Hugo Fernando Chimbo AcostaÁlvarez Vásquez Marcelo</v>
      </c>
      <c r="O68" t="s">
        <v>112</v>
      </c>
      <c r="P68">
        <v>0</v>
      </c>
      <c r="R68" t="s">
        <v>50</v>
      </c>
      <c r="S68" s="22">
        <f>VLOOKUP(TablaCalificaciones[[#This Row],[Apertura: problema y objetivo ]],PESOS!A$16:B$20,2,0)</f>
        <v>16</v>
      </c>
      <c r="U68" t="s">
        <v>50</v>
      </c>
      <c r="V68" s="22">
        <f>VLOOKUP(TablaCalificaciones[[#This Row],[Metodología (nivel adecuado)]],PESOS!A$16:B$20,2,0)</f>
        <v>16</v>
      </c>
      <c r="X68" t="s">
        <v>50</v>
      </c>
      <c r="Y68" s="22">
        <f>VLOOKUP(TablaCalificaciones[[#This Row],[Resultados y evidencia ]],PESOS!A$16:B$20,2,0)</f>
        <v>16</v>
      </c>
      <c r="AA68" t="s">
        <v>51</v>
      </c>
      <c r="AB68" s="22">
        <f>VLOOKUP(TablaCalificaciones[[#This Row],[Coherencia y manejo del tiempo]],PESOS!A$25:B$29,2,0)</f>
        <v>8</v>
      </c>
      <c r="AD68" t="s">
        <v>45</v>
      </c>
      <c r="AE68" s="22">
        <f>VLOOKUP(TablaCalificaciones[[#This Row],[Diapositivas como apoyo]],PESOS!A$25:B$29,2,0)</f>
        <v>10</v>
      </c>
      <c r="AG68" t="s">
        <v>83</v>
      </c>
      <c r="AH68" s="22">
        <f>VLOOKUP(TablaCalificaciones[[#This Row],[Respuestas a preguntas]],PESOS!A$25:B$29,2,0)</f>
        <v>6</v>
      </c>
      <c r="AJ68" t="s">
        <v>51</v>
      </c>
      <c r="AK68" s="22">
        <f>VLOOKUP(TablaCalificaciones[[#This Row],[Cierre: aporte a próximos pasos]],PESOS!A$25:B$29,2,0)</f>
        <v>8</v>
      </c>
      <c r="AM68" s="1"/>
    </row>
    <row r="69" spans="1:39">
      <c r="A69">
        <v>68</v>
      </c>
      <c r="B69" s="2">
        <v>46133.488912037035</v>
      </c>
      <c r="C69" s="2">
        <v>46133.489849537036</v>
      </c>
      <c r="D69" t="s">
        <v>54</v>
      </c>
      <c r="E69" t="s">
        <v>55</v>
      </c>
      <c r="H69" s="2"/>
      <c r="I69" t="s">
        <v>41</v>
      </c>
      <c r="J69">
        <v>0</v>
      </c>
      <c r="L69" t="s">
        <v>56</v>
      </c>
      <c r="M69" s="26" t="str">
        <f>CONCATENATE(TablaCalificaciones[[#This Row],[Seleccione su nombre (Evaluador)]],TablaCalificaciones[[#This Row],[Seleccione el nombre del Estudiante]])</f>
        <v>Marco Antonio Galarza CastilloOrtega Calderon Ricardo Antonio</v>
      </c>
      <c r="O69" t="s">
        <v>84</v>
      </c>
      <c r="P69">
        <v>0</v>
      </c>
      <c r="R69" t="s">
        <v>44</v>
      </c>
      <c r="S69" s="22">
        <f>VLOOKUP(TablaCalificaciones[[#This Row],[Apertura: problema y objetivo ]],PESOS!A$16:B$20,2,0)</f>
        <v>20</v>
      </c>
      <c r="U69" t="s">
        <v>44</v>
      </c>
      <c r="V69" s="22">
        <f>VLOOKUP(TablaCalificaciones[[#This Row],[Metodología (nivel adecuado)]],PESOS!A$16:B$20,2,0)</f>
        <v>20</v>
      </c>
      <c r="X69" t="s">
        <v>44</v>
      </c>
      <c r="Y69" s="22">
        <f>VLOOKUP(TablaCalificaciones[[#This Row],[Resultados y evidencia ]],PESOS!A$16:B$20,2,0)</f>
        <v>20</v>
      </c>
      <c r="AA69" t="s">
        <v>51</v>
      </c>
      <c r="AB69" s="22">
        <f>VLOOKUP(TablaCalificaciones[[#This Row],[Coherencia y manejo del tiempo]],PESOS!A$25:B$29,2,0)</f>
        <v>8</v>
      </c>
      <c r="AD69" t="s">
        <v>51</v>
      </c>
      <c r="AE69" s="22">
        <f>VLOOKUP(TablaCalificaciones[[#This Row],[Diapositivas como apoyo]],PESOS!A$25:B$29,2,0)</f>
        <v>8</v>
      </c>
      <c r="AG69" t="s">
        <v>45</v>
      </c>
      <c r="AH69" s="22">
        <f>VLOOKUP(TablaCalificaciones[[#This Row],[Respuestas a preguntas]],PESOS!A$25:B$29,2,0)</f>
        <v>10</v>
      </c>
      <c r="AJ69" t="s">
        <v>45</v>
      </c>
      <c r="AK69" s="22">
        <f>VLOOKUP(TablaCalificaciones[[#This Row],[Cierre: aporte a próximos pasos]],PESOS!A$25:B$29,2,0)</f>
        <v>10</v>
      </c>
      <c r="AM69" s="1"/>
    </row>
    <row r="70" spans="1:39">
      <c r="A70">
        <v>69</v>
      </c>
      <c r="B70" s="2">
        <v>46133.489872685182</v>
      </c>
      <c r="C70" s="2">
        <v>46133.490555555552</v>
      </c>
      <c r="D70" t="s">
        <v>54</v>
      </c>
      <c r="E70" t="s">
        <v>55</v>
      </c>
      <c r="H70" s="2"/>
      <c r="I70" t="s">
        <v>41</v>
      </c>
      <c r="J70">
        <v>0</v>
      </c>
      <c r="L70" t="s">
        <v>56</v>
      </c>
      <c r="M70" s="26" t="str">
        <f>CONCATENATE(TablaCalificaciones[[#This Row],[Seleccione su nombre (Evaluador)]],TablaCalificaciones[[#This Row],[Seleccione el nombre del Estudiante]])</f>
        <v>Marco Antonio Galarza CastilloZapata Espinosa María Fernanda</v>
      </c>
      <c r="O70" t="s">
        <v>80</v>
      </c>
      <c r="P70">
        <v>0</v>
      </c>
      <c r="R70" t="s">
        <v>44</v>
      </c>
      <c r="S70" s="22">
        <f>VLOOKUP(TablaCalificaciones[[#This Row],[Apertura: problema y objetivo ]],PESOS!A$16:B$20,2,0)</f>
        <v>20</v>
      </c>
      <c r="U70" t="s">
        <v>44</v>
      </c>
      <c r="V70" s="22">
        <f>VLOOKUP(TablaCalificaciones[[#This Row],[Metodología (nivel adecuado)]],PESOS!A$16:B$20,2,0)</f>
        <v>20</v>
      </c>
      <c r="X70" t="s">
        <v>44</v>
      </c>
      <c r="Y70" s="22">
        <f>VLOOKUP(TablaCalificaciones[[#This Row],[Resultados y evidencia ]],PESOS!A$16:B$20,2,0)</f>
        <v>20</v>
      </c>
      <c r="AA70" t="s">
        <v>51</v>
      </c>
      <c r="AB70" s="22">
        <f>VLOOKUP(TablaCalificaciones[[#This Row],[Coherencia y manejo del tiempo]],PESOS!A$25:B$29,2,0)</f>
        <v>8</v>
      </c>
      <c r="AD70" t="s">
        <v>51</v>
      </c>
      <c r="AE70" s="22">
        <f>VLOOKUP(TablaCalificaciones[[#This Row],[Diapositivas como apoyo]],PESOS!A$25:B$29,2,0)</f>
        <v>8</v>
      </c>
      <c r="AG70" t="s">
        <v>45</v>
      </c>
      <c r="AH70" s="22">
        <f>VLOOKUP(TablaCalificaciones[[#This Row],[Respuestas a preguntas]],PESOS!A$25:B$29,2,0)</f>
        <v>10</v>
      </c>
      <c r="AJ70" t="s">
        <v>45</v>
      </c>
      <c r="AK70" s="22">
        <f>VLOOKUP(TablaCalificaciones[[#This Row],[Cierre: aporte a próximos pasos]],PESOS!A$25:B$29,2,0)</f>
        <v>10</v>
      </c>
      <c r="AM70" s="1"/>
    </row>
    <row r="71" spans="1:39">
      <c r="A71">
        <v>70</v>
      </c>
      <c r="B71" s="2">
        <v>46133.489398148151</v>
      </c>
      <c r="C71" s="2">
        <v>46133.490891203706</v>
      </c>
      <c r="D71" t="s">
        <v>66</v>
      </c>
      <c r="E71" t="s">
        <v>67</v>
      </c>
      <c r="H71" s="2"/>
      <c r="I71" t="s">
        <v>41</v>
      </c>
      <c r="J71">
        <v>0</v>
      </c>
      <c r="L71" t="s">
        <v>67</v>
      </c>
      <c r="M71" s="26" t="str">
        <f>CONCATENATE(TablaCalificaciones[[#This Row],[Seleccione su nombre (Evaluador)]],TablaCalificaciones[[#This Row],[Seleccione el nombre del Estudiante]])</f>
        <v>Hugo Fernando Chimbo AcostaOrtiz Guamancela Lunix Efrén</v>
      </c>
      <c r="O71" t="s">
        <v>114</v>
      </c>
      <c r="P71">
        <v>0</v>
      </c>
      <c r="R71" t="s">
        <v>44</v>
      </c>
      <c r="S71" s="22">
        <f>VLOOKUP(TablaCalificaciones[[#This Row],[Apertura: problema y objetivo ]],PESOS!A$16:B$20,2,0)</f>
        <v>20</v>
      </c>
      <c r="U71" t="s">
        <v>50</v>
      </c>
      <c r="V71" s="22">
        <f>VLOOKUP(TablaCalificaciones[[#This Row],[Metodología (nivel adecuado)]],PESOS!A$16:B$20,2,0)</f>
        <v>16</v>
      </c>
      <c r="X71" t="s">
        <v>44</v>
      </c>
      <c r="Y71" s="22">
        <f>VLOOKUP(TablaCalificaciones[[#This Row],[Resultados y evidencia ]],PESOS!A$16:B$20,2,0)</f>
        <v>20</v>
      </c>
      <c r="AA71" t="s">
        <v>51</v>
      </c>
      <c r="AB71" s="22">
        <f>VLOOKUP(TablaCalificaciones[[#This Row],[Coherencia y manejo del tiempo]],PESOS!A$25:B$29,2,0)</f>
        <v>8</v>
      </c>
      <c r="AD71" t="s">
        <v>45</v>
      </c>
      <c r="AE71" s="22">
        <f>VLOOKUP(TablaCalificaciones[[#This Row],[Diapositivas como apoyo]],PESOS!A$25:B$29,2,0)</f>
        <v>10</v>
      </c>
      <c r="AG71" t="s">
        <v>45</v>
      </c>
      <c r="AH71" s="22">
        <f>VLOOKUP(TablaCalificaciones[[#This Row],[Respuestas a preguntas]],PESOS!A$25:B$29,2,0)</f>
        <v>10</v>
      </c>
      <c r="AJ71" t="s">
        <v>45</v>
      </c>
      <c r="AK71" s="22">
        <f>VLOOKUP(TablaCalificaciones[[#This Row],[Cierre: aporte a próximos pasos]],PESOS!A$25:B$29,2,0)</f>
        <v>10</v>
      </c>
      <c r="AM71" s="1"/>
    </row>
    <row r="72" spans="1:39">
      <c r="A72">
        <v>71</v>
      </c>
      <c r="B72" s="2">
        <v>46133.490937499999</v>
      </c>
      <c r="C72" s="2">
        <v>46133.492280092592</v>
      </c>
      <c r="D72" t="s">
        <v>66</v>
      </c>
      <c r="E72" t="s">
        <v>67</v>
      </c>
      <c r="H72" s="2"/>
      <c r="I72" t="s">
        <v>41</v>
      </c>
      <c r="J72">
        <v>0</v>
      </c>
      <c r="L72" t="s">
        <v>67</v>
      </c>
      <c r="M72" s="26" t="str">
        <f>CONCATENATE(TablaCalificaciones[[#This Row],[Seleccione su nombre (Evaluador)]],TablaCalificaciones[[#This Row],[Seleccione el nombre del Estudiante]])</f>
        <v>Hugo Fernando Chimbo AcostaPuente Ramírez María José</v>
      </c>
      <c r="O72" t="s">
        <v>115</v>
      </c>
      <c r="P72">
        <v>0</v>
      </c>
      <c r="R72" t="s">
        <v>44</v>
      </c>
      <c r="S72" s="22">
        <f>VLOOKUP(TablaCalificaciones[[#This Row],[Apertura: problema y objetivo ]],PESOS!A$16:B$20,2,0)</f>
        <v>20</v>
      </c>
      <c r="U72" t="s">
        <v>50</v>
      </c>
      <c r="V72" s="22">
        <f>VLOOKUP(TablaCalificaciones[[#This Row],[Metodología (nivel adecuado)]],PESOS!A$16:B$20,2,0)</f>
        <v>16</v>
      </c>
      <c r="X72" t="s">
        <v>44</v>
      </c>
      <c r="Y72" s="22">
        <f>VLOOKUP(TablaCalificaciones[[#This Row],[Resultados y evidencia ]],PESOS!A$16:B$20,2,0)</f>
        <v>20</v>
      </c>
      <c r="AA72" t="s">
        <v>51</v>
      </c>
      <c r="AB72" s="22">
        <f>VLOOKUP(TablaCalificaciones[[#This Row],[Coherencia y manejo del tiempo]],PESOS!A$25:B$29,2,0)</f>
        <v>8</v>
      </c>
      <c r="AD72" t="s">
        <v>45</v>
      </c>
      <c r="AE72" s="22">
        <f>VLOOKUP(TablaCalificaciones[[#This Row],[Diapositivas como apoyo]],PESOS!A$25:B$29,2,0)</f>
        <v>10</v>
      </c>
      <c r="AG72" t="s">
        <v>51</v>
      </c>
      <c r="AH72" s="22">
        <f>VLOOKUP(TablaCalificaciones[[#This Row],[Respuestas a preguntas]],PESOS!A$25:B$29,2,0)</f>
        <v>8</v>
      </c>
      <c r="AJ72" t="s">
        <v>45</v>
      </c>
      <c r="AK72" s="22">
        <f>VLOOKUP(TablaCalificaciones[[#This Row],[Cierre: aporte a próximos pasos]],PESOS!A$25:B$29,2,0)</f>
        <v>10</v>
      </c>
      <c r="AM72" s="1"/>
    </row>
    <row r="73" spans="1:39">
      <c r="A73">
        <v>72</v>
      </c>
      <c r="B73" s="2">
        <v>46133.477962962963</v>
      </c>
      <c r="C73" s="2">
        <v>46133.493310185186</v>
      </c>
      <c r="D73" t="s">
        <v>59</v>
      </c>
      <c r="E73" t="s">
        <v>60</v>
      </c>
      <c r="H73" s="2"/>
      <c r="I73" t="s">
        <v>41</v>
      </c>
      <c r="J73">
        <v>0</v>
      </c>
      <c r="L73" t="s">
        <v>60</v>
      </c>
      <c r="M73" s="26" t="str">
        <f>CONCATENATE(TablaCalificaciones[[#This Row],[Seleccione su nombre (Evaluador)]],TablaCalificaciones[[#This Row],[Seleccione el nombre del Estudiante]])</f>
        <v>Santiago Leonardo SolórzanoMaldonado Gonzalez Alfredo</v>
      </c>
      <c r="O73" t="s">
        <v>118</v>
      </c>
      <c r="P73">
        <v>0</v>
      </c>
      <c r="R73" t="s">
        <v>44</v>
      </c>
      <c r="S73" s="22">
        <f>VLOOKUP(TablaCalificaciones[[#This Row],[Apertura: problema y objetivo ]],PESOS!A$16:B$20,2,0)</f>
        <v>20</v>
      </c>
      <c r="U73" t="s">
        <v>44</v>
      </c>
      <c r="V73" s="22">
        <f>VLOOKUP(TablaCalificaciones[[#This Row],[Metodología (nivel adecuado)]],PESOS!A$16:B$20,2,0)</f>
        <v>20</v>
      </c>
      <c r="X73" t="s">
        <v>44</v>
      </c>
      <c r="Y73" s="22">
        <f>VLOOKUP(TablaCalificaciones[[#This Row],[Resultados y evidencia ]],PESOS!A$16:B$20,2,0)</f>
        <v>20</v>
      </c>
      <c r="AA73" t="s">
        <v>45</v>
      </c>
      <c r="AB73" s="22">
        <f>VLOOKUP(TablaCalificaciones[[#This Row],[Coherencia y manejo del tiempo]],PESOS!A$25:B$29,2,0)</f>
        <v>10</v>
      </c>
      <c r="AD73" t="s">
        <v>45</v>
      </c>
      <c r="AE73" s="22">
        <f>VLOOKUP(TablaCalificaciones[[#This Row],[Diapositivas como apoyo]],PESOS!A$25:B$29,2,0)</f>
        <v>10</v>
      </c>
      <c r="AG73" t="s">
        <v>45</v>
      </c>
      <c r="AH73" s="22">
        <f>VLOOKUP(TablaCalificaciones[[#This Row],[Respuestas a preguntas]],PESOS!A$25:B$29,2,0)</f>
        <v>10</v>
      </c>
      <c r="AJ73" t="s">
        <v>45</v>
      </c>
      <c r="AK73" s="22">
        <f>VLOOKUP(TablaCalificaciones[[#This Row],[Cierre: aporte a próximos pasos]],PESOS!A$25:B$29,2,0)</f>
        <v>10</v>
      </c>
      <c r="AM73" s="1"/>
    </row>
    <row r="74" spans="1:39">
      <c r="A74">
        <v>73</v>
      </c>
      <c r="B74" s="2">
        <v>46133.478171296294</v>
      </c>
      <c r="C74" s="2">
        <v>46133.493530092594</v>
      </c>
      <c r="D74" t="s">
        <v>59</v>
      </c>
      <c r="E74" t="s">
        <v>60</v>
      </c>
      <c r="H74" s="2"/>
      <c r="I74" t="s">
        <v>41</v>
      </c>
      <c r="J74">
        <v>0</v>
      </c>
      <c r="L74" t="s">
        <v>60</v>
      </c>
      <c r="M74" s="26" t="str">
        <f>CONCATENATE(TablaCalificaciones[[#This Row],[Seleccione su nombre (Evaluador)]],TablaCalificaciones[[#This Row],[Seleccione el nombre del Estudiante]])</f>
        <v>Santiago Leonardo SolórzanoRios Carrillo Luis Fernando</v>
      </c>
      <c r="O74" t="s">
        <v>119</v>
      </c>
      <c r="P74">
        <v>0</v>
      </c>
      <c r="R74" t="s">
        <v>44</v>
      </c>
      <c r="S74" s="22">
        <f>VLOOKUP(TablaCalificaciones[[#This Row],[Apertura: problema y objetivo ]],PESOS!A$16:B$20,2,0)</f>
        <v>20</v>
      </c>
      <c r="U74" t="s">
        <v>44</v>
      </c>
      <c r="V74" s="22">
        <f>VLOOKUP(TablaCalificaciones[[#This Row],[Metodología (nivel adecuado)]],PESOS!A$16:B$20,2,0)</f>
        <v>20</v>
      </c>
      <c r="X74" t="s">
        <v>44</v>
      </c>
      <c r="Y74" s="22">
        <f>VLOOKUP(TablaCalificaciones[[#This Row],[Resultados y evidencia ]],PESOS!A$16:B$20,2,0)</f>
        <v>20</v>
      </c>
      <c r="AA74" t="s">
        <v>45</v>
      </c>
      <c r="AB74" s="22">
        <f>VLOOKUP(TablaCalificaciones[[#This Row],[Coherencia y manejo del tiempo]],PESOS!A$25:B$29,2,0)</f>
        <v>10</v>
      </c>
      <c r="AD74" t="s">
        <v>45</v>
      </c>
      <c r="AE74" s="22">
        <f>VLOOKUP(TablaCalificaciones[[#This Row],[Diapositivas como apoyo]],PESOS!A$25:B$29,2,0)</f>
        <v>10</v>
      </c>
      <c r="AG74" t="s">
        <v>45</v>
      </c>
      <c r="AH74" s="22">
        <f>VLOOKUP(TablaCalificaciones[[#This Row],[Respuestas a preguntas]],PESOS!A$25:B$29,2,0)</f>
        <v>10</v>
      </c>
      <c r="AJ74" t="s">
        <v>45</v>
      </c>
      <c r="AK74" s="22">
        <f>VLOOKUP(TablaCalificaciones[[#This Row],[Cierre: aporte a próximos pasos]],PESOS!A$25:B$29,2,0)</f>
        <v>10</v>
      </c>
      <c r="AM74" s="1"/>
    </row>
    <row r="75" spans="1:39">
      <c r="A75">
        <v>74</v>
      </c>
      <c r="B75" s="2">
        <v>46133.479768518519</v>
      </c>
      <c r="C75" s="2">
        <v>46133.493923611109</v>
      </c>
      <c r="D75" t="s">
        <v>69</v>
      </c>
      <c r="E75" t="s">
        <v>70</v>
      </c>
      <c r="H75" s="2"/>
      <c r="I75" t="s">
        <v>41</v>
      </c>
      <c r="J75">
        <v>0</v>
      </c>
      <c r="L75" t="s">
        <v>71</v>
      </c>
      <c r="M75" s="26" t="str">
        <f>CONCATENATE(TablaCalificaciones[[#This Row],[Seleccione su nombre (Evaluador)]],TablaCalificaciones[[#This Row],[Seleccione el nombre del Estudiante]])</f>
        <v>Ana Belén Tulcanaza PrietoMaldonado Gonzalez Alfredo</v>
      </c>
      <c r="O75" t="s">
        <v>118</v>
      </c>
      <c r="P75">
        <v>0</v>
      </c>
      <c r="R75" t="s">
        <v>44</v>
      </c>
      <c r="S75" s="22">
        <f>VLOOKUP(TablaCalificaciones[[#This Row],[Apertura: problema y objetivo ]],PESOS!A$16:B$20,2,0)</f>
        <v>20</v>
      </c>
      <c r="U75" t="s">
        <v>44</v>
      </c>
      <c r="V75" s="22">
        <f>VLOOKUP(TablaCalificaciones[[#This Row],[Metodología (nivel adecuado)]],PESOS!A$16:B$20,2,0)</f>
        <v>20</v>
      </c>
      <c r="X75" t="s">
        <v>44</v>
      </c>
      <c r="Y75" s="22">
        <f>VLOOKUP(TablaCalificaciones[[#This Row],[Resultados y evidencia ]],PESOS!A$16:B$20,2,0)</f>
        <v>20</v>
      </c>
      <c r="AA75" t="s">
        <v>45</v>
      </c>
      <c r="AB75" s="22">
        <f>VLOOKUP(TablaCalificaciones[[#This Row],[Coherencia y manejo del tiempo]],PESOS!A$25:B$29,2,0)</f>
        <v>10</v>
      </c>
      <c r="AD75" t="s">
        <v>45</v>
      </c>
      <c r="AE75" s="22">
        <f>VLOOKUP(TablaCalificaciones[[#This Row],[Diapositivas como apoyo]],PESOS!A$25:B$29,2,0)</f>
        <v>10</v>
      </c>
      <c r="AG75" t="s">
        <v>45</v>
      </c>
      <c r="AH75" s="22">
        <f>VLOOKUP(TablaCalificaciones[[#This Row],[Respuestas a preguntas]],PESOS!A$25:B$29,2,0)</f>
        <v>10</v>
      </c>
      <c r="AJ75" t="s">
        <v>45</v>
      </c>
      <c r="AK75" s="22">
        <f>VLOOKUP(TablaCalificaciones[[#This Row],[Cierre: aporte a próximos pasos]],PESOS!A$25:B$29,2,0)</f>
        <v>10</v>
      </c>
      <c r="AM75" s="1"/>
    </row>
    <row r="76" spans="1:39">
      <c r="A76">
        <v>75</v>
      </c>
      <c r="B76" s="2">
        <v>46133.48033564815</v>
      </c>
      <c r="C76" s="2">
        <v>46133.494120370371</v>
      </c>
      <c r="D76" t="s">
        <v>59</v>
      </c>
      <c r="E76" t="s">
        <v>60</v>
      </c>
      <c r="H76" s="2"/>
      <c r="I76" t="s">
        <v>41</v>
      </c>
      <c r="J76">
        <v>0</v>
      </c>
      <c r="L76" t="s">
        <v>60</v>
      </c>
      <c r="M76" s="26" t="str">
        <f>CONCATENATE(TablaCalificaciones[[#This Row],[Seleccione su nombre (Evaluador)]],TablaCalificaciones[[#This Row],[Seleccione el nombre del Estudiante]])</f>
        <v>Santiago Leonardo SolórzanoVelez Echeverria Cristhian Andres</v>
      </c>
      <c r="O76" t="s">
        <v>120</v>
      </c>
      <c r="P76">
        <v>0</v>
      </c>
      <c r="R76" t="s">
        <v>44</v>
      </c>
      <c r="S76" s="22">
        <f>VLOOKUP(TablaCalificaciones[[#This Row],[Apertura: problema y objetivo ]],PESOS!A$16:B$20,2,0)</f>
        <v>20</v>
      </c>
      <c r="U76" t="s">
        <v>44</v>
      </c>
      <c r="V76" s="22">
        <f>VLOOKUP(TablaCalificaciones[[#This Row],[Metodología (nivel adecuado)]],PESOS!A$16:B$20,2,0)</f>
        <v>20</v>
      </c>
      <c r="X76" t="s">
        <v>44</v>
      </c>
      <c r="Y76" s="22">
        <f>VLOOKUP(TablaCalificaciones[[#This Row],[Resultados y evidencia ]],PESOS!A$16:B$20,2,0)</f>
        <v>20</v>
      </c>
      <c r="AA76" t="s">
        <v>45</v>
      </c>
      <c r="AB76" s="22">
        <f>VLOOKUP(TablaCalificaciones[[#This Row],[Coherencia y manejo del tiempo]],PESOS!A$25:B$29,2,0)</f>
        <v>10</v>
      </c>
      <c r="AD76" t="s">
        <v>45</v>
      </c>
      <c r="AE76" s="22">
        <f>VLOOKUP(TablaCalificaciones[[#This Row],[Diapositivas como apoyo]],PESOS!A$25:B$29,2,0)</f>
        <v>10</v>
      </c>
      <c r="AG76" t="s">
        <v>45</v>
      </c>
      <c r="AH76" s="22">
        <f>VLOOKUP(TablaCalificaciones[[#This Row],[Respuestas a preguntas]],PESOS!A$25:B$29,2,0)</f>
        <v>10</v>
      </c>
      <c r="AJ76" t="s">
        <v>45</v>
      </c>
      <c r="AK76" s="22">
        <f>VLOOKUP(TablaCalificaciones[[#This Row],[Cierre: aporte a próximos pasos]],PESOS!A$25:B$29,2,0)</f>
        <v>10</v>
      </c>
      <c r="AM76" s="1"/>
    </row>
    <row r="77" spans="1:39">
      <c r="A77">
        <v>76</v>
      </c>
      <c r="B77" s="2">
        <v>46133.479803240742</v>
      </c>
      <c r="C77" s="2">
        <v>46133.49428240741</v>
      </c>
      <c r="D77" t="s">
        <v>69</v>
      </c>
      <c r="E77" t="s">
        <v>70</v>
      </c>
      <c r="H77" s="2"/>
      <c r="I77" t="s">
        <v>41</v>
      </c>
      <c r="J77">
        <v>0</v>
      </c>
      <c r="L77" t="s">
        <v>71</v>
      </c>
      <c r="M77" s="26" t="str">
        <f>CONCATENATE(TablaCalificaciones[[#This Row],[Seleccione su nombre (Evaluador)]],TablaCalificaciones[[#This Row],[Seleccione el nombre del Estudiante]])</f>
        <v>Ana Belén Tulcanaza PrietoRios Carrillo Luis Fernando</v>
      </c>
      <c r="O77" t="s">
        <v>119</v>
      </c>
      <c r="P77">
        <v>0</v>
      </c>
      <c r="R77" t="s">
        <v>44</v>
      </c>
      <c r="S77" s="22">
        <f>VLOOKUP(TablaCalificaciones[[#This Row],[Apertura: problema y objetivo ]],PESOS!A$16:B$20,2,0)</f>
        <v>20</v>
      </c>
      <c r="U77" t="s">
        <v>44</v>
      </c>
      <c r="V77" s="22">
        <f>VLOOKUP(TablaCalificaciones[[#This Row],[Metodología (nivel adecuado)]],PESOS!A$16:B$20,2,0)</f>
        <v>20</v>
      </c>
      <c r="X77" t="s">
        <v>44</v>
      </c>
      <c r="Y77" s="22">
        <f>VLOOKUP(TablaCalificaciones[[#This Row],[Resultados y evidencia ]],PESOS!A$16:B$20,2,0)</f>
        <v>20</v>
      </c>
      <c r="AA77" t="s">
        <v>45</v>
      </c>
      <c r="AB77" s="22">
        <f>VLOOKUP(TablaCalificaciones[[#This Row],[Coherencia y manejo del tiempo]],PESOS!A$25:B$29,2,0)</f>
        <v>10</v>
      </c>
      <c r="AD77" t="s">
        <v>45</v>
      </c>
      <c r="AE77" s="22">
        <f>VLOOKUP(TablaCalificaciones[[#This Row],[Diapositivas como apoyo]],PESOS!A$25:B$29,2,0)</f>
        <v>10</v>
      </c>
      <c r="AG77" t="s">
        <v>45</v>
      </c>
      <c r="AH77" s="22">
        <f>VLOOKUP(TablaCalificaciones[[#This Row],[Respuestas a preguntas]],PESOS!A$25:B$29,2,0)</f>
        <v>10</v>
      </c>
      <c r="AJ77" t="s">
        <v>45</v>
      </c>
      <c r="AK77" s="22">
        <f>VLOOKUP(TablaCalificaciones[[#This Row],[Cierre: aporte a próximos pasos]],PESOS!A$25:B$29,2,0)</f>
        <v>10</v>
      </c>
      <c r="AM77" s="1"/>
    </row>
    <row r="78" spans="1:39">
      <c r="A78">
        <v>77</v>
      </c>
      <c r="B78" s="2">
        <v>46133.479826388888</v>
      </c>
      <c r="C78" s="2">
        <v>46133.494675925926</v>
      </c>
      <c r="D78" t="s">
        <v>69</v>
      </c>
      <c r="E78" t="s">
        <v>70</v>
      </c>
      <c r="H78" s="2"/>
      <c r="I78" t="s">
        <v>41</v>
      </c>
      <c r="J78">
        <v>0</v>
      </c>
      <c r="L78" t="s">
        <v>71</v>
      </c>
      <c r="M78" s="26" t="str">
        <f>CONCATENATE(TablaCalificaciones[[#This Row],[Seleccione su nombre (Evaluador)]],TablaCalificaciones[[#This Row],[Seleccione el nombre del Estudiante]])</f>
        <v>Ana Belén Tulcanaza PrietoVelez Echeverria Cristhian Andres</v>
      </c>
      <c r="O78" t="s">
        <v>120</v>
      </c>
      <c r="P78">
        <v>0</v>
      </c>
      <c r="R78" t="s">
        <v>44</v>
      </c>
      <c r="S78" s="22">
        <f>VLOOKUP(TablaCalificaciones[[#This Row],[Apertura: problema y objetivo ]],PESOS!A$16:B$20,2,0)</f>
        <v>20</v>
      </c>
      <c r="U78" t="s">
        <v>44</v>
      </c>
      <c r="V78" s="22">
        <f>VLOOKUP(TablaCalificaciones[[#This Row],[Metodología (nivel adecuado)]],PESOS!A$16:B$20,2,0)</f>
        <v>20</v>
      </c>
      <c r="X78" t="s">
        <v>44</v>
      </c>
      <c r="Y78" s="22">
        <f>VLOOKUP(TablaCalificaciones[[#This Row],[Resultados y evidencia ]],PESOS!A$16:B$20,2,0)</f>
        <v>20</v>
      </c>
      <c r="AA78" t="s">
        <v>45</v>
      </c>
      <c r="AB78" s="22">
        <f>VLOOKUP(TablaCalificaciones[[#This Row],[Coherencia y manejo del tiempo]],PESOS!A$25:B$29,2,0)</f>
        <v>10</v>
      </c>
      <c r="AD78" t="s">
        <v>45</v>
      </c>
      <c r="AE78" s="22">
        <f>VLOOKUP(TablaCalificaciones[[#This Row],[Diapositivas como apoyo]],PESOS!A$25:B$29,2,0)</f>
        <v>10</v>
      </c>
      <c r="AG78" t="s">
        <v>45</v>
      </c>
      <c r="AH78" s="22">
        <f>VLOOKUP(TablaCalificaciones[[#This Row],[Respuestas a preguntas]],PESOS!A$25:B$29,2,0)</f>
        <v>10</v>
      </c>
      <c r="AJ78" t="s">
        <v>45</v>
      </c>
      <c r="AK78" s="22">
        <f>VLOOKUP(TablaCalificaciones[[#This Row],[Cierre: aporte a próximos pasos]],PESOS!A$25:B$29,2,0)</f>
        <v>10</v>
      </c>
      <c r="AM78" s="1"/>
    </row>
    <row r="79" spans="1:39">
      <c r="A79">
        <v>78</v>
      </c>
      <c r="B79" s="2">
        <v>46133.490659722222</v>
      </c>
      <c r="C79" s="2">
        <v>46133.496793981481</v>
      </c>
      <c r="D79" t="s">
        <v>54</v>
      </c>
      <c r="E79" t="s">
        <v>55</v>
      </c>
      <c r="H79" s="2"/>
      <c r="I79" t="s">
        <v>41</v>
      </c>
      <c r="J79">
        <v>0</v>
      </c>
      <c r="L79" t="s">
        <v>56</v>
      </c>
      <c r="M79" s="26" t="str">
        <f>CONCATENATE(TablaCalificaciones[[#This Row],[Seleccione su nombre (Evaluador)]],TablaCalificaciones[[#This Row],[Seleccione el nombre del Estudiante]])</f>
        <v>Marco Antonio Galarza CastilloBravo Brito Camila Arahí</v>
      </c>
      <c r="O79" t="s">
        <v>121</v>
      </c>
      <c r="P79">
        <v>0</v>
      </c>
      <c r="R79" t="s">
        <v>44</v>
      </c>
      <c r="S79" s="22">
        <f>VLOOKUP(TablaCalificaciones[[#This Row],[Apertura: problema y objetivo ]],PESOS!A$16:B$20,2,0)</f>
        <v>20</v>
      </c>
      <c r="U79" t="s">
        <v>44</v>
      </c>
      <c r="V79" s="22">
        <f>VLOOKUP(TablaCalificaciones[[#This Row],[Metodología (nivel adecuado)]],PESOS!A$16:B$20,2,0)</f>
        <v>20</v>
      </c>
      <c r="X79" t="s">
        <v>44</v>
      </c>
      <c r="Y79" s="22">
        <f>VLOOKUP(TablaCalificaciones[[#This Row],[Resultados y evidencia ]],PESOS!A$16:B$20,2,0)</f>
        <v>20</v>
      </c>
      <c r="AA79" t="s">
        <v>45</v>
      </c>
      <c r="AB79" s="22">
        <f>VLOOKUP(TablaCalificaciones[[#This Row],[Coherencia y manejo del tiempo]],PESOS!A$25:B$29,2,0)</f>
        <v>10</v>
      </c>
      <c r="AD79" t="s">
        <v>45</v>
      </c>
      <c r="AE79" s="22">
        <f>VLOOKUP(TablaCalificaciones[[#This Row],[Diapositivas como apoyo]],PESOS!A$25:B$29,2,0)</f>
        <v>10</v>
      </c>
      <c r="AG79" t="s">
        <v>45</v>
      </c>
      <c r="AH79" s="22">
        <f>VLOOKUP(TablaCalificaciones[[#This Row],[Respuestas a preguntas]],PESOS!A$25:B$29,2,0)</f>
        <v>10</v>
      </c>
      <c r="AJ79" t="s">
        <v>45</v>
      </c>
      <c r="AK79" s="22">
        <f>VLOOKUP(TablaCalificaciones[[#This Row],[Cierre: aporte a próximos pasos]],PESOS!A$25:B$29,2,0)</f>
        <v>10</v>
      </c>
      <c r="AM79" s="1"/>
    </row>
    <row r="80" spans="1:39">
      <c r="A80">
        <v>79</v>
      </c>
      <c r="B80" s="2">
        <v>46133.456296296295</v>
      </c>
      <c r="C80" s="2">
        <v>46133.497037037036</v>
      </c>
      <c r="D80" t="s">
        <v>39</v>
      </c>
      <c r="E80" t="s">
        <v>40</v>
      </c>
      <c r="H80" s="2"/>
      <c r="I80" t="s">
        <v>41</v>
      </c>
      <c r="J80">
        <v>0</v>
      </c>
      <c r="L80" t="s">
        <v>42</v>
      </c>
      <c r="M80" s="26" t="str">
        <f>CONCATENATE(TablaCalificaciones[[#This Row],[Seleccione su nombre (Evaluador)]],TablaCalificaciones[[#This Row],[Seleccione el nombre del Estudiante]])</f>
        <v>Patricio David PonceNuñez Camacho Berner Eduardo</v>
      </c>
      <c r="O80" t="s">
        <v>122</v>
      </c>
      <c r="P80">
        <v>0</v>
      </c>
      <c r="R80" t="s">
        <v>44</v>
      </c>
      <c r="S80" s="22">
        <f>VLOOKUP(TablaCalificaciones[[#This Row],[Apertura: problema y objetivo ]],PESOS!A$16:B$20,2,0)</f>
        <v>20</v>
      </c>
      <c r="U80" t="s">
        <v>44</v>
      </c>
      <c r="V80" s="22">
        <f>VLOOKUP(TablaCalificaciones[[#This Row],[Metodología (nivel adecuado)]],PESOS!A$16:B$20,2,0)</f>
        <v>20</v>
      </c>
      <c r="X80" t="s">
        <v>44</v>
      </c>
      <c r="Y80" s="22">
        <f>VLOOKUP(TablaCalificaciones[[#This Row],[Resultados y evidencia ]],PESOS!A$16:B$20,2,0)</f>
        <v>20</v>
      </c>
      <c r="AA80" t="s">
        <v>45</v>
      </c>
      <c r="AB80" s="22">
        <f>VLOOKUP(TablaCalificaciones[[#This Row],[Coherencia y manejo del tiempo]],PESOS!A$25:B$29,2,0)</f>
        <v>10</v>
      </c>
      <c r="AD80" t="s">
        <v>51</v>
      </c>
      <c r="AE80" s="22">
        <f>VLOOKUP(TablaCalificaciones[[#This Row],[Diapositivas como apoyo]],PESOS!A$25:B$29,2,0)</f>
        <v>8</v>
      </c>
      <c r="AG80" t="s">
        <v>45</v>
      </c>
      <c r="AH80" s="22">
        <f>VLOOKUP(TablaCalificaciones[[#This Row],[Respuestas a preguntas]],PESOS!A$25:B$29,2,0)</f>
        <v>10</v>
      </c>
      <c r="AJ80" t="s">
        <v>45</v>
      </c>
      <c r="AK80" s="22">
        <f>VLOOKUP(TablaCalificaciones[[#This Row],[Cierre: aporte a próximos pasos]],PESOS!A$25:B$29,2,0)</f>
        <v>10</v>
      </c>
      <c r="AM80" s="1"/>
    </row>
    <row r="81" spans="1:39">
      <c r="A81">
        <v>80</v>
      </c>
      <c r="B81" s="2">
        <v>46133.482534722221</v>
      </c>
      <c r="C81" s="2">
        <v>46133.497141203705</v>
      </c>
      <c r="D81" t="s">
        <v>123</v>
      </c>
      <c r="E81" t="s">
        <v>124</v>
      </c>
      <c r="H81" s="2"/>
      <c r="I81" t="s">
        <v>41</v>
      </c>
      <c r="J81">
        <v>0</v>
      </c>
      <c r="L81" t="s">
        <v>125</v>
      </c>
      <c r="M81" s="26" t="str">
        <f>CONCATENATE(TablaCalificaciones[[#This Row],[Seleccione su nombre (Evaluador)]],TablaCalificaciones[[#This Row],[Seleccione el nombre del Estudiante]])</f>
        <v>Nathaly Verónica OrozcoBravo Brito Camila Arahí</v>
      </c>
      <c r="O81" t="s">
        <v>121</v>
      </c>
      <c r="P81">
        <v>0</v>
      </c>
      <c r="R81" t="s">
        <v>44</v>
      </c>
      <c r="S81" s="22">
        <f>VLOOKUP(TablaCalificaciones[[#This Row],[Apertura: problema y objetivo ]],PESOS!A$16:B$20,2,0)</f>
        <v>20</v>
      </c>
      <c r="U81" t="s">
        <v>44</v>
      </c>
      <c r="V81" s="22">
        <f>VLOOKUP(TablaCalificaciones[[#This Row],[Metodología (nivel adecuado)]],PESOS!A$16:B$20,2,0)</f>
        <v>20</v>
      </c>
      <c r="X81" t="s">
        <v>44</v>
      </c>
      <c r="Y81" s="22">
        <f>VLOOKUP(TablaCalificaciones[[#This Row],[Resultados y evidencia ]],PESOS!A$16:B$20,2,0)</f>
        <v>20</v>
      </c>
      <c r="AA81" t="s">
        <v>45</v>
      </c>
      <c r="AB81" s="22">
        <f>VLOOKUP(TablaCalificaciones[[#This Row],[Coherencia y manejo del tiempo]],PESOS!A$25:B$29,2,0)</f>
        <v>10</v>
      </c>
      <c r="AD81" t="s">
        <v>45</v>
      </c>
      <c r="AE81" s="22">
        <f>VLOOKUP(TablaCalificaciones[[#This Row],[Diapositivas como apoyo]],PESOS!A$25:B$29,2,0)</f>
        <v>10</v>
      </c>
      <c r="AG81" t="s">
        <v>51</v>
      </c>
      <c r="AH81" s="22">
        <f>VLOOKUP(TablaCalificaciones[[#This Row],[Respuestas a preguntas]],PESOS!A$25:B$29,2,0)</f>
        <v>8</v>
      </c>
      <c r="AJ81" t="s">
        <v>45</v>
      </c>
      <c r="AK81" s="22">
        <f>VLOOKUP(TablaCalificaciones[[#This Row],[Cierre: aporte a próximos pasos]],PESOS!A$25:B$29,2,0)</f>
        <v>10</v>
      </c>
      <c r="AM81" s="1"/>
    </row>
    <row r="82" spans="1:39">
      <c r="A82">
        <v>81</v>
      </c>
      <c r="B82" s="2">
        <v>46133.496863425928</v>
      </c>
      <c r="C82" s="2">
        <v>46133.497430555559</v>
      </c>
      <c r="D82" t="s">
        <v>54</v>
      </c>
      <c r="E82" t="s">
        <v>55</v>
      </c>
      <c r="H82" s="2"/>
      <c r="I82" t="s">
        <v>41</v>
      </c>
      <c r="J82">
        <v>0</v>
      </c>
      <c r="L82" t="s">
        <v>56</v>
      </c>
      <c r="M82" s="26" t="str">
        <f>CONCATENATE(TablaCalificaciones[[#This Row],[Seleccione su nombre (Evaluador)]],TablaCalificaciones[[#This Row],[Seleccione el nombre del Estudiante]])</f>
        <v>Marco Antonio Galarza CastilloNuñez Camacho Berner Eduardo</v>
      </c>
      <c r="O82" t="s">
        <v>122</v>
      </c>
      <c r="P82">
        <v>0</v>
      </c>
      <c r="R82" t="s">
        <v>44</v>
      </c>
      <c r="S82" s="22">
        <f>VLOOKUP(TablaCalificaciones[[#This Row],[Apertura: problema y objetivo ]],PESOS!A$16:B$20,2,0)</f>
        <v>20</v>
      </c>
      <c r="U82" t="s">
        <v>44</v>
      </c>
      <c r="V82" s="22">
        <f>VLOOKUP(TablaCalificaciones[[#This Row],[Metodología (nivel adecuado)]],PESOS!A$16:B$20,2,0)</f>
        <v>20</v>
      </c>
      <c r="X82" t="s">
        <v>44</v>
      </c>
      <c r="Y82" s="22">
        <f>VLOOKUP(TablaCalificaciones[[#This Row],[Resultados y evidencia ]],PESOS!A$16:B$20,2,0)</f>
        <v>20</v>
      </c>
      <c r="AA82" t="s">
        <v>45</v>
      </c>
      <c r="AB82" s="22">
        <f>VLOOKUP(TablaCalificaciones[[#This Row],[Coherencia y manejo del tiempo]],PESOS!A$25:B$29,2,0)</f>
        <v>10</v>
      </c>
      <c r="AD82" t="s">
        <v>45</v>
      </c>
      <c r="AE82" s="22">
        <f>VLOOKUP(TablaCalificaciones[[#This Row],[Diapositivas como apoyo]],PESOS!A$25:B$29,2,0)</f>
        <v>10</v>
      </c>
      <c r="AG82" t="s">
        <v>45</v>
      </c>
      <c r="AH82" s="22">
        <f>VLOOKUP(TablaCalificaciones[[#This Row],[Respuestas a preguntas]],PESOS!A$25:B$29,2,0)</f>
        <v>10</v>
      </c>
      <c r="AJ82" t="s">
        <v>45</v>
      </c>
      <c r="AK82" s="22">
        <f>VLOOKUP(TablaCalificaciones[[#This Row],[Cierre: aporte a próximos pasos]],PESOS!A$25:B$29,2,0)</f>
        <v>10</v>
      </c>
      <c r="AM82" s="1"/>
    </row>
    <row r="83" spans="1:39">
      <c r="A83">
        <v>82</v>
      </c>
      <c r="B83" s="2">
        <v>46133.497060185182</v>
      </c>
      <c r="C83" s="2">
        <v>46133.497534722221</v>
      </c>
      <c r="D83" t="s">
        <v>39</v>
      </c>
      <c r="E83" t="s">
        <v>40</v>
      </c>
      <c r="H83" s="2"/>
      <c r="I83" t="s">
        <v>41</v>
      </c>
      <c r="J83">
        <v>0</v>
      </c>
      <c r="L83" t="s">
        <v>42</v>
      </c>
      <c r="M83" s="26" t="str">
        <f>CONCATENATE(TablaCalificaciones[[#This Row],[Seleccione su nombre (Evaluador)]],TablaCalificaciones[[#This Row],[Seleccione el nombre del Estudiante]])</f>
        <v>Patricio David PonceBravo Brito Camila Arahí</v>
      </c>
      <c r="O83" t="s">
        <v>121</v>
      </c>
      <c r="P83">
        <v>0</v>
      </c>
      <c r="R83" t="s">
        <v>44</v>
      </c>
      <c r="S83" s="22">
        <f>VLOOKUP(TablaCalificaciones[[#This Row],[Apertura: problema y objetivo ]],PESOS!A$16:B$20,2,0)</f>
        <v>20</v>
      </c>
      <c r="U83" t="s">
        <v>44</v>
      </c>
      <c r="V83" s="22">
        <f>VLOOKUP(TablaCalificaciones[[#This Row],[Metodología (nivel adecuado)]],PESOS!A$16:B$20,2,0)</f>
        <v>20</v>
      </c>
      <c r="X83" t="s">
        <v>44</v>
      </c>
      <c r="Y83" s="22">
        <f>VLOOKUP(TablaCalificaciones[[#This Row],[Resultados y evidencia ]],PESOS!A$16:B$20,2,0)</f>
        <v>20</v>
      </c>
      <c r="AA83" t="s">
        <v>45</v>
      </c>
      <c r="AB83" s="22">
        <f>VLOOKUP(TablaCalificaciones[[#This Row],[Coherencia y manejo del tiempo]],PESOS!A$25:B$29,2,0)</f>
        <v>10</v>
      </c>
      <c r="AD83" t="s">
        <v>51</v>
      </c>
      <c r="AE83" s="22">
        <f>VLOOKUP(TablaCalificaciones[[#This Row],[Diapositivas como apoyo]],PESOS!A$25:B$29,2,0)</f>
        <v>8</v>
      </c>
      <c r="AG83" t="s">
        <v>51</v>
      </c>
      <c r="AH83" s="22">
        <f>VLOOKUP(TablaCalificaciones[[#This Row],[Respuestas a preguntas]],PESOS!A$25:B$29,2,0)</f>
        <v>8</v>
      </c>
      <c r="AJ83" t="s">
        <v>45</v>
      </c>
      <c r="AK83" s="22">
        <f>VLOOKUP(TablaCalificaciones[[#This Row],[Cierre: aporte a próximos pasos]],PESOS!A$25:B$29,2,0)</f>
        <v>10</v>
      </c>
      <c r="AM83" s="1"/>
    </row>
    <row r="84" spans="1:39">
      <c r="A84">
        <v>83</v>
      </c>
      <c r="B84" s="2">
        <v>46133.497210648151</v>
      </c>
      <c r="C84" s="2">
        <v>46133.498055555552</v>
      </c>
      <c r="D84" t="s">
        <v>123</v>
      </c>
      <c r="E84" t="s">
        <v>124</v>
      </c>
      <c r="H84" s="2"/>
      <c r="I84" t="s">
        <v>41</v>
      </c>
      <c r="J84">
        <v>0</v>
      </c>
      <c r="L84" t="s">
        <v>125</v>
      </c>
      <c r="M84" s="26" t="str">
        <f>CONCATENATE(TablaCalificaciones[[#This Row],[Seleccione su nombre (Evaluador)]],TablaCalificaciones[[#This Row],[Seleccione el nombre del Estudiante]])</f>
        <v>Nathaly Verónica OrozcoNuñez Camacho Berner Eduardo</v>
      </c>
      <c r="O84" t="s">
        <v>122</v>
      </c>
      <c r="P84">
        <v>0</v>
      </c>
      <c r="R84" t="s">
        <v>44</v>
      </c>
      <c r="S84" s="22">
        <f>VLOOKUP(TablaCalificaciones[[#This Row],[Apertura: problema y objetivo ]],PESOS!A$16:B$20,2,0)</f>
        <v>20</v>
      </c>
      <c r="U84" t="s">
        <v>44</v>
      </c>
      <c r="V84" s="22">
        <f>VLOOKUP(TablaCalificaciones[[#This Row],[Metodología (nivel adecuado)]],PESOS!A$16:B$20,2,0)</f>
        <v>20</v>
      </c>
      <c r="X84" t="s">
        <v>44</v>
      </c>
      <c r="Y84" s="22">
        <f>VLOOKUP(TablaCalificaciones[[#This Row],[Resultados y evidencia ]],PESOS!A$16:B$20,2,0)</f>
        <v>20</v>
      </c>
      <c r="AA84" t="s">
        <v>45</v>
      </c>
      <c r="AB84" s="22">
        <f>VLOOKUP(TablaCalificaciones[[#This Row],[Coherencia y manejo del tiempo]],PESOS!A$25:B$29,2,0)</f>
        <v>10</v>
      </c>
      <c r="AD84" t="s">
        <v>45</v>
      </c>
      <c r="AE84" s="22">
        <f>VLOOKUP(TablaCalificaciones[[#This Row],[Diapositivas como apoyo]],PESOS!A$25:B$29,2,0)</f>
        <v>10</v>
      </c>
      <c r="AG84" t="s">
        <v>45</v>
      </c>
      <c r="AH84" s="22">
        <f>VLOOKUP(TablaCalificaciones[[#This Row],[Respuestas a preguntas]],PESOS!A$25:B$29,2,0)</f>
        <v>10</v>
      </c>
      <c r="AJ84" t="s">
        <v>45</v>
      </c>
      <c r="AK84" s="22">
        <f>VLOOKUP(TablaCalificaciones[[#This Row],[Cierre: aporte a próximos pasos]],PESOS!A$25:B$29,2,0)</f>
        <v>10</v>
      </c>
      <c r="AM84" s="1"/>
    </row>
    <row r="85" spans="1:39">
      <c r="A85">
        <v>84</v>
      </c>
      <c r="B85" s="2">
        <v>46133.502534722225</v>
      </c>
      <c r="C85" s="2">
        <v>46133.504571759258</v>
      </c>
      <c r="D85" t="s">
        <v>126</v>
      </c>
      <c r="E85" t="s">
        <v>127</v>
      </c>
      <c r="H85" s="2"/>
      <c r="I85" t="s">
        <v>41</v>
      </c>
      <c r="J85">
        <v>0</v>
      </c>
      <c r="L85" t="s">
        <v>127</v>
      </c>
      <c r="M85" s="26" t="str">
        <f>CONCATENATE(TablaCalificaciones[[#This Row],[Seleccione su nombre (Evaluador)]],TablaCalificaciones[[#This Row],[Seleccione el nombre del Estudiante]])</f>
        <v>Oswaldo LunaMaldonado Gonzalez Alfredo</v>
      </c>
      <c r="O85" t="s">
        <v>118</v>
      </c>
      <c r="P85">
        <v>0</v>
      </c>
      <c r="R85" t="s">
        <v>44</v>
      </c>
      <c r="S85" s="22">
        <f>VLOOKUP(TablaCalificaciones[[#This Row],[Apertura: problema y objetivo ]],PESOS!A$16:B$20,2,0)</f>
        <v>20</v>
      </c>
      <c r="U85" t="s">
        <v>44</v>
      </c>
      <c r="V85" s="22">
        <f>VLOOKUP(TablaCalificaciones[[#This Row],[Metodología (nivel adecuado)]],PESOS!A$16:B$20,2,0)</f>
        <v>20</v>
      </c>
      <c r="X85" t="s">
        <v>44</v>
      </c>
      <c r="Y85" s="22">
        <f>VLOOKUP(TablaCalificaciones[[#This Row],[Resultados y evidencia ]],PESOS!A$16:B$20,2,0)</f>
        <v>20</v>
      </c>
      <c r="AA85" t="s">
        <v>45</v>
      </c>
      <c r="AB85" s="22">
        <f>VLOOKUP(TablaCalificaciones[[#This Row],[Coherencia y manejo del tiempo]],PESOS!A$25:B$29,2,0)</f>
        <v>10</v>
      </c>
      <c r="AD85" t="s">
        <v>45</v>
      </c>
      <c r="AE85" s="22">
        <f>VLOOKUP(TablaCalificaciones[[#This Row],[Diapositivas como apoyo]],PESOS!A$25:B$29,2,0)</f>
        <v>10</v>
      </c>
      <c r="AG85" t="s">
        <v>45</v>
      </c>
      <c r="AH85" s="22">
        <f>VLOOKUP(TablaCalificaciones[[#This Row],[Respuestas a preguntas]],PESOS!A$25:B$29,2,0)</f>
        <v>10</v>
      </c>
      <c r="AJ85" t="s">
        <v>45</v>
      </c>
      <c r="AK85" s="22">
        <f>VLOOKUP(TablaCalificaciones[[#This Row],[Cierre: aporte a próximos pasos]],PESOS!A$25:B$29,2,0)</f>
        <v>10</v>
      </c>
      <c r="AM85" s="1"/>
    </row>
    <row r="86" spans="1:39">
      <c r="A86">
        <v>85</v>
      </c>
      <c r="B86" s="2">
        <v>46133.504618055558</v>
      </c>
      <c r="C86" s="2">
        <v>46133.506215277775</v>
      </c>
      <c r="D86" t="s">
        <v>126</v>
      </c>
      <c r="E86" t="s">
        <v>127</v>
      </c>
      <c r="H86" s="2"/>
      <c r="I86" t="s">
        <v>41</v>
      </c>
      <c r="J86">
        <v>0</v>
      </c>
      <c r="L86" t="s">
        <v>127</v>
      </c>
      <c r="M86" s="26" t="str">
        <f>CONCATENATE(TablaCalificaciones[[#This Row],[Seleccione su nombre (Evaluador)]],TablaCalificaciones[[#This Row],[Seleccione el nombre del Estudiante]])</f>
        <v>Oswaldo LunaRios Carrillo Luis Fernando</v>
      </c>
      <c r="O86" t="s">
        <v>119</v>
      </c>
      <c r="P86">
        <v>0</v>
      </c>
      <c r="R86" t="s">
        <v>44</v>
      </c>
      <c r="S86" s="22">
        <f>VLOOKUP(TablaCalificaciones[[#This Row],[Apertura: problema y objetivo ]],PESOS!A$16:B$20,2,0)</f>
        <v>20</v>
      </c>
      <c r="U86" t="s">
        <v>44</v>
      </c>
      <c r="V86" s="22">
        <f>VLOOKUP(TablaCalificaciones[[#This Row],[Metodología (nivel adecuado)]],PESOS!A$16:B$20,2,0)</f>
        <v>20</v>
      </c>
      <c r="X86" t="s">
        <v>44</v>
      </c>
      <c r="Y86" s="22">
        <f>VLOOKUP(TablaCalificaciones[[#This Row],[Resultados y evidencia ]],PESOS!A$16:B$20,2,0)</f>
        <v>20</v>
      </c>
      <c r="AA86" t="s">
        <v>45</v>
      </c>
      <c r="AB86" s="22">
        <f>VLOOKUP(TablaCalificaciones[[#This Row],[Coherencia y manejo del tiempo]],PESOS!A$25:B$29,2,0)</f>
        <v>10</v>
      </c>
      <c r="AD86" t="s">
        <v>45</v>
      </c>
      <c r="AE86" s="22">
        <f>VLOOKUP(TablaCalificaciones[[#This Row],[Diapositivas como apoyo]],PESOS!A$25:B$29,2,0)</f>
        <v>10</v>
      </c>
      <c r="AG86" t="s">
        <v>45</v>
      </c>
      <c r="AH86" s="22">
        <f>VLOOKUP(TablaCalificaciones[[#This Row],[Respuestas a preguntas]],PESOS!A$25:B$29,2,0)</f>
        <v>10</v>
      </c>
      <c r="AJ86" t="s">
        <v>45</v>
      </c>
      <c r="AK86" s="22">
        <f>VLOOKUP(TablaCalificaciones[[#This Row],[Cierre: aporte a próximos pasos]],PESOS!A$25:B$29,2,0)</f>
        <v>10</v>
      </c>
      <c r="AM86" s="1"/>
    </row>
    <row r="87" spans="1:39">
      <c r="A87">
        <v>86</v>
      </c>
      <c r="B87" s="2">
        <v>46133.506296296298</v>
      </c>
      <c r="C87" s="2">
        <v>46133.507326388892</v>
      </c>
      <c r="D87" t="s">
        <v>126</v>
      </c>
      <c r="E87" t="s">
        <v>127</v>
      </c>
      <c r="H87" s="2"/>
      <c r="I87" t="s">
        <v>41</v>
      </c>
      <c r="J87">
        <v>0</v>
      </c>
      <c r="L87" t="s">
        <v>127</v>
      </c>
      <c r="M87" s="26" t="str">
        <f>CONCATENATE(TablaCalificaciones[[#This Row],[Seleccione su nombre (Evaluador)]],TablaCalificaciones[[#This Row],[Seleccione el nombre del Estudiante]])</f>
        <v>Oswaldo LunaVelez Echeverria Cristhian Andres</v>
      </c>
      <c r="O87" t="s">
        <v>120</v>
      </c>
      <c r="P87">
        <v>0</v>
      </c>
      <c r="R87" t="s">
        <v>44</v>
      </c>
      <c r="S87" s="22">
        <f>VLOOKUP(TablaCalificaciones[[#This Row],[Apertura: problema y objetivo ]],PESOS!A$16:B$20,2,0)</f>
        <v>20</v>
      </c>
      <c r="U87" t="s">
        <v>44</v>
      </c>
      <c r="V87" s="22">
        <f>VLOOKUP(TablaCalificaciones[[#This Row],[Metodología (nivel adecuado)]],PESOS!A$16:B$20,2,0)</f>
        <v>20</v>
      </c>
      <c r="X87" t="s">
        <v>44</v>
      </c>
      <c r="Y87" s="22">
        <f>VLOOKUP(TablaCalificaciones[[#This Row],[Resultados y evidencia ]],PESOS!A$16:B$20,2,0)</f>
        <v>20</v>
      </c>
      <c r="AA87" t="s">
        <v>45</v>
      </c>
      <c r="AB87" s="22">
        <f>VLOOKUP(TablaCalificaciones[[#This Row],[Coherencia y manejo del tiempo]],PESOS!A$25:B$29,2,0)</f>
        <v>10</v>
      </c>
      <c r="AD87" t="s">
        <v>45</v>
      </c>
      <c r="AE87" s="22">
        <f>VLOOKUP(TablaCalificaciones[[#This Row],[Diapositivas como apoyo]],PESOS!A$25:B$29,2,0)</f>
        <v>10</v>
      </c>
      <c r="AG87" t="s">
        <v>45</v>
      </c>
      <c r="AH87" s="22">
        <f>VLOOKUP(TablaCalificaciones[[#This Row],[Respuestas a preguntas]],PESOS!A$25:B$29,2,0)</f>
        <v>10</v>
      </c>
      <c r="AJ87" t="s">
        <v>45</v>
      </c>
      <c r="AK87" s="22">
        <f>VLOOKUP(TablaCalificaciones[[#This Row],[Cierre: aporte a próximos pasos]],PESOS!A$25:B$29,2,0)</f>
        <v>10</v>
      </c>
      <c r="AM87" s="1"/>
    </row>
    <row r="88" spans="1:39">
      <c r="A88">
        <v>87</v>
      </c>
      <c r="B88" s="2">
        <v>46133.514432870368</v>
      </c>
      <c r="C88" s="2">
        <v>46133.515069444446</v>
      </c>
      <c r="D88" t="s">
        <v>54</v>
      </c>
      <c r="E88" t="s">
        <v>55</v>
      </c>
      <c r="H88" s="2"/>
      <c r="I88" t="s">
        <v>41</v>
      </c>
      <c r="J88">
        <v>0</v>
      </c>
      <c r="L88" t="s">
        <v>56</v>
      </c>
      <c r="M88" s="26" t="str">
        <f>CONCATENATE(TablaCalificaciones[[#This Row],[Seleccione su nombre (Evaluador)]],TablaCalificaciones[[#This Row],[Seleccione el nombre del Estudiante]])</f>
        <v>Marco Antonio Galarza CastilloCaviedes Aristizábal Javier Alejandro</v>
      </c>
      <c r="O88" t="s">
        <v>128</v>
      </c>
      <c r="P88">
        <v>0</v>
      </c>
      <c r="R88" t="s">
        <v>44</v>
      </c>
      <c r="S88" s="22">
        <f>VLOOKUP(TablaCalificaciones[[#This Row],[Apertura: problema y objetivo ]],PESOS!A$16:B$20,2,0)</f>
        <v>20</v>
      </c>
      <c r="U88" t="s">
        <v>44</v>
      </c>
      <c r="V88" s="22">
        <f>VLOOKUP(TablaCalificaciones[[#This Row],[Metodología (nivel adecuado)]],PESOS!A$16:B$20,2,0)</f>
        <v>20</v>
      </c>
      <c r="X88" t="s">
        <v>44</v>
      </c>
      <c r="Y88" s="22">
        <f>VLOOKUP(TablaCalificaciones[[#This Row],[Resultados y evidencia ]],PESOS!A$16:B$20,2,0)</f>
        <v>20</v>
      </c>
      <c r="AA88" t="s">
        <v>45</v>
      </c>
      <c r="AB88" s="22">
        <f>VLOOKUP(TablaCalificaciones[[#This Row],[Coherencia y manejo del tiempo]],PESOS!A$25:B$29,2,0)</f>
        <v>10</v>
      </c>
      <c r="AD88" t="s">
        <v>45</v>
      </c>
      <c r="AE88" s="22">
        <f>VLOOKUP(TablaCalificaciones[[#This Row],[Diapositivas como apoyo]],PESOS!A$25:B$29,2,0)</f>
        <v>10</v>
      </c>
      <c r="AG88" t="s">
        <v>45</v>
      </c>
      <c r="AH88" s="22">
        <f>VLOOKUP(TablaCalificaciones[[#This Row],[Respuestas a preguntas]],PESOS!A$25:B$29,2,0)</f>
        <v>10</v>
      </c>
      <c r="AJ88" t="s">
        <v>45</v>
      </c>
      <c r="AK88" s="22">
        <f>VLOOKUP(TablaCalificaciones[[#This Row],[Cierre: aporte a próximos pasos]],PESOS!A$25:B$29,2,0)</f>
        <v>10</v>
      </c>
      <c r="AM88" s="1"/>
    </row>
    <row r="89" spans="1:39">
      <c r="A89">
        <v>88</v>
      </c>
      <c r="B89" s="2">
        <v>46133.507534722223</v>
      </c>
      <c r="C89" s="2">
        <v>46133.515289351853</v>
      </c>
      <c r="D89" t="s">
        <v>69</v>
      </c>
      <c r="E89" t="s">
        <v>70</v>
      </c>
      <c r="H89" s="2"/>
      <c r="I89" t="s">
        <v>41</v>
      </c>
      <c r="J89">
        <v>0</v>
      </c>
      <c r="L89" t="s">
        <v>71</v>
      </c>
      <c r="M89" s="26" t="str">
        <f>CONCATENATE(TablaCalificaciones[[#This Row],[Seleccione su nombre (Evaluador)]],TablaCalificaciones[[#This Row],[Seleccione el nombre del Estudiante]])</f>
        <v>Ana Belén Tulcanaza PrietoFreire Yánez Carlos Esteban</v>
      </c>
      <c r="O89" t="s">
        <v>129</v>
      </c>
      <c r="P89">
        <v>0</v>
      </c>
      <c r="R89" t="s">
        <v>44</v>
      </c>
      <c r="S89" s="22">
        <f>VLOOKUP(TablaCalificaciones[[#This Row],[Apertura: problema y objetivo ]],PESOS!A$16:B$20,2,0)</f>
        <v>20</v>
      </c>
      <c r="U89" t="s">
        <v>44</v>
      </c>
      <c r="V89" s="22">
        <f>VLOOKUP(TablaCalificaciones[[#This Row],[Metodología (nivel adecuado)]],PESOS!A$16:B$20,2,0)</f>
        <v>20</v>
      </c>
      <c r="X89" t="s">
        <v>44</v>
      </c>
      <c r="Y89" s="22">
        <f>VLOOKUP(TablaCalificaciones[[#This Row],[Resultados y evidencia ]],PESOS!A$16:B$20,2,0)</f>
        <v>20</v>
      </c>
      <c r="AA89" t="s">
        <v>45</v>
      </c>
      <c r="AB89" s="22">
        <f>VLOOKUP(TablaCalificaciones[[#This Row],[Coherencia y manejo del tiempo]],PESOS!A$25:B$29,2,0)</f>
        <v>10</v>
      </c>
      <c r="AD89" t="s">
        <v>45</v>
      </c>
      <c r="AE89" s="22">
        <f>VLOOKUP(TablaCalificaciones[[#This Row],[Diapositivas como apoyo]],PESOS!A$25:B$29,2,0)</f>
        <v>10</v>
      </c>
      <c r="AG89" t="s">
        <v>51</v>
      </c>
      <c r="AH89" s="22">
        <f>VLOOKUP(TablaCalificaciones[[#This Row],[Respuestas a preguntas]],PESOS!A$25:B$29,2,0)</f>
        <v>8</v>
      </c>
      <c r="AJ89" t="s">
        <v>51</v>
      </c>
      <c r="AK89" s="22">
        <f>VLOOKUP(TablaCalificaciones[[#This Row],[Cierre: aporte a próximos pasos]],PESOS!A$25:B$29,2,0)</f>
        <v>8</v>
      </c>
      <c r="AM89" s="1"/>
    </row>
    <row r="90" spans="1:39">
      <c r="A90">
        <v>89</v>
      </c>
      <c r="B90" s="2">
        <v>46133.507569444446</v>
      </c>
      <c r="C90" s="2">
        <v>46133.515763888892</v>
      </c>
      <c r="D90" t="s">
        <v>69</v>
      </c>
      <c r="E90" t="s">
        <v>70</v>
      </c>
      <c r="H90" s="2"/>
      <c r="I90" t="s">
        <v>41</v>
      </c>
      <c r="J90">
        <v>0</v>
      </c>
      <c r="L90" t="s">
        <v>71</v>
      </c>
      <c r="M90" s="26" t="str">
        <f>CONCATENATE(TablaCalificaciones[[#This Row],[Seleccione su nombre (Evaluador)]],TablaCalificaciones[[#This Row],[Seleccione el nombre del Estudiante]])</f>
        <v>Ana Belén Tulcanaza PrietoHerrera Donoso María Isabel</v>
      </c>
      <c r="O90" t="s">
        <v>130</v>
      </c>
      <c r="P90">
        <v>0</v>
      </c>
      <c r="R90" t="s">
        <v>44</v>
      </c>
      <c r="S90" s="22">
        <f>VLOOKUP(TablaCalificaciones[[#This Row],[Apertura: problema y objetivo ]],PESOS!A$16:B$20,2,0)</f>
        <v>20</v>
      </c>
      <c r="U90" t="s">
        <v>44</v>
      </c>
      <c r="V90" s="22">
        <f>VLOOKUP(TablaCalificaciones[[#This Row],[Metodología (nivel adecuado)]],PESOS!A$16:B$20,2,0)</f>
        <v>20</v>
      </c>
      <c r="X90" t="s">
        <v>44</v>
      </c>
      <c r="Y90" s="22">
        <f>VLOOKUP(TablaCalificaciones[[#This Row],[Resultados y evidencia ]],PESOS!A$16:B$20,2,0)</f>
        <v>20</v>
      </c>
      <c r="AA90" t="s">
        <v>45</v>
      </c>
      <c r="AB90" s="22">
        <f>VLOOKUP(TablaCalificaciones[[#This Row],[Coherencia y manejo del tiempo]],PESOS!A$25:B$29,2,0)</f>
        <v>10</v>
      </c>
      <c r="AD90" t="s">
        <v>45</v>
      </c>
      <c r="AE90" s="22">
        <f>VLOOKUP(TablaCalificaciones[[#This Row],[Diapositivas como apoyo]],PESOS!A$25:B$29,2,0)</f>
        <v>10</v>
      </c>
      <c r="AG90" t="s">
        <v>51</v>
      </c>
      <c r="AH90" s="22">
        <f>VLOOKUP(TablaCalificaciones[[#This Row],[Respuestas a preguntas]],PESOS!A$25:B$29,2,0)</f>
        <v>8</v>
      </c>
      <c r="AJ90" t="s">
        <v>51</v>
      </c>
      <c r="AK90" s="22">
        <f>VLOOKUP(TablaCalificaciones[[#This Row],[Cierre: aporte a próximos pasos]],PESOS!A$25:B$29,2,0)</f>
        <v>8</v>
      </c>
      <c r="AM90" s="1"/>
    </row>
    <row r="91" spans="1:39">
      <c r="A91">
        <v>90</v>
      </c>
      <c r="B91" s="2">
        <v>46133.515081018515</v>
      </c>
      <c r="C91" s="2">
        <v>46133.515763888892</v>
      </c>
      <c r="D91" t="s">
        <v>54</v>
      </c>
      <c r="E91" t="s">
        <v>55</v>
      </c>
      <c r="H91" s="2"/>
      <c r="I91" t="s">
        <v>41</v>
      </c>
      <c r="J91">
        <v>0</v>
      </c>
      <c r="L91" t="s">
        <v>56</v>
      </c>
      <c r="M91" s="26" t="str">
        <f>CONCATENATE(TablaCalificaciones[[#This Row],[Seleccione su nombre (Evaluador)]],TablaCalificaciones[[#This Row],[Seleccione el nombre del Estudiante]])</f>
        <v>Marco Antonio Galarza CastilloGutiérrez Rueda Ismael David</v>
      </c>
      <c r="O91" t="s">
        <v>131</v>
      </c>
      <c r="P91">
        <v>0</v>
      </c>
      <c r="R91" t="s">
        <v>44</v>
      </c>
      <c r="S91" s="22">
        <f>VLOOKUP(TablaCalificaciones[[#This Row],[Apertura: problema y objetivo ]],PESOS!A$16:B$20,2,0)</f>
        <v>20</v>
      </c>
      <c r="U91" t="s">
        <v>44</v>
      </c>
      <c r="V91" s="22">
        <f>VLOOKUP(TablaCalificaciones[[#This Row],[Metodología (nivel adecuado)]],PESOS!A$16:B$20,2,0)</f>
        <v>20</v>
      </c>
      <c r="X91" t="s">
        <v>44</v>
      </c>
      <c r="Y91" s="22">
        <f>VLOOKUP(TablaCalificaciones[[#This Row],[Resultados y evidencia ]],PESOS!A$16:B$20,2,0)</f>
        <v>20</v>
      </c>
      <c r="AA91" t="s">
        <v>45</v>
      </c>
      <c r="AB91" s="22">
        <f>VLOOKUP(TablaCalificaciones[[#This Row],[Coherencia y manejo del tiempo]],PESOS!A$25:B$29,2,0)</f>
        <v>10</v>
      </c>
      <c r="AD91" t="s">
        <v>45</v>
      </c>
      <c r="AE91" s="22">
        <f>VLOOKUP(TablaCalificaciones[[#This Row],[Diapositivas como apoyo]],PESOS!A$25:B$29,2,0)</f>
        <v>10</v>
      </c>
      <c r="AG91" t="s">
        <v>45</v>
      </c>
      <c r="AH91" s="22">
        <f>VLOOKUP(TablaCalificaciones[[#This Row],[Respuestas a preguntas]],PESOS!A$25:B$29,2,0)</f>
        <v>10</v>
      </c>
      <c r="AJ91" t="s">
        <v>45</v>
      </c>
      <c r="AK91" s="22">
        <f>VLOOKUP(TablaCalificaciones[[#This Row],[Cierre: aporte a próximos pasos]],PESOS!A$25:B$29,2,0)</f>
        <v>10</v>
      </c>
      <c r="AM91" s="1"/>
    </row>
    <row r="92" spans="1:39">
      <c r="A92">
        <v>91</v>
      </c>
      <c r="B92" s="2">
        <v>46133.515787037039</v>
      </c>
      <c r="C92" s="2">
        <v>46133.516412037039</v>
      </c>
      <c r="D92" t="s">
        <v>54</v>
      </c>
      <c r="E92" t="s">
        <v>55</v>
      </c>
      <c r="H92" s="2"/>
      <c r="I92" t="s">
        <v>41</v>
      </c>
      <c r="J92">
        <v>0</v>
      </c>
      <c r="L92" t="s">
        <v>56</v>
      </c>
      <c r="M92" s="26" t="str">
        <f>CONCATENATE(TablaCalificaciones[[#This Row],[Seleccione su nombre (Evaluador)]],TablaCalificaciones[[#This Row],[Seleccione el nombre del Estudiante]])</f>
        <v>Marco Antonio Galarza CastilloRengel Zambrano Kelvin Sebastián</v>
      </c>
      <c r="O92" t="s">
        <v>132</v>
      </c>
      <c r="P92">
        <v>0</v>
      </c>
      <c r="R92" t="s">
        <v>44</v>
      </c>
      <c r="S92" s="22">
        <f>VLOOKUP(TablaCalificaciones[[#This Row],[Apertura: problema y objetivo ]],PESOS!A$16:B$20,2,0)</f>
        <v>20</v>
      </c>
      <c r="U92" t="s">
        <v>44</v>
      </c>
      <c r="V92" s="22">
        <f>VLOOKUP(TablaCalificaciones[[#This Row],[Metodología (nivel adecuado)]],PESOS!A$16:B$20,2,0)</f>
        <v>20</v>
      </c>
      <c r="X92" t="s">
        <v>44</v>
      </c>
      <c r="Y92" s="22">
        <f>VLOOKUP(TablaCalificaciones[[#This Row],[Resultados y evidencia ]],PESOS!A$16:B$20,2,0)</f>
        <v>20</v>
      </c>
      <c r="AA92" t="s">
        <v>45</v>
      </c>
      <c r="AB92" s="22">
        <f>VLOOKUP(TablaCalificaciones[[#This Row],[Coherencia y manejo del tiempo]],PESOS!A$25:B$29,2,0)</f>
        <v>10</v>
      </c>
      <c r="AD92" t="s">
        <v>45</v>
      </c>
      <c r="AE92" s="22">
        <f>VLOOKUP(TablaCalificaciones[[#This Row],[Diapositivas como apoyo]],PESOS!A$25:B$29,2,0)</f>
        <v>10</v>
      </c>
      <c r="AG92" t="s">
        <v>45</v>
      </c>
      <c r="AH92" s="22">
        <f>VLOOKUP(TablaCalificaciones[[#This Row],[Respuestas a preguntas]],PESOS!A$25:B$29,2,0)</f>
        <v>10</v>
      </c>
      <c r="AJ92" t="s">
        <v>45</v>
      </c>
      <c r="AK92" s="22">
        <f>VLOOKUP(TablaCalificaciones[[#This Row],[Cierre: aporte a próximos pasos]],PESOS!A$25:B$29,2,0)</f>
        <v>10</v>
      </c>
      <c r="AM92" s="1"/>
    </row>
    <row r="93" spans="1:39">
      <c r="A93">
        <v>92</v>
      </c>
      <c r="B93" s="2">
        <v>46133.507615740738</v>
      </c>
      <c r="C93" s="2">
        <v>46133.517812500002</v>
      </c>
      <c r="D93" t="s">
        <v>69</v>
      </c>
      <c r="E93" t="s">
        <v>70</v>
      </c>
      <c r="H93" s="2"/>
      <c r="I93" t="s">
        <v>41</v>
      </c>
      <c r="J93">
        <v>0</v>
      </c>
      <c r="L93" t="s">
        <v>71</v>
      </c>
      <c r="M93" s="26" t="str">
        <f>CONCATENATE(TablaCalificaciones[[#This Row],[Seleccione su nombre (Evaluador)]],TablaCalificaciones[[#This Row],[Seleccione el nombre del Estudiante]])</f>
        <v>Ana Belén Tulcanaza PrietoMuglisa Puma Kevin Israel</v>
      </c>
      <c r="O93" t="s">
        <v>133</v>
      </c>
      <c r="P93">
        <v>0</v>
      </c>
      <c r="R93" t="s">
        <v>44</v>
      </c>
      <c r="S93" s="22">
        <f>VLOOKUP(TablaCalificaciones[[#This Row],[Apertura: problema y objetivo ]],PESOS!A$16:B$20,2,0)</f>
        <v>20</v>
      </c>
      <c r="U93" t="s">
        <v>44</v>
      </c>
      <c r="V93" s="22">
        <f>VLOOKUP(TablaCalificaciones[[#This Row],[Metodología (nivel adecuado)]],PESOS!A$16:B$20,2,0)</f>
        <v>20</v>
      </c>
      <c r="X93" t="s">
        <v>44</v>
      </c>
      <c r="Y93" s="22">
        <f>VLOOKUP(TablaCalificaciones[[#This Row],[Resultados y evidencia ]],PESOS!A$16:B$20,2,0)</f>
        <v>20</v>
      </c>
      <c r="AA93" t="s">
        <v>45</v>
      </c>
      <c r="AB93" s="22">
        <f>VLOOKUP(TablaCalificaciones[[#This Row],[Coherencia y manejo del tiempo]],PESOS!A$25:B$29,2,0)</f>
        <v>10</v>
      </c>
      <c r="AD93" t="s">
        <v>45</v>
      </c>
      <c r="AE93" s="22">
        <f>VLOOKUP(TablaCalificaciones[[#This Row],[Diapositivas como apoyo]],PESOS!A$25:B$29,2,0)</f>
        <v>10</v>
      </c>
      <c r="AG93" t="s">
        <v>51</v>
      </c>
      <c r="AH93" s="22">
        <f>VLOOKUP(TablaCalificaciones[[#This Row],[Respuestas a preguntas]],PESOS!A$25:B$29,2,0)</f>
        <v>8</v>
      </c>
      <c r="AJ93" t="s">
        <v>51</v>
      </c>
      <c r="AK93" s="22">
        <f>VLOOKUP(TablaCalificaciones[[#This Row],[Cierre: aporte a próximos pasos]],PESOS!A$25:B$29,2,0)</f>
        <v>8</v>
      </c>
      <c r="AM93" s="1"/>
    </row>
    <row r="94" spans="1:39">
      <c r="A94">
        <v>93</v>
      </c>
      <c r="B94" s="2">
        <v>46133.496354166666</v>
      </c>
      <c r="C94" s="2">
        <v>46133.518009259256</v>
      </c>
      <c r="D94" t="s">
        <v>59</v>
      </c>
      <c r="E94" t="s">
        <v>60</v>
      </c>
      <c r="H94" s="2"/>
      <c r="I94" t="s">
        <v>41</v>
      </c>
      <c r="J94">
        <v>0</v>
      </c>
      <c r="L94" t="s">
        <v>60</v>
      </c>
      <c r="M94" s="26" t="str">
        <f>CONCATENATE(TablaCalificaciones[[#This Row],[Seleccione su nombre (Evaluador)]],TablaCalificaciones[[#This Row],[Seleccione el nombre del Estudiante]])</f>
        <v>Santiago Leonardo SolórzanoHerrera Donoso María Isabel</v>
      </c>
      <c r="O94" t="s">
        <v>130</v>
      </c>
      <c r="P94">
        <v>0</v>
      </c>
      <c r="R94" t="s">
        <v>44</v>
      </c>
      <c r="S94" s="22">
        <f>VLOOKUP(TablaCalificaciones[[#This Row],[Apertura: problema y objetivo ]],PESOS!A$16:B$20,2,0)</f>
        <v>20</v>
      </c>
      <c r="U94" t="s">
        <v>44</v>
      </c>
      <c r="V94" s="22">
        <f>VLOOKUP(TablaCalificaciones[[#This Row],[Metodología (nivel adecuado)]],PESOS!A$16:B$20,2,0)</f>
        <v>20</v>
      </c>
      <c r="X94" t="s">
        <v>44</v>
      </c>
      <c r="Y94" s="22">
        <f>VLOOKUP(TablaCalificaciones[[#This Row],[Resultados y evidencia ]],PESOS!A$16:B$20,2,0)</f>
        <v>20</v>
      </c>
      <c r="AA94" t="s">
        <v>51</v>
      </c>
      <c r="AB94" s="22">
        <f>VLOOKUP(TablaCalificaciones[[#This Row],[Coherencia y manejo del tiempo]],PESOS!A$25:B$29,2,0)</f>
        <v>8</v>
      </c>
      <c r="AD94" t="s">
        <v>51</v>
      </c>
      <c r="AE94" s="22">
        <f>VLOOKUP(TablaCalificaciones[[#This Row],[Diapositivas como apoyo]],PESOS!A$25:B$29,2,0)</f>
        <v>8</v>
      </c>
      <c r="AG94" t="s">
        <v>45</v>
      </c>
      <c r="AH94" s="22">
        <f>VLOOKUP(TablaCalificaciones[[#This Row],[Respuestas a preguntas]],PESOS!A$25:B$29,2,0)</f>
        <v>10</v>
      </c>
      <c r="AJ94" t="s">
        <v>45</v>
      </c>
      <c r="AK94" s="22">
        <f>VLOOKUP(TablaCalificaciones[[#This Row],[Cierre: aporte a próximos pasos]],PESOS!A$25:B$29,2,0)</f>
        <v>10</v>
      </c>
      <c r="AM94" s="1"/>
    </row>
    <row r="95" spans="1:39">
      <c r="A95">
        <v>94</v>
      </c>
      <c r="B95" s="2">
        <v>46133.496388888889</v>
      </c>
      <c r="C95" s="2">
        <v>46133.518263888887</v>
      </c>
      <c r="D95" t="s">
        <v>59</v>
      </c>
      <c r="E95" t="s">
        <v>60</v>
      </c>
      <c r="H95" s="2"/>
      <c r="I95" t="s">
        <v>41</v>
      </c>
      <c r="J95">
        <v>0</v>
      </c>
      <c r="L95" t="s">
        <v>60</v>
      </c>
      <c r="M95" s="26" t="str">
        <f>CONCATENATE(TablaCalificaciones[[#This Row],[Seleccione su nombre (Evaluador)]],TablaCalificaciones[[#This Row],[Seleccione el nombre del Estudiante]])</f>
        <v>Santiago Leonardo SolórzanoMuglisa Puma Kevin Israel</v>
      </c>
      <c r="O95" t="s">
        <v>133</v>
      </c>
      <c r="P95">
        <v>0</v>
      </c>
      <c r="R95" t="s">
        <v>44</v>
      </c>
      <c r="S95" s="22">
        <f>VLOOKUP(TablaCalificaciones[[#This Row],[Apertura: problema y objetivo ]],PESOS!A$16:B$20,2,0)</f>
        <v>20</v>
      </c>
      <c r="U95" t="s">
        <v>44</v>
      </c>
      <c r="V95" s="22">
        <f>VLOOKUP(TablaCalificaciones[[#This Row],[Metodología (nivel adecuado)]],PESOS!A$16:B$20,2,0)</f>
        <v>20</v>
      </c>
      <c r="X95" t="s">
        <v>44</v>
      </c>
      <c r="Y95" s="22">
        <f>VLOOKUP(TablaCalificaciones[[#This Row],[Resultados y evidencia ]],PESOS!A$16:B$20,2,0)</f>
        <v>20</v>
      </c>
      <c r="AA95" t="s">
        <v>51</v>
      </c>
      <c r="AB95" s="22">
        <f>VLOOKUP(TablaCalificaciones[[#This Row],[Coherencia y manejo del tiempo]],PESOS!A$25:B$29,2,0)</f>
        <v>8</v>
      </c>
      <c r="AD95" t="s">
        <v>51</v>
      </c>
      <c r="AE95" s="22">
        <f>VLOOKUP(TablaCalificaciones[[#This Row],[Diapositivas como apoyo]],PESOS!A$25:B$29,2,0)</f>
        <v>8</v>
      </c>
      <c r="AG95" t="s">
        <v>45</v>
      </c>
      <c r="AH95" s="22">
        <f>VLOOKUP(TablaCalificaciones[[#This Row],[Respuestas a preguntas]],PESOS!A$25:B$29,2,0)</f>
        <v>10</v>
      </c>
      <c r="AJ95" t="s">
        <v>45</v>
      </c>
      <c r="AK95" s="22">
        <f>VLOOKUP(TablaCalificaciones[[#This Row],[Cierre: aporte a próximos pasos]],PESOS!A$25:B$29,2,0)</f>
        <v>10</v>
      </c>
      <c r="AM95" s="1"/>
    </row>
    <row r="96" spans="1:39">
      <c r="A96">
        <v>95</v>
      </c>
      <c r="B96" s="2">
        <v>46133.50304398148</v>
      </c>
      <c r="C96" s="2">
        <v>46133.518506944441</v>
      </c>
      <c r="D96" t="s">
        <v>59</v>
      </c>
      <c r="E96" t="s">
        <v>60</v>
      </c>
      <c r="H96" s="2"/>
      <c r="I96" t="s">
        <v>134</v>
      </c>
      <c r="J96">
        <v>0</v>
      </c>
      <c r="L96" t="s">
        <v>60</v>
      </c>
      <c r="M96" s="26" t="str">
        <f>CONCATENATE(TablaCalificaciones[[#This Row],[Seleccione su nombre (Evaluador)]],TablaCalificaciones[[#This Row],[Seleccione el nombre del Estudiante]])</f>
        <v>Santiago Leonardo SolórzanoFreire Yánez Carlos Esteban</v>
      </c>
      <c r="O96" t="s">
        <v>129</v>
      </c>
      <c r="P96">
        <v>0</v>
      </c>
      <c r="R96" t="s">
        <v>44</v>
      </c>
      <c r="S96" s="22">
        <f>VLOOKUP(TablaCalificaciones[[#This Row],[Apertura: problema y objetivo ]],PESOS!A$16:B$20,2,0)</f>
        <v>20</v>
      </c>
      <c r="U96" t="s">
        <v>44</v>
      </c>
      <c r="V96" s="22">
        <f>VLOOKUP(TablaCalificaciones[[#This Row],[Metodología (nivel adecuado)]],PESOS!A$16:B$20,2,0)</f>
        <v>20</v>
      </c>
      <c r="X96" t="s">
        <v>44</v>
      </c>
      <c r="Y96" s="22">
        <f>VLOOKUP(TablaCalificaciones[[#This Row],[Resultados y evidencia ]],PESOS!A$16:B$20,2,0)</f>
        <v>20</v>
      </c>
      <c r="AA96" t="s">
        <v>51</v>
      </c>
      <c r="AB96" s="22">
        <f>VLOOKUP(TablaCalificaciones[[#This Row],[Coherencia y manejo del tiempo]],PESOS!A$25:B$29,2,0)</f>
        <v>8</v>
      </c>
      <c r="AD96" t="s">
        <v>51</v>
      </c>
      <c r="AE96" s="22">
        <f>VLOOKUP(TablaCalificaciones[[#This Row],[Diapositivas como apoyo]],PESOS!A$25:B$29,2,0)</f>
        <v>8</v>
      </c>
      <c r="AG96" t="s">
        <v>45</v>
      </c>
      <c r="AH96" s="22">
        <f>VLOOKUP(TablaCalificaciones[[#This Row],[Respuestas a preguntas]],PESOS!A$25:B$29,2,0)</f>
        <v>10</v>
      </c>
      <c r="AJ96" t="s">
        <v>45</v>
      </c>
      <c r="AK96" s="22">
        <f>VLOOKUP(TablaCalificaciones[[#This Row],[Cierre: aporte a próximos pasos]],PESOS!A$25:B$29,2,0)</f>
        <v>10</v>
      </c>
      <c r="AM96" s="1"/>
    </row>
    <row r="97" spans="1:39">
      <c r="A97">
        <v>96</v>
      </c>
      <c r="B97" s="2">
        <v>46133.497557870367</v>
      </c>
      <c r="C97" s="2">
        <v>46133.519942129627</v>
      </c>
      <c r="D97" t="s">
        <v>39</v>
      </c>
      <c r="E97" t="s">
        <v>40</v>
      </c>
      <c r="H97" s="2"/>
      <c r="I97" t="s">
        <v>41</v>
      </c>
      <c r="J97">
        <v>0</v>
      </c>
      <c r="L97" t="s">
        <v>42</v>
      </c>
      <c r="M97" s="26" t="str">
        <f>CONCATENATE(TablaCalificaciones[[#This Row],[Seleccione su nombre (Evaluador)]],TablaCalificaciones[[#This Row],[Seleccione el nombre del Estudiante]])</f>
        <v>Patricio David PonceRengel Zambrano Kelvin Sebastián</v>
      </c>
      <c r="O97" t="s">
        <v>132</v>
      </c>
      <c r="P97">
        <v>0</v>
      </c>
      <c r="R97" t="s">
        <v>44</v>
      </c>
      <c r="S97" s="22">
        <f>VLOOKUP(TablaCalificaciones[[#This Row],[Apertura: problema y objetivo ]],PESOS!A$16:B$20,2,0)</f>
        <v>20</v>
      </c>
      <c r="U97" t="s">
        <v>44</v>
      </c>
      <c r="V97" s="22">
        <f>VLOOKUP(TablaCalificaciones[[#This Row],[Metodología (nivel adecuado)]],PESOS!A$16:B$20,2,0)</f>
        <v>20</v>
      </c>
      <c r="X97" t="s">
        <v>50</v>
      </c>
      <c r="Y97" s="22">
        <f>VLOOKUP(TablaCalificaciones[[#This Row],[Resultados y evidencia ]],PESOS!A$16:B$20,2,0)</f>
        <v>16</v>
      </c>
      <c r="AA97" t="s">
        <v>45</v>
      </c>
      <c r="AB97" s="22">
        <f>VLOOKUP(TablaCalificaciones[[#This Row],[Coherencia y manejo del tiempo]],PESOS!A$25:B$29,2,0)</f>
        <v>10</v>
      </c>
      <c r="AD97" t="s">
        <v>45</v>
      </c>
      <c r="AE97" s="22">
        <f>VLOOKUP(TablaCalificaciones[[#This Row],[Diapositivas como apoyo]],PESOS!A$25:B$29,2,0)</f>
        <v>10</v>
      </c>
      <c r="AG97" t="s">
        <v>51</v>
      </c>
      <c r="AH97" s="22">
        <f>VLOOKUP(TablaCalificaciones[[#This Row],[Respuestas a preguntas]],PESOS!A$25:B$29,2,0)</f>
        <v>8</v>
      </c>
      <c r="AJ97" t="s">
        <v>51</v>
      </c>
      <c r="AK97" s="22">
        <f>VLOOKUP(TablaCalificaciones[[#This Row],[Cierre: aporte a próximos pasos]],PESOS!A$25:B$29,2,0)</f>
        <v>8</v>
      </c>
      <c r="AM97" s="1"/>
    </row>
    <row r="98" spans="1:39">
      <c r="A98">
        <v>97</v>
      </c>
      <c r="B98" s="2">
        <v>46133.519965277781</v>
      </c>
      <c r="C98" s="2">
        <v>46133.520474537036</v>
      </c>
      <c r="D98" t="s">
        <v>39</v>
      </c>
      <c r="E98" t="s">
        <v>40</v>
      </c>
      <c r="H98" s="2"/>
      <c r="I98" t="s">
        <v>41</v>
      </c>
      <c r="J98">
        <v>0</v>
      </c>
      <c r="L98" t="s">
        <v>42</v>
      </c>
      <c r="M98" s="26" t="str">
        <f>CONCATENATE(TablaCalificaciones[[#This Row],[Seleccione su nombre (Evaluador)]],TablaCalificaciones[[#This Row],[Seleccione el nombre del Estudiante]])</f>
        <v>Patricio David PonceCaviedes Aristizábal Javier Alejandro</v>
      </c>
      <c r="O98" t="s">
        <v>128</v>
      </c>
      <c r="P98">
        <v>0</v>
      </c>
      <c r="R98" t="s">
        <v>44</v>
      </c>
      <c r="S98" s="22">
        <f>VLOOKUP(TablaCalificaciones[[#This Row],[Apertura: problema y objetivo ]],PESOS!A$16:B$20,2,0)</f>
        <v>20</v>
      </c>
      <c r="U98" t="s">
        <v>44</v>
      </c>
      <c r="V98" s="22">
        <f>VLOOKUP(TablaCalificaciones[[#This Row],[Metodología (nivel adecuado)]],PESOS!A$16:B$20,2,0)</f>
        <v>20</v>
      </c>
      <c r="X98" t="s">
        <v>50</v>
      </c>
      <c r="Y98" s="22">
        <f>VLOOKUP(TablaCalificaciones[[#This Row],[Resultados y evidencia ]],PESOS!A$16:B$20,2,0)</f>
        <v>16</v>
      </c>
      <c r="AA98" t="s">
        <v>45</v>
      </c>
      <c r="AB98" s="22">
        <f>VLOOKUP(TablaCalificaciones[[#This Row],[Coherencia y manejo del tiempo]],PESOS!A$25:B$29,2,0)</f>
        <v>10</v>
      </c>
      <c r="AD98" t="s">
        <v>51</v>
      </c>
      <c r="AE98" s="22">
        <f>VLOOKUP(TablaCalificaciones[[#This Row],[Diapositivas como apoyo]],PESOS!A$25:B$29,2,0)</f>
        <v>8</v>
      </c>
      <c r="AG98" t="s">
        <v>51</v>
      </c>
      <c r="AH98" s="22">
        <f>VLOOKUP(TablaCalificaciones[[#This Row],[Respuestas a preguntas]],PESOS!A$25:B$29,2,0)</f>
        <v>8</v>
      </c>
      <c r="AJ98" t="s">
        <v>51</v>
      </c>
      <c r="AK98" s="22">
        <f>VLOOKUP(TablaCalificaciones[[#This Row],[Cierre: aporte a próximos pasos]],PESOS!A$25:B$29,2,0)</f>
        <v>8</v>
      </c>
      <c r="AM98" s="1"/>
    </row>
    <row r="99" spans="1:39">
      <c r="A99">
        <v>98</v>
      </c>
      <c r="B99" s="2">
        <v>46133.520532407405</v>
      </c>
      <c r="C99" s="2">
        <v>46133.522002314814</v>
      </c>
      <c r="D99" t="s">
        <v>39</v>
      </c>
      <c r="E99" t="s">
        <v>40</v>
      </c>
      <c r="H99" s="2"/>
      <c r="I99" t="s">
        <v>41</v>
      </c>
      <c r="J99">
        <v>0</v>
      </c>
      <c r="L99" t="s">
        <v>42</v>
      </c>
      <c r="M99" s="26" t="str">
        <f>CONCATENATE(TablaCalificaciones[[#This Row],[Seleccione su nombre (Evaluador)]],TablaCalificaciones[[#This Row],[Seleccione el nombre del Estudiante]])</f>
        <v>Patricio David PonceGutiérrez Rueda Ismael David</v>
      </c>
      <c r="O99" t="s">
        <v>131</v>
      </c>
      <c r="P99">
        <v>0</v>
      </c>
      <c r="R99" t="s">
        <v>44</v>
      </c>
      <c r="S99" s="22">
        <f>VLOOKUP(TablaCalificaciones[[#This Row],[Apertura: problema y objetivo ]],PESOS!A$16:B$20,2,0)</f>
        <v>20</v>
      </c>
      <c r="U99" t="s">
        <v>44</v>
      </c>
      <c r="V99" s="22">
        <f>VLOOKUP(TablaCalificaciones[[#This Row],[Metodología (nivel adecuado)]],PESOS!A$16:B$20,2,0)</f>
        <v>20</v>
      </c>
      <c r="X99" t="s">
        <v>50</v>
      </c>
      <c r="Y99" s="22">
        <f>VLOOKUP(TablaCalificaciones[[#This Row],[Resultados y evidencia ]],PESOS!A$16:B$20,2,0)</f>
        <v>16</v>
      </c>
      <c r="AA99" t="s">
        <v>45</v>
      </c>
      <c r="AB99" s="22">
        <f>VLOOKUP(TablaCalificaciones[[#This Row],[Coherencia y manejo del tiempo]],PESOS!A$25:B$29,2,0)</f>
        <v>10</v>
      </c>
      <c r="AD99" t="s">
        <v>51</v>
      </c>
      <c r="AE99" s="22">
        <f>VLOOKUP(TablaCalificaciones[[#This Row],[Diapositivas como apoyo]],PESOS!A$25:B$29,2,0)</f>
        <v>8</v>
      </c>
      <c r="AG99" t="s">
        <v>51</v>
      </c>
      <c r="AH99" s="22">
        <f>VLOOKUP(TablaCalificaciones[[#This Row],[Respuestas a preguntas]],PESOS!A$25:B$29,2,0)</f>
        <v>8</v>
      </c>
      <c r="AJ99" t="s">
        <v>51</v>
      </c>
      <c r="AK99" s="22">
        <f>VLOOKUP(TablaCalificaciones[[#This Row],[Cierre: aporte a próximos pasos]],PESOS!A$25:B$29,2,0)</f>
        <v>8</v>
      </c>
      <c r="AM99" s="1"/>
    </row>
    <row r="100" spans="1:39">
      <c r="A100">
        <v>99</v>
      </c>
      <c r="B100" s="2">
        <v>46133.525902777779</v>
      </c>
      <c r="C100" s="2">
        <v>46133.533171296294</v>
      </c>
      <c r="D100" t="s">
        <v>59</v>
      </c>
      <c r="E100" t="s">
        <v>60</v>
      </c>
      <c r="H100" s="2"/>
      <c r="I100" t="s">
        <v>41</v>
      </c>
      <c r="J100">
        <v>0</v>
      </c>
      <c r="L100" t="s">
        <v>60</v>
      </c>
      <c r="M100" s="26" t="str">
        <f>CONCATENATE(TablaCalificaciones[[#This Row],[Seleccione su nombre (Evaluador)]],TablaCalificaciones[[#This Row],[Seleccione el nombre del Estudiante]])</f>
        <v>Santiago Leonardo SolórzanoArmas Torres Diego Sebastian</v>
      </c>
      <c r="O100" t="s">
        <v>135</v>
      </c>
      <c r="P100">
        <v>0</v>
      </c>
      <c r="R100" t="s">
        <v>44</v>
      </c>
      <c r="S100" s="22">
        <f>VLOOKUP(TablaCalificaciones[[#This Row],[Apertura: problema y objetivo ]],PESOS!A$16:B$20,2,0)</f>
        <v>20</v>
      </c>
      <c r="U100" t="s">
        <v>44</v>
      </c>
      <c r="V100" s="22">
        <f>VLOOKUP(TablaCalificaciones[[#This Row],[Metodología (nivel adecuado)]],PESOS!A$16:B$20,2,0)</f>
        <v>20</v>
      </c>
      <c r="X100" t="s">
        <v>44</v>
      </c>
      <c r="Y100" s="22">
        <f>VLOOKUP(TablaCalificaciones[[#This Row],[Resultados y evidencia ]],PESOS!A$16:B$20,2,0)</f>
        <v>20</v>
      </c>
      <c r="AA100" t="s">
        <v>45</v>
      </c>
      <c r="AB100" s="22">
        <f>VLOOKUP(TablaCalificaciones[[#This Row],[Coherencia y manejo del tiempo]],PESOS!A$25:B$29,2,0)</f>
        <v>10</v>
      </c>
      <c r="AD100" t="s">
        <v>51</v>
      </c>
      <c r="AE100" s="22">
        <f>VLOOKUP(TablaCalificaciones[[#This Row],[Diapositivas como apoyo]],PESOS!A$25:B$29,2,0)</f>
        <v>8</v>
      </c>
      <c r="AG100" t="s">
        <v>45</v>
      </c>
      <c r="AH100" s="22">
        <f>VLOOKUP(TablaCalificaciones[[#This Row],[Respuestas a preguntas]],PESOS!A$25:B$29,2,0)</f>
        <v>10</v>
      </c>
      <c r="AJ100" t="s">
        <v>45</v>
      </c>
      <c r="AK100" s="22">
        <f>VLOOKUP(TablaCalificaciones[[#This Row],[Cierre: aporte a próximos pasos]],PESOS!A$25:B$29,2,0)</f>
        <v>10</v>
      </c>
      <c r="AM100" s="1"/>
    </row>
    <row r="101" spans="1:39">
      <c r="A101">
        <v>100</v>
      </c>
      <c r="B101" s="2">
        <v>46133.526354166665</v>
      </c>
      <c r="C101" s="2">
        <v>46133.533217592594</v>
      </c>
      <c r="D101" t="s">
        <v>59</v>
      </c>
      <c r="E101" t="s">
        <v>60</v>
      </c>
      <c r="H101" s="2"/>
      <c r="I101" t="s">
        <v>41</v>
      </c>
      <c r="J101">
        <v>0</v>
      </c>
      <c r="L101" t="s">
        <v>60</v>
      </c>
      <c r="M101" s="26" t="str">
        <f>CONCATENATE(TablaCalificaciones[[#This Row],[Seleccione su nombre (Evaluador)]],TablaCalificaciones[[#This Row],[Seleccione el nombre del Estudiante]])</f>
        <v>Santiago Leonardo SolórzanoVargas Moreira Marcela Sheccid</v>
      </c>
      <c r="O101" t="s">
        <v>136</v>
      </c>
      <c r="P101">
        <v>0</v>
      </c>
      <c r="R101" t="s">
        <v>44</v>
      </c>
      <c r="S101" s="22">
        <f>VLOOKUP(TablaCalificaciones[[#This Row],[Apertura: problema y objetivo ]],PESOS!A$16:B$20,2,0)</f>
        <v>20</v>
      </c>
      <c r="U101" t="s">
        <v>44</v>
      </c>
      <c r="V101" s="22">
        <f>VLOOKUP(TablaCalificaciones[[#This Row],[Metodología (nivel adecuado)]],PESOS!A$16:B$20,2,0)</f>
        <v>20</v>
      </c>
      <c r="X101" t="s">
        <v>44</v>
      </c>
      <c r="Y101" s="22">
        <f>VLOOKUP(TablaCalificaciones[[#This Row],[Resultados y evidencia ]],PESOS!A$16:B$20,2,0)</f>
        <v>20</v>
      </c>
      <c r="AA101" t="s">
        <v>45</v>
      </c>
      <c r="AB101" s="22">
        <f>VLOOKUP(TablaCalificaciones[[#This Row],[Coherencia y manejo del tiempo]],PESOS!A$25:B$29,2,0)</f>
        <v>10</v>
      </c>
      <c r="AD101" t="s">
        <v>51</v>
      </c>
      <c r="AE101" s="22">
        <f>VLOOKUP(TablaCalificaciones[[#This Row],[Diapositivas como apoyo]],PESOS!A$25:B$29,2,0)</f>
        <v>8</v>
      </c>
      <c r="AG101" t="s">
        <v>45</v>
      </c>
      <c r="AH101" s="22">
        <f>VLOOKUP(TablaCalificaciones[[#This Row],[Respuestas a preguntas]],PESOS!A$25:B$29,2,0)</f>
        <v>10</v>
      </c>
      <c r="AJ101" t="s">
        <v>45</v>
      </c>
      <c r="AK101" s="22">
        <f>VLOOKUP(TablaCalificaciones[[#This Row],[Cierre: aporte a próximos pasos]],PESOS!A$25:B$29,2,0)</f>
        <v>10</v>
      </c>
      <c r="AM101" s="1"/>
    </row>
    <row r="102" spans="1:39">
      <c r="A102">
        <v>101</v>
      </c>
      <c r="B102" s="2">
        <v>46133.526875000003</v>
      </c>
      <c r="C102" s="2">
        <v>46133.533275463</v>
      </c>
      <c r="D102" s="1" t="s">
        <v>59</v>
      </c>
      <c r="E102" s="1" t="s">
        <v>60</v>
      </c>
      <c r="G102" s="1"/>
      <c r="H102" s="2"/>
      <c r="I102" s="1" t="s">
        <v>41</v>
      </c>
      <c r="K102" s="1"/>
      <c r="L102" s="1" t="s">
        <v>60</v>
      </c>
      <c r="M102" s="26" t="str">
        <f>CONCATENATE(TablaCalificaciones[[#This Row],[Seleccione su nombre (Evaluador)]],TablaCalificaciones[[#This Row],[Seleccione el nombre del Estudiante]])</f>
        <v>Santiago Leonardo SolórzanoVillavicencio Quiñonez Alex Santiago</v>
      </c>
      <c r="N102" s="1"/>
      <c r="O102" s="1" t="s">
        <v>137</v>
      </c>
      <c r="Q102" s="1"/>
      <c r="R102" s="1" t="s">
        <v>44</v>
      </c>
      <c r="S102" s="22">
        <f>VLOOKUP(TablaCalificaciones[[#This Row],[Apertura: problema y objetivo ]],PESOS!A$16:B$20,2,0)</f>
        <v>20</v>
      </c>
      <c r="T102" s="1"/>
      <c r="U102" s="1" t="s">
        <v>44</v>
      </c>
      <c r="V102" s="22">
        <f>VLOOKUP(TablaCalificaciones[[#This Row],[Metodología (nivel adecuado)]],PESOS!A$16:B$20,2,0)</f>
        <v>20</v>
      </c>
      <c r="W102" s="1"/>
      <c r="X102" s="1" t="s">
        <v>44</v>
      </c>
      <c r="Y102" s="22">
        <f>VLOOKUP(TablaCalificaciones[[#This Row],[Resultados y evidencia ]],PESOS!A$16:B$20,2,0)</f>
        <v>20</v>
      </c>
      <c r="Z102" s="1"/>
      <c r="AA102" s="1" t="s">
        <v>45</v>
      </c>
      <c r="AB102" s="22">
        <f>VLOOKUP(TablaCalificaciones[[#This Row],[Coherencia y manejo del tiempo]],PESOS!A$25:B$29,2,0)</f>
        <v>10</v>
      </c>
      <c r="AC102" s="1"/>
      <c r="AD102" s="1" t="s">
        <v>51</v>
      </c>
      <c r="AE102" s="22">
        <f>VLOOKUP(TablaCalificaciones[[#This Row],[Diapositivas como apoyo]],PESOS!A$25:B$29,2,0)</f>
        <v>8</v>
      </c>
      <c r="AF102" s="1"/>
      <c r="AG102" s="1" t="s">
        <v>45</v>
      </c>
      <c r="AH102" s="22">
        <f>VLOOKUP(TablaCalificaciones[[#This Row],[Respuestas a preguntas]],PESOS!A$25:B$29,2,0)</f>
        <v>10</v>
      </c>
      <c r="AI102" s="1"/>
      <c r="AJ102" s="1" t="s">
        <v>45</v>
      </c>
      <c r="AK102" s="22">
        <f>VLOOKUP(TablaCalificaciones[[#This Row],[Cierre: aporte a próximos pasos]],PESOS!A$25:B$29,2,0)</f>
        <v>10</v>
      </c>
      <c r="AL102" s="1"/>
      <c r="AM102" s="1"/>
    </row>
    <row r="103" spans="1:39">
      <c r="A103">
        <v>102</v>
      </c>
      <c r="B103" s="2">
        <v>46133.532858796301</v>
      </c>
      <c r="C103" s="2">
        <v>46133.535636574103</v>
      </c>
      <c r="D103" s="1" t="s">
        <v>69</v>
      </c>
      <c r="E103" s="1" t="s">
        <v>70</v>
      </c>
      <c r="G103" s="1"/>
      <c r="H103" s="2"/>
      <c r="I103" s="1" t="s">
        <v>41</v>
      </c>
      <c r="K103" s="1"/>
      <c r="L103" s="1" t="s">
        <v>71</v>
      </c>
      <c r="M103" s="26" t="str">
        <f>CONCATENATE(TablaCalificaciones[[#This Row],[Seleccione su nombre (Evaluador)]],TablaCalificaciones[[#This Row],[Seleccione el nombre del Estudiante]])</f>
        <v>Ana Belén Tulcanaza PrietoArmas Torres Diego Sebastian</v>
      </c>
      <c r="N103" s="1"/>
      <c r="O103" s="1" t="s">
        <v>135</v>
      </c>
      <c r="Q103" s="1"/>
      <c r="R103" s="1" t="s">
        <v>44</v>
      </c>
      <c r="S103" s="22">
        <f>VLOOKUP(TablaCalificaciones[[#This Row],[Apertura: problema y objetivo ]],PESOS!A$16:B$20,2,0)</f>
        <v>20</v>
      </c>
      <c r="T103" s="1"/>
      <c r="U103" s="1" t="s">
        <v>44</v>
      </c>
      <c r="V103" s="22">
        <f>VLOOKUP(TablaCalificaciones[[#This Row],[Metodología (nivel adecuado)]],PESOS!A$16:B$20,2,0)</f>
        <v>20</v>
      </c>
      <c r="W103" s="1"/>
      <c r="X103" s="1" t="s">
        <v>44</v>
      </c>
      <c r="Y103" s="22">
        <f>VLOOKUP(TablaCalificaciones[[#This Row],[Resultados y evidencia ]],PESOS!A$16:B$20,2,0)</f>
        <v>20</v>
      </c>
      <c r="Z103" s="1"/>
      <c r="AA103" s="1" t="s">
        <v>45</v>
      </c>
      <c r="AB103" s="22">
        <f>VLOOKUP(TablaCalificaciones[[#This Row],[Coherencia y manejo del tiempo]],PESOS!A$25:B$29,2,0)</f>
        <v>10</v>
      </c>
      <c r="AC103" s="1"/>
      <c r="AD103" s="1" t="s">
        <v>45</v>
      </c>
      <c r="AE103" s="22">
        <f>VLOOKUP(TablaCalificaciones[[#This Row],[Diapositivas como apoyo]],PESOS!A$25:B$29,2,0)</f>
        <v>10</v>
      </c>
      <c r="AF103" s="1"/>
      <c r="AG103" s="1" t="s">
        <v>45</v>
      </c>
      <c r="AH103" s="22">
        <f>VLOOKUP(TablaCalificaciones[[#This Row],[Respuestas a preguntas]],PESOS!A$25:B$29,2,0)</f>
        <v>10</v>
      </c>
      <c r="AI103" s="1"/>
      <c r="AJ103" s="1" t="s">
        <v>45</v>
      </c>
      <c r="AK103" s="22">
        <f>VLOOKUP(TablaCalificaciones[[#This Row],[Cierre: aporte a próximos pasos]],PESOS!A$25:B$29,2,0)</f>
        <v>10</v>
      </c>
      <c r="AL103" s="1"/>
      <c r="AM103" s="1"/>
    </row>
    <row r="104" spans="1:39">
      <c r="A104">
        <v>103</v>
      </c>
      <c r="B104" s="2">
        <v>46133.532893518503</v>
      </c>
      <c r="C104" s="2">
        <v>46133.535995370403</v>
      </c>
      <c r="D104" s="1" t="s">
        <v>69</v>
      </c>
      <c r="E104" s="1" t="s">
        <v>70</v>
      </c>
      <c r="G104" s="1"/>
      <c r="H104" s="2"/>
      <c r="I104" s="1" t="s">
        <v>41</v>
      </c>
      <c r="K104" s="1"/>
      <c r="L104" s="1" t="s">
        <v>71</v>
      </c>
      <c r="M104" s="26" t="str">
        <f>CONCATENATE(TablaCalificaciones[[#This Row],[Seleccione su nombre (Evaluador)]],TablaCalificaciones[[#This Row],[Seleccione el nombre del Estudiante]])</f>
        <v>Ana Belén Tulcanaza PrietoVargas Moreira Marcela Sheccid</v>
      </c>
      <c r="N104" s="1"/>
      <c r="O104" s="1" t="s">
        <v>136</v>
      </c>
      <c r="Q104" s="1"/>
      <c r="R104" s="1" t="s">
        <v>44</v>
      </c>
      <c r="S104" s="22">
        <f>VLOOKUP(TablaCalificaciones[[#This Row],[Apertura: problema y objetivo ]],PESOS!A$16:B$20,2,0)</f>
        <v>20</v>
      </c>
      <c r="T104" s="1"/>
      <c r="U104" s="1" t="s">
        <v>44</v>
      </c>
      <c r="V104" s="22">
        <f>VLOOKUP(TablaCalificaciones[[#This Row],[Metodología (nivel adecuado)]],PESOS!A$16:B$20,2,0)</f>
        <v>20</v>
      </c>
      <c r="W104" s="1"/>
      <c r="X104" s="1" t="s">
        <v>44</v>
      </c>
      <c r="Y104" s="22">
        <f>VLOOKUP(TablaCalificaciones[[#This Row],[Resultados y evidencia ]],PESOS!A$16:B$20,2,0)</f>
        <v>20</v>
      </c>
      <c r="Z104" s="1"/>
      <c r="AA104" s="1" t="s">
        <v>45</v>
      </c>
      <c r="AB104" s="22">
        <f>VLOOKUP(TablaCalificaciones[[#This Row],[Coherencia y manejo del tiempo]],PESOS!A$25:B$29,2,0)</f>
        <v>10</v>
      </c>
      <c r="AC104" s="1"/>
      <c r="AD104" s="1" t="s">
        <v>45</v>
      </c>
      <c r="AE104" s="22">
        <f>VLOOKUP(TablaCalificaciones[[#This Row],[Diapositivas como apoyo]],PESOS!A$25:B$29,2,0)</f>
        <v>10</v>
      </c>
      <c r="AF104" s="1"/>
      <c r="AG104" s="1" t="s">
        <v>45</v>
      </c>
      <c r="AH104" s="22">
        <f>VLOOKUP(TablaCalificaciones[[#This Row],[Respuestas a preguntas]],PESOS!A$25:B$29,2,0)</f>
        <v>10</v>
      </c>
      <c r="AI104" s="1"/>
      <c r="AJ104" s="1" t="s">
        <v>45</v>
      </c>
      <c r="AK104" s="22">
        <f>VLOOKUP(TablaCalificaciones[[#This Row],[Cierre: aporte a próximos pasos]],PESOS!A$25:B$29,2,0)</f>
        <v>10</v>
      </c>
      <c r="AL104" s="1"/>
      <c r="AM104" s="1"/>
    </row>
    <row r="105" spans="1:39">
      <c r="A105">
        <v>104</v>
      </c>
      <c r="B105" s="2">
        <v>46133.5329166667</v>
      </c>
      <c r="C105" s="2">
        <v>46133.536354166703</v>
      </c>
      <c r="D105" s="1" t="s">
        <v>69</v>
      </c>
      <c r="E105" s="1" t="s">
        <v>70</v>
      </c>
      <c r="G105" s="1"/>
      <c r="H105" s="2"/>
      <c r="I105" s="1" t="s">
        <v>41</v>
      </c>
      <c r="K105" s="1"/>
      <c r="L105" s="1" t="s">
        <v>71</v>
      </c>
      <c r="M105" s="26" t="str">
        <f>CONCATENATE(TablaCalificaciones[[#This Row],[Seleccione su nombre (Evaluador)]],TablaCalificaciones[[#This Row],[Seleccione el nombre del Estudiante]])</f>
        <v>Ana Belén Tulcanaza PrietoVillavicencio Quiñonez Alex Santiago</v>
      </c>
      <c r="N105" s="1"/>
      <c r="O105" s="1" t="s">
        <v>137</v>
      </c>
      <c r="Q105" s="1"/>
      <c r="R105" s="1" t="s">
        <v>44</v>
      </c>
      <c r="S105" s="22">
        <f>VLOOKUP(TablaCalificaciones[[#This Row],[Apertura: problema y objetivo ]],PESOS!A$16:B$20,2,0)</f>
        <v>20</v>
      </c>
      <c r="T105" s="1"/>
      <c r="U105" s="1" t="s">
        <v>44</v>
      </c>
      <c r="V105" s="22">
        <f>VLOOKUP(TablaCalificaciones[[#This Row],[Metodología (nivel adecuado)]],PESOS!A$16:B$20,2,0)</f>
        <v>20</v>
      </c>
      <c r="W105" s="1"/>
      <c r="X105" s="1" t="s">
        <v>44</v>
      </c>
      <c r="Y105" s="22">
        <f>VLOOKUP(TablaCalificaciones[[#This Row],[Resultados y evidencia ]],PESOS!A$16:B$20,2,0)</f>
        <v>20</v>
      </c>
      <c r="Z105" s="1"/>
      <c r="AA105" s="1" t="s">
        <v>45</v>
      </c>
      <c r="AB105" s="22">
        <f>VLOOKUP(TablaCalificaciones[[#This Row],[Coherencia y manejo del tiempo]],PESOS!A$25:B$29,2,0)</f>
        <v>10</v>
      </c>
      <c r="AC105" s="1"/>
      <c r="AD105" s="1" t="s">
        <v>45</v>
      </c>
      <c r="AE105" s="22">
        <f>VLOOKUP(TablaCalificaciones[[#This Row],[Diapositivas como apoyo]],PESOS!A$25:B$29,2,0)</f>
        <v>10</v>
      </c>
      <c r="AF105" s="1"/>
      <c r="AG105" s="1" t="s">
        <v>45</v>
      </c>
      <c r="AH105" s="22">
        <f>VLOOKUP(TablaCalificaciones[[#This Row],[Respuestas a preguntas]],PESOS!A$25:B$29,2,0)</f>
        <v>10</v>
      </c>
      <c r="AI105" s="1"/>
      <c r="AJ105" s="1" t="s">
        <v>45</v>
      </c>
      <c r="AK105" s="22">
        <f>VLOOKUP(TablaCalificaciones[[#This Row],[Cierre: aporte a próximos pasos]],PESOS!A$25:B$29,2,0)</f>
        <v>10</v>
      </c>
      <c r="AL105" s="1"/>
      <c r="AM105" s="1"/>
    </row>
    <row r="106" spans="1:39">
      <c r="A106">
        <v>105</v>
      </c>
      <c r="B106" s="2">
        <v>46133.5164351852</v>
      </c>
      <c r="C106" s="2">
        <v>46133.537210648203</v>
      </c>
      <c r="D106" s="1" t="s">
        <v>54</v>
      </c>
      <c r="E106" s="1" t="s">
        <v>55</v>
      </c>
      <c r="G106" s="1"/>
      <c r="H106" s="2"/>
      <c r="I106" s="1" t="s">
        <v>41</v>
      </c>
      <c r="K106" s="1"/>
      <c r="L106" s="1" t="s">
        <v>56</v>
      </c>
      <c r="M106" s="26" t="str">
        <f>CONCATENATE(TablaCalificaciones[[#This Row],[Seleccione su nombre (Evaluador)]],TablaCalificaciones[[#This Row],[Seleccione el nombre del Estudiante]])</f>
        <v>Marco Antonio Galarza CastilloGaleas Andino Marco Vinicio</v>
      </c>
      <c r="N106" s="1"/>
      <c r="O106" s="1" t="s">
        <v>138</v>
      </c>
      <c r="Q106" s="1"/>
      <c r="R106" s="1" t="s">
        <v>44</v>
      </c>
      <c r="S106" s="22">
        <f>VLOOKUP(TablaCalificaciones[[#This Row],[Apertura: problema y objetivo ]],PESOS!A$16:B$20,2,0)</f>
        <v>20</v>
      </c>
      <c r="T106" s="1"/>
      <c r="U106" s="1" t="s">
        <v>44</v>
      </c>
      <c r="V106" s="22">
        <f>VLOOKUP(TablaCalificaciones[[#This Row],[Metodología (nivel adecuado)]],PESOS!A$16:B$20,2,0)</f>
        <v>20</v>
      </c>
      <c r="W106" s="1"/>
      <c r="X106" s="1" t="s">
        <v>44</v>
      </c>
      <c r="Y106" s="22">
        <f>VLOOKUP(TablaCalificaciones[[#This Row],[Resultados y evidencia ]],PESOS!A$16:B$20,2,0)</f>
        <v>20</v>
      </c>
      <c r="Z106" s="1"/>
      <c r="AA106" s="1" t="s">
        <v>45</v>
      </c>
      <c r="AB106" s="22">
        <f>VLOOKUP(TablaCalificaciones[[#This Row],[Coherencia y manejo del tiempo]],PESOS!A$25:B$29,2,0)</f>
        <v>10</v>
      </c>
      <c r="AC106" s="1"/>
      <c r="AD106" s="1" t="s">
        <v>45</v>
      </c>
      <c r="AE106" s="22">
        <f>VLOOKUP(TablaCalificaciones[[#This Row],[Diapositivas como apoyo]],PESOS!A$25:B$29,2,0)</f>
        <v>10</v>
      </c>
      <c r="AF106" s="1"/>
      <c r="AG106" s="1" t="s">
        <v>45</v>
      </c>
      <c r="AH106" s="22">
        <f>VLOOKUP(TablaCalificaciones[[#This Row],[Respuestas a preguntas]],PESOS!A$25:B$29,2,0)</f>
        <v>10</v>
      </c>
      <c r="AI106" s="1"/>
      <c r="AJ106" s="1" t="s">
        <v>45</v>
      </c>
      <c r="AK106" s="22">
        <f>VLOOKUP(TablaCalificaciones[[#This Row],[Cierre: aporte a próximos pasos]],PESOS!A$25:B$29,2,0)</f>
        <v>10</v>
      </c>
      <c r="AL106" s="1"/>
      <c r="AM106" s="1"/>
    </row>
    <row r="107" spans="1:39">
      <c r="A107">
        <v>106</v>
      </c>
      <c r="B107" s="2">
        <v>46133.535891203697</v>
      </c>
      <c r="C107" s="2">
        <v>46133.537974537001</v>
      </c>
      <c r="D107" s="1" t="s">
        <v>93</v>
      </c>
      <c r="E107" s="1" t="s">
        <v>94</v>
      </c>
      <c r="G107" s="1"/>
      <c r="H107" s="2"/>
      <c r="I107" s="1" t="s">
        <v>41</v>
      </c>
      <c r="K107" s="1"/>
      <c r="L107" s="1" t="s">
        <v>95</v>
      </c>
      <c r="M107" s="26" t="str">
        <f>CONCATENATE(TablaCalificaciones[[#This Row],[Seleccione su nombre (Evaluador)]],TablaCalificaciones[[#This Row],[Seleccione el nombre del Estudiante]])</f>
        <v>Nelly Patricia Acosta VargasGaleas Andino Marco Vinicio</v>
      </c>
      <c r="N107" s="1"/>
      <c r="O107" s="1" t="s">
        <v>138</v>
      </c>
      <c r="Q107" s="1"/>
      <c r="R107" s="1" t="s">
        <v>44</v>
      </c>
      <c r="S107" s="22">
        <f>VLOOKUP(TablaCalificaciones[[#This Row],[Apertura: problema y objetivo ]],PESOS!A$16:B$20,2,0)</f>
        <v>20</v>
      </c>
      <c r="T107" s="1"/>
      <c r="U107" s="1" t="s">
        <v>44</v>
      </c>
      <c r="V107" s="22">
        <f>VLOOKUP(TablaCalificaciones[[#This Row],[Metodología (nivel adecuado)]],PESOS!A$16:B$20,2,0)</f>
        <v>20</v>
      </c>
      <c r="W107" s="1"/>
      <c r="X107" s="1" t="s">
        <v>44</v>
      </c>
      <c r="Y107" s="22">
        <f>VLOOKUP(TablaCalificaciones[[#This Row],[Resultados y evidencia ]],PESOS!A$16:B$20,2,0)</f>
        <v>20</v>
      </c>
      <c r="Z107" s="1"/>
      <c r="AA107" s="1" t="s">
        <v>45</v>
      </c>
      <c r="AB107" s="22">
        <f>VLOOKUP(TablaCalificaciones[[#This Row],[Coherencia y manejo del tiempo]],PESOS!A$25:B$29,2,0)</f>
        <v>10</v>
      </c>
      <c r="AC107" s="1"/>
      <c r="AD107" s="1" t="s">
        <v>45</v>
      </c>
      <c r="AE107" s="22">
        <f>VLOOKUP(TablaCalificaciones[[#This Row],[Diapositivas como apoyo]],PESOS!A$25:B$29,2,0)</f>
        <v>10</v>
      </c>
      <c r="AF107" s="1"/>
      <c r="AG107" s="1" t="s">
        <v>45</v>
      </c>
      <c r="AH107" s="22">
        <f>VLOOKUP(TablaCalificaciones[[#This Row],[Respuestas a preguntas]],PESOS!A$25:B$29,2,0)</f>
        <v>10</v>
      </c>
      <c r="AI107" s="1"/>
      <c r="AJ107" s="1" t="s">
        <v>45</v>
      </c>
      <c r="AK107" s="22">
        <f>VLOOKUP(TablaCalificaciones[[#This Row],[Cierre: aporte a próximos pasos]],PESOS!A$25:B$29,2,0)</f>
        <v>10</v>
      </c>
      <c r="AL107" s="1"/>
      <c r="AM107" s="1"/>
    </row>
    <row r="108" spans="1:39">
      <c r="A108">
        <v>107</v>
      </c>
      <c r="B108" s="2">
        <v>46133.542222222197</v>
      </c>
      <c r="C108" s="2">
        <v>46133.548125000001</v>
      </c>
      <c r="D108" s="1" t="s">
        <v>93</v>
      </c>
      <c r="E108" s="1" t="s">
        <v>94</v>
      </c>
      <c r="G108" s="1"/>
      <c r="H108" s="2"/>
      <c r="I108" s="1" t="s">
        <v>41</v>
      </c>
      <c r="K108" s="1"/>
      <c r="L108" s="1" t="s">
        <v>95</v>
      </c>
      <c r="M108" s="26" t="str">
        <f>CONCATENATE(TablaCalificaciones[[#This Row],[Seleccione su nombre (Evaluador)]],TablaCalificaciones[[#This Row],[Seleccione el nombre del Estudiante]])</f>
        <v>Nelly Patricia Acosta VargasCalderón Saravia Alex Javier</v>
      </c>
      <c r="N108" s="1"/>
      <c r="O108" s="1" t="s">
        <v>139</v>
      </c>
      <c r="Q108" s="1"/>
      <c r="R108" s="1" t="s">
        <v>44</v>
      </c>
      <c r="S108" s="22">
        <f>VLOOKUP(TablaCalificaciones[[#This Row],[Apertura: problema y objetivo ]],PESOS!A$16:B$20,2,0)</f>
        <v>20</v>
      </c>
      <c r="T108" s="1"/>
      <c r="U108" s="1" t="s">
        <v>44</v>
      </c>
      <c r="V108" s="22">
        <f>VLOOKUP(TablaCalificaciones[[#This Row],[Metodología (nivel adecuado)]],PESOS!A$16:B$20,2,0)</f>
        <v>20</v>
      </c>
      <c r="W108" s="1"/>
      <c r="X108" s="1" t="s">
        <v>44</v>
      </c>
      <c r="Y108" s="22">
        <f>VLOOKUP(TablaCalificaciones[[#This Row],[Resultados y evidencia ]],PESOS!A$16:B$20,2,0)</f>
        <v>20</v>
      </c>
      <c r="Z108" s="1"/>
      <c r="AA108" s="1" t="s">
        <v>45</v>
      </c>
      <c r="AB108" s="22">
        <f>VLOOKUP(TablaCalificaciones[[#This Row],[Coherencia y manejo del tiempo]],PESOS!A$25:B$29,2,0)</f>
        <v>10</v>
      </c>
      <c r="AC108" s="1"/>
      <c r="AD108" s="1" t="s">
        <v>45</v>
      </c>
      <c r="AE108" s="22">
        <f>VLOOKUP(TablaCalificaciones[[#This Row],[Diapositivas como apoyo]],PESOS!A$25:B$29,2,0)</f>
        <v>10</v>
      </c>
      <c r="AF108" s="1"/>
      <c r="AG108" s="1" t="s">
        <v>45</v>
      </c>
      <c r="AH108" s="22">
        <f>VLOOKUP(TablaCalificaciones[[#This Row],[Respuestas a preguntas]],PESOS!A$25:B$29,2,0)</f>
        <v>10</v>
      </c>
      <c r="AI108" s="1"/>
      <c r="AJ108" s="1" t="s">
        <v>45</v>
      </c>
      <c r="AK108" s="22">
        <f>VLOOKUP(TablaCalificaciones[[#This Row],[Cierre: aporte a próximos pasos]],PESOS!A$25:B$29,2,0)</f>
        <v>10</v>
      </c>
      <c r="AL108" s="1"/>
      <c r="AM108" s="1"/>
    </row>
    <row r="109" spans="1:39">
      <c r="A109">
        <v>108</v>
      </c>
      <c r="B109" s="2">
        <v>46133.548159722202</v>
      </c>
      <c r="C109" s="2">
        <v>46133.549062500002</v>
      </c>
      <c r="D109" s="1" t="s">
        <v>93</v>
      </c>
      <c r="E109" s="1" t="s">
        <v>94</v>
      </c>
      <c r="G109" s="1"/>
      <c r="H109" s="2"/>
      <c r="I109" s="1" t="s">
        <v>41</v>
      </c>
      <c r="K109" s="1"/>
      <c r="L109" s="1" t="s">
        <v>95</v>
      </c>
      <c r="M109" s="26" t="str">
        <f>CONCATENATE(TablaCalificaciones[[#This Row],[Seleccione su nombre (Evaluador)]],TablaCalificaciones[[#This Row],[Seleccione el nombre del Estudiante]])</f>
        <v>Nelly Patricia Acosta VargasLincango Ninahualpa Pablo Andrés</v>
      </c>
      <c r="N109" s="1"/>
      <c r="O109" s="1" t="s">
        <v>140</v>
      </c>
      <c r="Q109" s="1"/>
      <c r="R109" s="1" t="s">
        <v>44</v>
      </c>
      <c r="S109" s="22">
        <f>VLOOKUP(TablaCalificaciones[[#This Row],[Apertura: problema y objetivo ]],PESOS!A$16:B$20,2,0)</f>
        <v>20</v>
      </c>
      <c r="T109" s="1"/>
      <c r="U109" s="1" t="s">
        <v>44</v>
      </c>
      <c r="V109" s="22">
        <f>VLOOKUP(TablaCalificaciones[[#This Row],[Metodología (nivel adecuado)]],PESOS!A$16:B$20,2,0)</f>
        <v>20</v>
      </c>
      <c r="W109" s="1"/>
      <c r="X109" s="1" t="s">
        <v>44</v>
      </c>
      <c r="Y109" s="22">
        <f>VLOOKUP(TablaCalificaciones[[#This Row],[Resultados y evidencia ]],PESOS!A$16:B$20,2,0)</f>
        <v>20</v>
      </c>
      <c r="Z109" s="1"/>
      <c r="AA109" s="1" t="s">
        <v>45</v>
      </c>
      <c r="AB109" s="22">
        <f>VLOOKUP(TablaCalificaciones[[#This Row],[Coherencia y manejo del tiempo]],PESOS!A$25:B$29,2,0)</f>
        <v>10</v>
      </c>
      <c r="AC109" s="1"/>
      <c r="AD109" s="1" t="s">
        <v>45</v>
      </c>
      <c r="AE109" s="22">
        <f>VLOOKUP(TablaCalificaciones[[#This Row],[Diapositivas como apoyo]],PESOS!A$25:B$29,2,0)</f>
        <v>10</v>
      </c>
      <c r="AF109" s="1"/>
      <c r="AG109" s="1" t="s">
        <v>45</v>
      </c>
      <c r="AH109" s="22">
        <f>VLOOKUP(TablaCalificaciones[[#This Row],[Respuestas a preguntas]],PESOS!A$25:B$29,2,0)</f>
        <v>10</v>
      </c>
      <c r="AI109" s="1"/>
      <c r="AJ109" s="1" t="s">
        <v>45</v>
      </c>
      <c r="AK109" s="22">
        <f>VLOOKUP(TablaCalificaciones[[#This Row],[Cierre: aporte a próximos pasos]],PESOS!A$25:B$29,2,0)</f>
        <v>10</v>
      </c>
      <c r="AL109" s="1"/>
      <c r="AM109" s="1"/>
    </row>
    <row r="110" spans="1:39">
      <c r="A110">
        <v>109</v>
      </c>
      <c r="B110" s="2">
        <v>46133.549131944397</v>
      </c>
      <c r="C110" s="2">
        <v>46133.552662037</v>
      </c>
      <c r="D110" s="1" t="s">
        <v>93</v>
      </c>
      <c r="E110" s="1" t="s">
        <v>94</v>
      </c>
      <c r="G110" s="1"/>
      <c r="H110" s="2"/>
      <c r="I110" s="1" t="s">
        <v>41</v>
      </c>
      <c r="K110" s="1"/>
      <c r="L110" s="1" t="s">
        <v>95</v>
      </c>
      <c r="M110" s="26" t="str">
        <f>CONCATENATE(TablaCalificaciones[[#This Row],[Seleccione su nombre (Evaluador)]],TablaCalificaciones[[#This Row],[Seleccione el nombre del Estudiante]])</f>
        <v>Nelly Patricia Acosta VargasCabrera Santamaría Jimena Marcela</v>
      </c>
      <c r="N110" s="1"/>
      <c r="O110" s="1" t="s">
        <v>141</v>
      </c>
      <c r="Q110" s="1"/>
      <c r="R110" s="1" t="s">
        <v>44</v>
      </c>
      <c r="S110" s="22">
        <f>VLOOKUP(TablaCalificaciones[[#This Row],[Apertura: problema y objetivo ]],PESOS!A$16:B$20,2,0)</f>
        <v>20</v>
      </c>
      <c r="T110" s="1"/>
      <c r="U110" s="1" t="s">
        <v>44</v>
      </c>
      <c r="V110" s="22">
        <f>VLOOKUP(TablaCalificaciones[[#This Row],[Metodología (nivel adecuado)]],PESOS!A$16:B$20,2,0)</f>
        <v>20</v>
      </c>
      <c r="W110" s="1"/>
      <c r="X110" s="1" t="s">
        <v>44</v>
      </c>
      <c r="Y110" s="22">
        <f>VLOOKUP(TablaCalificaciones[[#This Row],[Resultados y evidencia ]],PESOS!A$16:B$20,2,0)</f>
        <v>20</v>
      </c>
      <c r="Z110" s="1"/>
      <c r="AA110" s="1" t="s">
        <v>45</v>
      </c>
      <c r="AB110" s="22">
        <f>VLOOKUP(TablaCalificaciones[[#This Row],[Coherencia y manejo del tiempo]],PESOS!A$25:B$29,2,0)</f>
        <v>10</v>
      </c>
      <c r="AC110" s="1"/>
      <c r="AD110" s="1" t="s">
        <v>45</v>
      </c>
      <c r="AE110" s="22">
        <f>VLOOKUP(TablaCalificaciones[[#This Row],[Diapositivas como apoyo]],PESOS!A$25:B$29,2,0)</f>
        <v>10</v>
      </c>
      <c r="AF110" s="1"/>
      <c r="AG110" s="1" t="s">
        <v>45</v>
      </c>
      <c r="AH110" s="22">
        <f>VLOOKUP(TablaCalificaciones[[#This Row],[Respuestas a preguntas]],PESOS!A$25:B$29,2,0)</f>
        <v>10</v>
      </c>
      <c r="AI110" s="1"/>
      <c r="AJ110" s="1" t="s">
        <v>45</v>
      </c>
      <c r="AK110" s="22">
        <f>VLOOKUP(TablaCalificaciones[[#This Row],[Cierre: aporte a próximos pasos]],PESOS!A$25:B$29,2,0)</f>
        <v>10</v>
      </c>
      <c r="AL110" s="1"/>
      <c r="AM110" s="1"/>
    </row>
    <row r="111" spans="1:39">
      <c r="A111">
        <v>110</v>
      </c>
      <c r="B111" s="2">
        <v>46133.537789351903</v>
      </c>
      <c r="C111" s="2">
        <v>46133.559166666702</v>
      </c>
      <c r="D111" s="1" t="s">
        <v>59</v>
      </c>
      <c r="E111" s="1" t="s">
        <v>60</v>
      </c>
      <c r="G111" s="1"/>
      <c r="H111" s="2"/>
      <c r="I111" s="1" t="s">
        <v>41</v>
      </c>
      <c r="K111" s="1"/>
      <c r="L111" s="1" t="s">
        <v>60</v>
      </c>
      <c r="M111" s="26" t="str">
        <f>CONCATENATE(TablaCalificaciones[[#This Row],[Seleccione su nombre (Evaluador)]],TablaCalificaciones[[#This Row],[Seleccione el nombre del Estudiante]])</f>
        <v>Santiago Leonardo SolórzanoBeltrán Basantes Oscar Omar</v>
      </c>
      <c r="N111" s="1"/>
      <c r="O111" s="1" t="s">
        <v>142</v>
      </c>
      <c r="Q111" s="1"/>
      <c r="R111" s="1" t="s">
        <v>44</v>
      </c>
      <c r="S111" s="22">
        <f>VLOOKUP(TablaCalificaciones[[#This Row],[Apertura: problema y objetivo ]],PESOS!A$16:B$20,2,0)</f>
        <v>20</v>
      </c>
      <c r="T111" s="1"/>
      <c r="U111" s="1" t="s">
        <v>44</v>
      </c>
      <c r="V111" s="22">
        <f>VLOOKUP(TablaCalificaciones[[#This Row],[Metodología (nivel adecuado)]],PESOS!A$16:B$20,2,0)</f>
        <v>20</v>
      </c>
      <c r="W111" s="1"/>
      <c r="X111" s="1" t="s">
        <v>44</v>
      </c>
      <c r="Y111" s="22">
        <f>VLOOKUP(TablaCalificaciones[[#This Row],[Resultados y evidencia ]],PESOS!A$16:B$20,2,0)</f>
        <v>20</v>
      </c>
      <c r="Z111" s="1"/>
      <c r="AA111" s="1" t="s">
        <v>45</v>
      </c>
      <c r="AB111" s="22">
        <f>VLOOKUP(TablaCalificaciones[[#This Row],[Coherencia y manejo del tiempo]],PESOS!A$25:B$29,2,0)</f>
        <v>10</v>
      </c>
      <c r="AC111" s="1"/>
      <c r="AD111" s="1" t="s">
        <v>45</v>
      </c>
      <c r="AE111" s="22">
        <f>VLOOKUP(TablaCalificaciones[[#This Row],[Diapositivas como apoyo]],PESOS!A$25:B$29,2,0)</f>
        <v>10</v>
      </c>
      <c r="AF111" s="1"/>
      <c r="AG111" s="1" t="s">
        <v>45</v>
      </c>
      <c r="AH111" s="22">
        <f>VLOOKUP(TablaCalificaciones[[#This Row],[Respuestas a preguntas]],PESOS!A$25:B$29,2,0)</f>
        <v>10</v>
      </c>
      <c r="AI111" s="1"/>
      <c r="AJ111" s="1" t="s">
        <v>45</v>
      </c>
      <c r="AK111" s="22">
        <f>VLOOKUP(TablaCalificaciones[[#This Row],[Cierre: aporte a próximos pasos]],PESOS!A$25:B$29,2,0)</f>
        <v>10</v>
      </c>
      <c r="AL111" s="1"/>
      <c r="AM111" s="1"/>
    </row>
    <row r="112" spans="1:39">
      <c r="A112">
        <v>111</v>
      </c>
      <c r="B112" s="2">
        <v>46133.537812499999</v>
      </c>
      <c r="C112" s="2">
        <v>46133.559201388904</v>
      </c>
      <c r="D112" s="1" t="s">
        <v>59</v>
      </c>
      <c r="E112" s="1" t="s">
        <v>60</v>
      </c>
      <c r="G112" s="1"/>
      <c r="H112" s="2"/>
      <c r="I112" s="1" t="s">
        <v>41</v>
      </c>
      <c r="K112" s="1"/>
      <c r="L112" s="1" t="s">
        <v>60</v>
      </c>
      <c r="M112" s="26" t="str">
        <f>CONCATENATE(TablaCalificaciones[[#This Row],[Seleccione su nombre (Evaluador)]],TablaCalificaciones[[#This Row],[Seleccione el nombre del Estudiante]])</f>
        <v>Santiago Leonardo SolórzanoPazmiño Carrera Sonia Lucia</v>
      </c>
      <c r="N112" s="1"/>
      <c r="O112" s="1" t="s">
        <v>143</v>
      </c>
      <c r="Q112" s="1"/>
      <c r="R112" s="1" t="s">
        <v>44</v>
      </c>
      <c r="S112" s="22">
        <f>VLOOKUP(TablaCalificaciones[[#This Row],[Apertura: problema y objetivo ]],PESOS!A$16:B$20,2,0)</f>
        <v>20</v>
      </c>
      <c r="T112" s="1"/>
      <c r="U112" s="1" t="s">
        <v>44</v>
      </c>
      <c r="V112" s="22">
        <f>VLOOKUP(TablaCalificaciones[[#This Row],[Metodología (nivel adecuado)]],PESOS!A$16:B$20,2,0)</f>
        <v>20</v>
      </c>
      <c r="W112" s="1"/>
      <c r="X112" s="1" t="s">
        <v>44</v>
      </c>
      <c r="Y112" s="22">
        <f>VLOOKUP(TablaCalificaciones[[#This Row],[Resultados y evidencia ]],PESOS!A$16:B$20,2,0)</f>
        <v>20</v>
      </c>
      <c r="Z112" s="1"/>
      <c r="AA112" s="1" t="s">
        <v>45</v>
      </c>
      <c r="AB112" s="22">
        <f>VLOOKUP(TablaCalificaciones[[#This Row],[Coherencia y manejo del tiempo]],PESOS!A$25:B$29,2,0)</f>
        <v>10</v>
      </c>
      <c r="AC112" s="1"/>
      <c r="AD112" s="1" t="s">
        <v>45</v>
      </c>
      <c r="AE112" s="22">
        <f>VLOOKUP(TablaCalificaciones[[#This Row],[Diapositivas como apoyo]],PESOS!A$25:B$29,2,0)</f>
        <v>10</v>
      </c>
      <c r="AF112" s="1"/>
      <c r="AG112" s="1" t="s">
        <v>45</v>
      </c>
      <c r="AH112" s="22">
        <f>VLOOKUP(TablaCalificaciones[[#This Row],[Respuestas a preguntas]],PESOS!A$25:B$29,2,0)</f>
        <v>10</v>
      </c>
      <c r="AI112" s="1"/>
      <c r="AJ112" s="1" t="s">
        <v>45</v>
      </c>
      <c r="AK112" s="22">
        <f>VLOOKUP(TablaCalificaciones[[#This Row],[Cierre: aporte a próximos pasos]],PESOS!A$25:B$29,2,0)</f>
        <v>10</v>
      </c>
      <c r="AL112" s="1"/>
      <c r="AM112" s="1"/>
    </row>
    <row r="113" spans="1:39">
      <c r="A113">
        <v>112</v>
      </c>
      <c r="B113" s="2">
        <v>46133.559664351902</v>
      </c>
      <c r="C113" s="2">
        <v>46133.560335648101</v>
      </c>
      <c r="D113" s="1" t="s">
        <v>39</v>
      </c>
      <c r="E113" s="1" t="s">
        <v>40</v>
      </c>
      <c r="G113" s="1"/>
      <c r="H113" s="2"/>
      <c r="I113" s="1" t="s">
        <v>41</v>
      </c>
      <c r="K113" s="1"/>
      <c r="L113" s="1" t="s">
        <v>42</v>
      </c>
      <c r="M113" s="26" t="str">
        <f>CONCATENATE(TablaCalificaciones[[#This Row],[Seleccione su nombre (Evaluador)]],TablaCalificaciones[[#This Row],[Seleccione el nombre del Estudiante]])</f>
        <v>Patricio David PonceLincango Ninahualpa Pablo Andrés</v>
      </c>
      <c r="N113" s="1"/>
      <c r="O113" s="1" t="s">
        <v>140</v>
      </c>
      <c r="Q113" s="1"/>
      <c r="R113" s="1" t="s">
        <v>44</v>
      </c>
      <c r="S113" s="22">
        <f>VLOOKUP(TablaCalificaciones[[#This Row],[Apertura: problema y objetivo ]],PESOS!A$16:B$20,2,0)</f>
        <v>20</v>
      </c>
      <c r="T113" s="1"/>
      <c r="U113" s="1" t="s">
        <v>44</v>
      </c>
      <c r="V113" s="22">
        <f>VLOOKUP(TablaCalificaciones[[#This Row],[Metodología (nivel adecuado)]],PESOS!A$16:B$20,2,0)</f>
        <v>20</v>
      </c>
      <c r="W113" s="1"/>
      <c r="X113" s="1" t="s">
        <v>44</v>
      </c>
      <c r="Y113" s="22">
        <f>VLOOKUP(TablaCalificaciones[[#This Row],[Resultados y evidencia ]],PESOS!A$16:B$20,2,0)</f>
        <v>20</v>
      </c>
      <c r="Z113" s="1"/>
      <c r="AA113" s="1" t="s">
        <v>45</v>
      </c>
      <c r="AB113" s="22">
        <f>VLOOKUP(TablaCalificaciones[[#This Row],[Coherencia y manejo del tiempo]],PESOS!A$25:B$29,2,0)</f>
        <v>10</v>
      </c>
      <c r="AC113" s="1"/>
      <c r="AD113" s="1" t="s">
        <v>51</v>
      </c>
      <c r="AE113" s="22">
        <f>VLOOKUP(TablaCalificaciones[[#This Row],[Diapositivas como apoyo]],PESOS!A$25:B$29,2,0)</f>
        <v>8</v>
      </c>
      <c r="AF113" s="1"/>
      <c r="AG113" s="1" t="s">
        <v>51</v>
      </c>
      <c r="AH113" s="22">
        <f>VLOOKUP(TablaCalificaciones[[#This Row],[Respuestas a preguntas]],PESOS!A$25:B$29,2,0)</f>
        <v>8</v>
      </c>
      <c r="AI113" s="1"/>
      <c r="AJ113" s="1" t="s">
        <v>45</v>
      </c>
      <c r="AK113" s="22">
        <f>VLOOKUP(TablaCalificaciones[[#This Row],[Cierre: aporte a próximos pasos]],PESOS!A$25:B$29,2,0)</f>
        <v>10</v>
      </c>
      <c r="AL113" s="1"/>
      <c r="AM113" s="1"/>
    </row>
    <row r="114" spans="1:39">
      <c r="A114">
        <v>113</v>
      </c>
      <c r="B114" s="2">
        <v>46133.560358796298</v>
      </c>
      <c r="C114" s="2">
        <v>46133.560821759304</v>
      </c>
      <c r="D114" s="1" t="s">
        <v>39</v>
      </c>
      <c r="E114" s="1" t="s">
        <v>40</v>
      </c>
      <c r="G114" s="1"/>
      <c r="H114" s="2"/>
      <c r="I114" s="1" t="s">
        <v>41</v>
      </c>
      <c r="K114" s="1"/>
      <c r="L114" s="1" t="s">
        <v>42</v>
      </c>
      <c r="M114" s="26" t="str">
        <f>CONCATENATE(TablaCalificaciones[[#This Row],[Seleccione su nombre (Evaluador)]],TablaCalificaciones[[#This Row],[Seleccione el nombre del Estudiante]])</f>
        <v>Patricio David PonceCabrera Santamaría Jimena Marcela</v>
      </c>
      <c r="N114" s="1"/>
      <c r="O114" s="1" t="s">
        <v>141</v>
      </c>
      <c r="Q114" s="1"/>
      <c r="R114" s="1" t="s">
        <v>44</v>
      </c>
      <c r="S114" s="22">
        <f>VLOOKUP(TablaCalificaciones[[#This Row],[Apertura: problema y objetivo ]],PESOS!A$16:B$20,2,0)</f>
        <v>20</v>
      </c>
      <c r="T114" s="1"/>
      <c r="U114" s="1" t="s">
        <v>44</v>
      </c>
      <c r="V114" s="22">
        <f>VLOOKUP(TablaCalificaciones[[#This Row],[Metodología (nivel adecuado)]],PESOS!A$16:B$20,2,0)</f>
        <v>20</v>
      </c>
      <c r="W114" s="1"/>
      <c r="X114" s="1" t="s">
        <v>44</v>
      </c>
      <c r="Y114" s="22">
        <f>VLOOKUP(TablaCalificaciones[[#This Row],[Resultados y evidencia ]],PESOS!A$16:B$20,2,0)</f>
        <v>20</v>
      </c>
      <c r="Z114" s="1"/>
      <c r="AA114" s="1" t="s">
        <v>45</v>
      </c>
      <c r="AB114" s="22">
        <f>VLOOKUP(TablaCalificaciones[[#This Row],[Coherencia y manejo del tiempo]],PESOS!A$25:B$29,2,0)</f>
        <v>10</v>
      </c>
      <c r="AC114" s="1"/>
      <c r="AD114" s="1" t="s">
        <v>51</v>
      </c>
      <c r="AE114" s="22">
        <f>VLOOKUP(TablaCalificaciones[[#This Row],[Diapositivas como apoyo]],PESOS!A$25:B$29,2,0)</f>
        <v>8</v>
      </c>
      <c r="AF114" s="1"/>
      <c r="AG114" s="1" t="s">
        <v>51</v>
      </c>
      <c r="AH114" s="22">
        <f>VLOOKUP(TablaCalificaciones[[#This Row],[Respuestas a preguntas]],PESOS!A$25:B$29,2,0)</f>
        <v>8</v>
      </c>
      <c r="AI114" s="1"/>
      <c r="AJ114" s="1" t="s">
        <v>45</v>
      </c>
      <c r="AK114" s="22">
        <f>VLOOKUP(TablaCalificaciones[[#This Row],[Cierre: aporte a próximos pasos]],PESOS!A$25:B$29,2,0)</f>
        <v>10</v>
      </c>
      <c r="AL114" s="1"/>
      <c r="AM114" s="1"/>
    </row>
    <row r="115" spans="1:39">
      <c r="A115">
        <v>114</v>
      </c>
      <c r="B115" s="2">
        <v>46133.5608333333</v>
      </c>
      <c r="C115" s="2">
        <v>46133.561157407399</v>
      </c>
      <c r="D115" s="1" t="s">
        <v>39</v>
      </c>
      <c r="E115" s="1" t="s">
        <v>40</v>
      </c>
      <c r="G115" s="1"/>
      <c r="H115" s="2"/>
      <c r="I115" s="1" t="s">
        <v>41</v>
      </c>
      <c r="K115" s="1"/>
      <c r="L115" s="1" t="s">
        <v>42</v>
      </c>
      <c r="M115" s="26" t="str">
        <f>CONCATENATE(TablaCalificaciones[[#This Row],[Seleccione su nombre (Evaluador)]],TablaCalificaciones[[#This Row],[Seleccione el nombre del Estudiante]])</f>
        <v>Patricio David PonceCalderón Saravia Alex Javier</v>
      </c>
      <c r="N115" s="1"/>
      <c r="O115" s="1" t="s">
        <v>139</v>
      </c>
      <c r="Q115" s="1"/>
      <c r="R115" s="1" t="s">
        <v>44</v>
      </c>
      <c r="S115" s="22">
        <f>VLOOKUP(TablaCalificaciones[[#This Row],[Apertura: problema y objetivo ]],PESOS!A$16:B$20,2,0)</f>
        <v>20</v>
      </c>
      <c r="T115" s="1"/>
      <c r="U115" s="1" t="s">
        <v>44</v>
      </c>
      <c r="V115" s="22">
        <f>VLOOKUP(TablaCalificaciones[[#This Row],[Metodología (nivel adecuado)]],PESOS!A$16:B$20,2,0)</f>
        <v>20</v>
      </c>
      <c r="W115" s="1"/>
      <c r="X115" s="1" t="s">
        <v>44</v>
      </c>
      <c r="Y115" s="22">
        <f>VLOOKUP(TablaCalificaciones[[#This Row],[Resultados y evidencia ]],PESOS!A$16:B$20,2,0)</f>
        <v>20</v>
      </c>
      <c r="Z115" s="1"/>
      <c r="AA115" s="1" t="s">
        <v>45</v>
      </c>
      <c r="AB115" s="22">
        <f>VLOOKUP(TablaCalificaciones[[#This Row],[Coherencia y manejo del tiempo]],PESOS!A$25:B$29,2,0)</f>
        <v>10</v>
      </c>
      <c r="AC115" s="1"/>
      <c r="AD115" s="1" t="s">
        <v>51</v>
      </c>
      <c r="AE115" s="22">
        <f>VLOOKUP(TablaCalificaciones[[#This Row],[Diapositivas como apoyo]],PESOS!A$25:B$29,2,0)</f>
        <v>8</v>
      </c>
      <c r="AF115" s="1"/>
      <c r="AG115" s="1" t="s">
        <v>51</v>
      </c>
      <c r="AH115" s="22">
        <f>VLOOKUP(TablaCalificaciones[[#This Row],[Respuestas a preguntas]],PESOS!A$25:B$29,2,0)</f>
        <v>8</v>
      </c>
      <c r="AI115" s="1"/>
      <c r="AJ115" s="1" t="s">
        <v>45</v>
      </c>
      <c r="AK115" s="22">
        <f>VLOOKUP(TablaCalificaciones[[#This Row],[Cierre: aporte a próximos pasos]],PESOS!A$25:B$29,2,0)</f>
        <v>10</v>
      </c>
      <c r="AL115" s="1"/>
      <c r="AM115" s="1"/>
    </row>
    <row r="116" spans="1:39">
      <c r="A116">
        <v>115</v>
      </c>
      <c r="B116" s="2">
        <v>46133.5624537037</v>
      </c>
      <c r="C116" s="2">
        <v>46133.563252314802</v>
      </c>
      <c r="D116" s="1" t="s">
        <v>87</v>
      </c>
      <c r="E116" s="1" t="s">
        <v>88</v>
      </c>
      <c r="G116" s="1"/>
      <c r="H116" s="2"/>
      <c r="I116" s="1" t="s">
        <v>41</v>
      </c>
      <c r="K116" s="1"/>
      <c r="L116" s="1" t="s">
        <v>88</v>
      </c>
      <c r="M116" s="26" t="str">
        <f>CONCATENATE(TablaCalificaciones[[#This Row],[Seleccione su nombre (Evaluador)]],TablaCalificaciones[[#This Row],[Seleccione el nombre del Estudiante]])</f>
        <v>Ana María Pazmiño DelgadoPazmiño Carrera Sonia Lucia</v>
      </c>
      <c r="N116" s="1"/>
      <c r="O116" s="1" t="s">
        <v>143</v>
      </c>
      <c r="Q116" s="1"/>
      <c r="R116" s="1" t="s">
        <v>44</v>
      </c>
      <c r="S116" s="22">
        <f>VLOOKUP(TablaCalificaciones[[#This Row],[Apertura: problema y objetivo ]],PESOS!A$16:B$20,2,0)</f>
        <v>20</v>
      </c>
      <c r="T116" s="1"/>
      <c r="U116" s="1" t="s">
        <v>44</v>
      </c>
      <c r="V116" s="22">
        <f>VLOOKUP(TablaCalificaciones[[#This Row],[Metodología (nivel adecuado)]],PESOS!A$16:B$20,2,0)</f>
        <v>20</v>
      </c>
      <c r="W116" s="1"/>
      <c r="X116" s="1" t="s">
        <v>44</v>
      </c>
      <c r="Y116" s="22">
        <f>VLOOKUP(TablaCalificaciones[[#This Row],[Resultados y evidencia ]],PESOS!A$16:B$20,2,0)</f>
        <v>20</v>
      </c>
      <c r="Z116" s="1"/>
      <c r="AA116" s="1" t="s">
        <v>45</v>
      </c>
      <c r="AB116" s="22">
        <f>VLOOKUP(TablaCalificaciones[[#This Row],[Coherencia y manejo del tiempo]],PESOS!A$25:B$29,2,0)</f>
        <v>10</v>
      </c>
      <c r="AC116" s="1"/>
      <c r="AD116" s="1" t="s">
        <v>45</v>
      </c>
      <c r="AE116" s="22">
        <f>VLOOKUP(TablaCalificaciones[[#This Row],[Diapositivas como apoyo]],PESOS!A$25:B$29,2,0)</f>
        <v>10</v>
      </c>
      <c r="AF116" s="1"/>
      <c r="AG116" s="1" t="s">
        <v>51</v>
      </c>
      <c r="AH116" s="22">
        <f>VLOOKUP(TablaCalificaciones[[#This Row],[Respuestas a preguntas]],PESOS!A$25:B$29,2,0)</f>
        <v>8</v>
      </c>
      <c r="AI116" s="1"/>
      <c r="AJ116" s="1" t="s">
        <v>45</v>
      </c>
      <c r="AK116" s="22">
        <f>VLOOKUP(TablaCalificaciones[[#This Row],[Cierre: aporte a próximos pasos]],PESOS!A$25:B$29,2,0)</f>
        <v>10</v>
      </c>
      <c r="AL116" s="1"/>
      <c r="AM116" s="1"/>
    </row>
    <row r="117" spans="1:39">
      <c r="A117">
        <v>116</v>
      </c>
      <c r="B117" s="2">
        <v>46133.563460648104</v>
      </c>
      <c r="C117" s="2">
        <v>46133.563796296301</v>
      </c>
      <c r="D117" s="1" t="s">
        <v>87</v>
      </c>
      <c r="E117" s="1" t="s">
        <v>88</v>
      </c>
      <c r="G117" s="1"/>
      <c r="H117" s="2"/>
      <c r="I117" s="1" t="s">
        <v>41</v>
      </c>
      <c r="K117" s="1"/>
      <c r="L117" s="1" t="s">
        <v>88</v>
      </c>
      <c r="M117" s="26" t="str">
        <f>CONCATENATE(TablaCalificaciones[[#This Row],[Seleccione su nombre (Evaluador)]],TablaCalificaciones[[#This Row],[Seleccione el nombre del Estudiante]])</f>
        <v>Ana María Pazmiño DelgadoBeltrán Basantes Oscar Omar</v>
      </c>
      <c r="N117" s="1"/>
      <c r="O117" s="1" t="s">
        <v>142</v>
      </c>
      <c r="Q117" s="1"/>
      <c r="R117" s="1" t="s">
        <v>44</v>
      </c>
      <c r="S117" s="22">
        <f>VLOOKUP(TablaCalificaciones[[#This Row],[Apertura: problema y objetivo ]],PESOS!A$16:B$20,2,0)</f>
        <v>20</v>
      </c>
      <c r="T117" s="1"/>
      <c r="U117" s="1" t="s">
        <v>44</v>
      </c>
      <c r="V117" s="22">
        <f>VLOOKUP(TablaCalificaciones[[#This Row],[Metodología (nivel adecuado)]],PESOS!A$16:B$20,2,0)</f>
        <v>20</v>
      </c>
      <c r="W117" s="1"/>
      <c r="X117" s="1" t="s">
        <v>44</v>
      </c>
      <c r="Y117" s="22">
        <f>VLOOKUP(TablaCalificaciones[[#This Row],[Resultados y evidencia ]],PESOS!A$16:B$20,2,0)</f>
        <v>20</v>
      </c>
      <c r="Z117" s="1"/>
      <c r="AA117" s="1" t="s">
        <v>45</v>
      </c>
      <c r="AB117" s="22">
        <f>VLOOKUP(TablaCalificaciones[[#This Row],[Coherencia y manejo del tiempo]],PESOS!A$25:B$29,2,0)</f>
        <v>10</v>
      </c>
      <c r="AC117" s="1"/>
      <c r="AD117" s="1" t="s">
        <v>45</v>
      </c>
      <c r="AE117" s="22">
        <f>VLOOKUP(TablaCalificaciones[[#This Row],[Diapositivas como apoyo]],PESOS!A$25:B$29,2,0)</f>
        <v>10</v>
      </c>
      <c r="AF117" s="1"/>
      <c r="AG117" s="1" t="s">
        <v>51</v>
      </c>
      <c r="AH117" s="22">
        <f>VLOOKUP(TablaCalificaciones[[#This Row],[Respuestas a preguntas]],PESOS!A$25:B$29,2,0)</f>
        <v>8</v>
      </c>
      <c r="AI117" s="1"/>
      <c r="AJ117" s="1" t="s">
        <v>45</v>
      </c>
      <c r="AK117" s="22">
        <f>VLOOKUP(TablaCalificaciones[[#This Row],[Cierre: aporte a próximos pasos]],PESOS!A$25:B$29,2,0)</f>
        <v>10</v>
      </c>
      <c r="AL117" s="1"/>
      <c r="AM117" s="1"/>
    </row>
    <row r="118" spans="1:39">
      <c r="A118">
        <v>117</v>
      </c>
      <c r="B118" s="2">
        <v>46133.560393518499</v>
      </c>
      <c r="C118" s="2">
        <v>46133.565069444398</v>
      </c>
      <c r="D118" s="1" t="s">
        <v>66</v>
      </c>
      <c r="E118" s="1" t="s">
        <v>67</v>
      </c>
      <c r="G118" s="1"/>
      <c r="H118" s="2"/>
      <c r="I118" s="1" t="s">
        <v>41</v>
      </c>
      <c r="K118" s="1"/>
      <c r="L118" s="1" t="s">
        <v>67</v>
      </c>
      <c r="M118" s="26" t="str">
        <f>CONCATENATE(TablaCalificaciones[[#This Row],[Seleccione su nombre (Evaluador)]],TablaCalificaciones[[#This Row],[Seleccione el nombre del Estudiante]])</f>
        <v>Hugo Fernando Chimbo AcostaCabrera Santamaría Jimena Marcela</v>
      </c>
      <c r="N118" s="1"/>
      <c r="O118" s="1" t="s">
        <v>141</v>
      </c>
      <c r="Q118" s="1"/>
      <c r="R118" s="1" t="s">
        <v>50</v>
      </c>
      <c r="S118" s="22">
        <f>VLOOKUP(TablaCalificaciones[[#This Row],[Apertura: problema y objetivo ]],PESOS!A$16:B$20,2,0)</f>
        <v>16</v>
      </c>
      <c r="T118" s="1"/>
      <c r="U118" s="1" t="s">
        <v>50</v>
      </c>
      <c r="V118" s="22">
        <f>VLOOKUP(TablaCalificaciones[[#This Row],[Metodología (nivel adecuado)]],PESOS!A$16:B$20,2,0)</f>
        <v>16</v>
      </c>
      <c r="W118" s="1"/>
      <c r="X118" s="1" t="s">
        <v>50</v>
      </c>
      <c r="Y118" s="22">
        <f>VLOOKUP(TablaCalificaciones[[#This Row],[Resultados y evidencia ]],PESOS!A$16:B$20,2,0)</f>
        <v>16</v>
      </c>
      <c r="Z118" s="1"/>
      <c r="AA118" s="1" t="s">
        <v>45</v>
      </c>
      <c r="AB118" s="22">
        <f>VLOOKUP(TablaCalificaciones[[#This Row],[Coherencia y manejo del tiempo]],PESOS!A$25:B$29,2,0)</f>
        <v>10</v>
      </c>
      <c r="AC118" s="1"/>
      <c r="AD118" s="1" t="s">
        <v>45</v>
      </c>
      <c r="AE118" s="22">
        <f>VLOOKUP(TablaCalificaciones[[#This Row],[Diapositivas como apoyo]],PESOS!A$25:B$29,2,0)</f>
        <v>10</v>
      </c>
      <c r="AF118" s="1"/>
      <c r="AG118" s="1" t="s">
        <v>45</v>
      </c>
      <c r="AH118" s="22">
        <f>VLOOKUP(TablaCalificaciones[[#This Row],[Respuestas a preguntas]],PESOS!A$25:B$29,2,0)</f>
        <v>10</v>
      </c>
      <c r="AI118" s="1"/>
      <c r="AJ118" s="1" t="s">
        <v>51</v>
      </c>
      <c r="AK118" s="22">
        <f>VLOOKUP(TablaCalificaciones[[#This Row],[Cierre: aporte a próximos pasos]],PESOS!A$25:B$29,2,0)</f>
        <v>8</v>
      </c>
      <c r="AL118" s="1"/>
      <c r="AM118" s="1"/>
    </row>
    <row r="119" spans="1:39">
      <c r="A119">
        <v>118</v>
      </c>
      <c r="B119" s="2">
        <v>46133.565092592602</v>
      </c>
      <c r="C119" s="2">
        <v>46133.565798611096</v>
      </c>
      <c r="D119" s="1" t="s">
        <v>66</v>
      </c>
      <c r="E119" s="1" t="s">
        <v>67</v>
      </c>
      <c r="G119" s="1"/>
      <c r="H119" s="2"/>
      <c r="I119" s="1" t="s">
        <v>41</v>
      </c>
      <c r="K119" s="1"/>
      <c r="L119" s="1" t="s">
        <v>67</v>
      </c>
      <c r="M119" s="26" t="str">
        <f>CONCATENATE(TablaCalificaciones[[#This Row],[Seleccione su nombre (Evaluador)]],TablaCalificaciones[[#This Row],[Seleccione el nombre del Estudiante]])</f>
        <v>Hugo Fernando Chimbo AcostaCalderón Saravia Alex Javier</v>
      </c>
      <c r="N119" s="1"/>
      <c r="O119" s="1" t="s">
        <v>139</v>
      </c>
      <c r="Q119" s="1"/>
      <c r="R119" s="1" t="s">
        <v>50</v>
      </c>
      <c r="S119" s="22">
        <f>VLOOKUP(TablaCalificaciones[[#This Row],[Apertura: problema y objetivo ]],PESOS!A$16:B$20,2,0)</f>
        <v>16</v>
      </c>
      <c r="T119" s="1"/>
      <c r="U119" s="1" t="s">
        <v>50</v>
      </c>
      <c r="V119" s="22">
        <f>VLOOKUP(TablaCalificaciones[[#This Row],[Metodología (nivel adecuado)]],PESOS!A$16:B$20,2,0)</f>
        <v>16</v>
      </c>
      <c r="W119" s="1"/>
      <c r="X119" s="1" t="s">
        <v>50</v>
      </c>
      <c r="Y119" s="22">
        <f>VLOOKUP(TablaCalificaciones[[#This Row],[Resultados y evidencia ]],PESOS!A$16:B$20,2,0)</f>
        <v>16</v>
      </c>
      <c r="Z119" s="1"/>
      <c r="AA119" s="1" t="s">
        <v>45</v>
      </c>
      <c r="AB119" s="22">
        <f>VLOOKUP(TablaCalificaciones[[#This Row],[Coherencia y manejo del tiempo]],PESOS!A$25:B$29,2,0)</f>
        <v>10</v>
      </c>
      <c r="AC119" s="1"/>
      <c r="AD119" s="1" t="s">
        <v>45</v>
      </c>
      <c r="AE119" s="22">
        <f>VLOOKUP(TablaCalificaciones[[#This Row],[Diapositivas como apoyo]],PESOS!A$25:B$29,2,0)</f>
        <v>10</v>
      </c>
      <c r="AF119" s="1"/>
      <c r="AG119" s="1" t="s">
        <v>45</v>
      </c>
      <c r="AH119" s="22">
        <f>VLOOKUP(TablaCalificaciones[[#This Row],[Respuestas a preguntas]],PESOS!A$25:B$29,2,0)</f>
        <v>10</v>
      </c>
      <c r="AI119" s="1"/>
      <c r="AJ119" s="1" t="s">
        <v>51</v>
      </c>
      <c r="AK119" s="22">
        <f>VLOOKUP(TablaCalificaciones[[#This Row],[Cierre: aporte a próximos pasos]],PESOS!A$25:B$29,2,0)</f>
        <v>8</v>
      </c>
      <c r="AL119" s="1"/>
      <c r="AM119" s="1"/>
    </row>
    <row r="120" spans="1:39">
      <c r="A120">
        <v>119</v>
      </c>
      <c r="B120" s="2">
        <v>46133.537245370397</v>
      </c>
      <c r="C120" s="2">
        <v>46133.566168981502</v>
      </c>
      <c r="D120" s="1" t="s">
        <v>54</v>
      </c>
      <c r="E120" s="1" t="s">
        <v>55</v>
      </c>
      <c r="G120" s="1"/>
      <c r="H120" s="2"/>
      <c r="I120" s="1" t="s">
        <v>41</v>
      </c>
      <c r="K120" s="1"/>
      <c r="L120" s="1" t="s">
        <v>56</v>
      </c>
      <c r="M120" s="26" t="str">
        <f>CONCATENATE(TablaCalificaciones[[#This Row],[Seleccione su nombre (Evaluador)]],TablaCalificaciones[[#This Row],[Seleccione el nombre del Estudiante]])</f>
        <v>Marco Antonio Galarza CastilloBeltrán Basantes Oscar Omar</v>
      </c>
      <c r="N120" s="1"/>
      <c r="O120" s="1" t="s">
        <v>142</v>
      </c>
      <c r="Q120" s="1"/>
      <c r="R120" s="1" t="s">
        <v>44</v>
      </c>
      <c r="S120" s="22">
        <f>VLOOKUP(TablaCalificaciones[[#This Row],[Apertura: problema y objetivo ]],PESOS!A$16:B$20,2,0)</f>
        <v>20</v>
      </c>
      <c r="T120" s="1"/>
      <c r="U120" s="1" t="s">
        <v>44</v>
      </c>
      <c r="V120" s="22">
        <f>VLOOKUP(TablaCalificaciones[[#This Row],[Metodología (nivel adecuado)]],PESOS!A$16:B$20,2,0)</f>
        <v>20</v>
      </c>
      <c r="W120" s="1"/>
      <c r="X120" s="1" t="s">
        <v>44</v>
      </c>
      <c r="Y120" s="22">
        <f>VLOOKUP(TablaCalificaciones[[#This Row],[Resultados y evidencia ]],PESOS!A$16:B$20,2,0)</f>
        <v>20</v>
      </c>
      <c r="Z120" s="1"/>
      <c r="AA120" s="1" t="s">
        <v>45</v>
      </c>
      <c r="AB120" s="22">
        <f>VLOOKUP(TablaCalificaciones[[#This Row],[Coherencia y manejo del tiempo]],PESOS!A$25:B$29,2,0)</f>
        <v>10</v>
      </c>
      <c r="AC120" s="1"/>
      <c r="AD120" s="1" t="s">
        <v>45</v>
      </c>
      <c r="AE120" s="22">
        <f>VLOOKUP(TablaCalificaciones[[#This Row],[Diapositivas como apoyo]],PESOS!A$25:B$29,2,0)</f>
        <v>10</v>
      </c>
      <c r="AF120" s="1"/>
      <c r="AG120" s="1" t="s">
        <v>45</v>
      </c>
      <c r="AH120" s="22">
        <f>VLOOKUP(TablaCalificaciones[[#This Row],[Respuestas a preguntas]],PESOS!A$25:B$29,2,0)</f>
        <v>10</v>
      </c>
      <c r="AI120" s="1"/>
      <c r="AJ120" s="1" t="s">
        <v>45</v>
      </c>
      <c r="AK120" s="22">
        <f>VLOOKUP(TablaCalificaciones[[#This Row],[Cierre: aporte a próximos pasos]],PESOS!A$25:B$29,2,0)</f>
        <v>10</v>
      </c>
      <c r="AL120" s="1"/>
      <c r="AM120" s="1"/>
    </row>
    <row r="121" spans="1:39">
      <c r="A121">
        <v>120</v>
      </c>
      <c r="B121" s="2">
        <v>46133.565821759301</v>
      </c>
      <c r="C121" s="2">
        <v>46133.566574074102</v>
      </c>
      <c r="D121" s="1" t="s">
        <v>66</v>
      </c>
      <c r="E121" s="1" t="s">
        <v>67</v>
      </c>
      <c r="G121" s="1"/>
      <c r="H121" s="2"/>
      <c r="I121" s="1" t="s">
        <v>41</v>
      </c>
      <c r="K121" s="1"/>
      <c r="L121" s="1" t="s">
        <v>67</v>
      </c>
      <c r="M121" s="26" t="str">
        <f>CONCATENATE(TablaCalificaciones[[#This Row],[Seleccione su nombre (Evaluador)]],TablaCalificaciones[[#This Row],[Seleccione el nombre del Estudiante]])</f>
        <v>Hugo Fernando Chimbo AcostaLincango Ninahualpa Pablo Andrés</v>
      </c>
      <c r="N121" s="1"/>
      <c r="O121" s="1" t="s">
        <v>140</v>
      </c>
      <c r="Q121" s="1"/>
      <c r="R121" s="1" t="s">
        <v>50</v>
      </c>
      <c r="S121" s="22">
        <f>VLOOKUP(TablaCalificaciones[[#This Row],[Apertura: problema y objetivo ]],PESOS!A$16:B$20,2,0)</f>
        <v>16</v>
      </c>
      <c r="T121" s="1"/>
      <c r="U121" s="1" t="s">
        <v>50</v>
      </c>
      <c r="V121" s="22">
        <f>VLOOKUP(TablaCalificaciones[[#This Row],[Metodología (nivel adecuado)]],PESOS!A$16:B$20,2,0)</f>
        <v>16</v>
      </c>
      <c r="W121" s="1"/>
      <c r="X121" s="1" t="s">
        <v>50</v>
      </c>
      <c r="Y121" s="22">
        <f>VLOOKUP(TablaCalificaciones[[#This Row],[Resultados y evidencia ]],PESOS!A$16:B$20,2,0)</f>
        <v>16</v>
      </c>
      <c r="Z121" s="1"/>
      <c r="AA121" s="1" t="s">
        <v>45</v>
      </c>
      <c r="AB121" s="22">
        <f>VLOOKUP(TablaCalificaciones[[#This Row],[Coherencia y manejo del tiempo]],PESOS!A$25:B$29,2,0)</f>
        <v>10</v>
      </c>
      <c r="AC121" s="1"/>
      <c r="AD121" s="1" t="s">
        <v>45</v>
      </c>
      <c r="AE121" s="22">
        <f>VLOOKUP(TablaCalificaciones[[#This Row],[Diapositivas como apoyo]],PESOS!A$25:B$29,2,0)</f>
        <v>10</v>
      </c>
      <c r="AF121" s="1"/>
      <c r="AG121" s="1" t="s">
        <v>45</v>
      </c>
      <c r="AH121" s="22">
        <f>VLOOKUP(TablaCalificaciones[[#This Row],[Respuestas a preguntas]],PESOS!A$25:B$29,2,0)</f>
        <v>10</v>
      </c>
      <c r="AI121" s="1"/>
      <c r="AJ121" s="1" t="s">
        <v>51</v>
      </c>
      <c r="AK121" s="22">
        <f>VLOOKUP(TablaCalificaciones[[#This Row],[Cierre: aporte a próximos pasos]],PESOS!A$25:B$29,2,0)</f>
        <v>8</v>
      </c>
      <c r="AL121" s="1"/>
      <c r="AM121" s="1"/>
    </row>
    <row r="122" spans="1:39">
      <c r="A122">
        <v>121</v>
      </c>
      <c r="B122" s="2">
        <v>46133.566192129598</v>
      </c>
      <c r="C122" s="2">
        <v>46133.566574074102</v>
      </c>
      <c r="D122" s="1" t="s">
        <v>54</v>
      </c>
      <c r="E122" s="1" t="s">
        <v>55</v>
      </c>
      <c r="G122" s="1"/>
      <c r="H122" s="2"/>
      <c r="I122" s="1" t="s">
        <v>41</v>
      </c>
      <c r="K122" s="1"/>
      <c r="L122" s="1" t="s">
        <v>56</v>
      </c>
      <c r="M122" s="26" t="str">
        <f>CONCATENATE(TablaCalificaciones[[#This Row],[Seleccione su nombre (Evaluador)]],TablaCalificaciones[[#This Row],[Seleccione el nombre del Estudiante]])</f>
        <v>Marco Antonio Galarza CastilloPazmiño Carrera Sonia Lucia</v>
      </c>
      <c r="N122" s="1"/>
      <c r="O122" s="1" t="s">
        <v>143</v>
      </c>
      <c r="Q122" s="1"/>
      <c r="R122" s="1" t="s">
        <v>44</v>
      </c>
      <c r="S122" s="22">
        <f>VLOOKUP(TablaCalificaciones[[#This Row],[Apertura: problema y objetivo ]],PESOS!A$16:B$20,2,0)</f>
        <v>20</v>
      </c>
      <c r="T122" s="1"/>
      <c r="U122" s="1" t="s">
        <v>44</v>
      </c>
      <c r="V122" s="22">
        <f>VLOOKUP(TablaCalificaciones[[#This Row],[Metodología (nivel adecuado)]],PESOS!A$16:B$20,2,0)</f>
        <v>20</v>
      </c>
      <c r="W122" s="1"/>
      <c r="X122" s="1" t="s">
        <v>44</v>
      </c>
      <c r="Y122" s="22">
        <f>VLOOKUP(TablaCalificaciones[[#This Row],[Resultados y evidencia ]],PESOS!A$16:B$20,2,0)</f>
        <v>20</v>
      </c>
      <c r="Z122" s="1"/>
      <c r="AA122" s="1" t="s">
        <v>45</v>
      </c>
      <c r="AB122" s="22">
        <f>VLOOKUP(TablaCalificaciones[[#This Row],[Coherencia y manejo del tiempo]],PESOS!A$25:B$29,2,0)</f>
        <v>10</v>
      </c>
      <c r="AC122" s="1"/>
      <c r="AD122" s="1" t="s">
        <v>45</v>
      </c>
      <c r="AE122" s="22">
        <f>VLOOKUP(TablaCalificaciones[[#This Row],[Diapositivas como apoyo]],PESOS!A$25:B$29,2,0)</f>
        <v>10</v>
      </c>
      <c r="AF122" s="1"/>
      <c r="AG122" s="1" t="s">
        <v>51</v>
      </c>
      <c r="AH122" s="22">
        <f>VLOOKUP(TablaCalificaciones[[#This Row],[Respuestas a preguntas]],PESOS!A$25:B$29,2,0)</f>
        <v>8</v>
      </c>
      <c r="AI122" s="1"/>
      <c r="AJ122" s="1" t="s">
        <v>45</v>
      </c>
      <c r="AK122" s="22">
        <f>VLOOKUP(TablaCalificaciones[[#This Row],[Cierre: aporte a próximos pasos]],PESOS!A$25:B$29,2,0)</f>
        <v>10</v>
      </c>
      <c r="AL122" s="1"/>
      <c r="AM122" s="1"/>
    </row>
    <row r="123" spans="1:39">
      <c r="A123">
        <v>122</v>
      </c>
      <c r="B123" s="2">
        <v>46133.5602083333</v>
      </c>
      <c r="C123" s="2">
        <v>46133.576261574097</v>
      </c>
      <c r="D123" s="1" t="s">
        <v>93</v>
      </c>
      <c r="E123" s="1" t="s">
        <v>94</v>
      </c>
      <c r="G123" s="1"/>
      <c r="H123" s="2"/>
      <c r="I123" s="1" t="s">
        <v>41</v>
      </c>
      <c r="K123" s="1"/>
      <c r="L123" s="1" t="s">
        <v>95</v>
      </c>
      <c r="M123" s="26" t="str">
        <f>CONCATENATE(TablaCalificaciones[[#This Row],[Seleccione su nombre (Evaluador)]],TablaCalificaciones[[#This Row],[Seleccione el nombre del Estudiante]])</f>
        <v>Nelly Patricia Acosta VargasPalomeque Núñez Mateo Nicolas</v>
      </c>
      <c r="N123" s="1"/>
      <c r="O123" s="1" t="s">
        <v>144</v>
      </c>
      <c r="Q123" s="1"/>
      <c r="R123" s="1" t="s">
        <v>44</v>
      </c>
      <c r="S123" s="22">
        <f>VLOOKUP(TablaCalificaciones[[#This Row],[Apertura: problema y objetivo ]],PESOS!A$16:B$20,2,0)</f>
        <v>20</v>
      </c>
      <c r="T123" s="1"/>
      <c r="U123" s="1" t="s">
        <v>44</v>
      </c>
      <c r="V123" s="22">
        <f>VLOOKUP(TablaCalificaciones[[#This Row],[Metodología (nivel adecuado)]],PESOS!A$16:B$20,2,0)</f>
        <v>20</v>
      </c>
      <c r="W123" s="1"/>
      <c r="X123" s="1" t="s">
        <v>44</v>
      </c>
      <c r="Y123" s="22">
        <f>VLOOKUP(TablaCalificaciones[[#This Row],[Resultados y evidencia ]],PESOS!A$16:B$20,2,0)</f>
        <v>20</v>
      </c>
      <c r="Z123" s="1"/>
      <c r="AA123" s="1" t="s">
        <v>45</v>
      </c>
      <c r="AB123" s="22">
        <f>VLOOKUP(TablaCalificaciones[[#This Row],[Coherencia y manejo del tiempo]],PESOS!A$25:B$29,2,0)</f>
        <v>10</v>
      </c>
      <c r="AC123" s="1"/>
      <c r="AD123" s="1" t="s">
        <v>45</v>
      </c>
      <c r="AE123" s="22">
        <f>VLOOKUP(TablaCalificaciones[[#This Row],[Diapositivas como apoyo]],PESOS!A$25:B$29,2,0)</f>
        <v>10</v>
      </c>
      <c r="AF123" s="1"/>
      <c r="AG123" s="1" t="s">
        <v>45</v>
      </c>
      <c r="AH123" s="22">
        <f>VLOOKUP(TablaCalificaciones[[#This Row],[Respuestas a preguntas]],PESOS!A$25:B$29,2,0)</f>
        <v>10</v>
      </c>
      <c r="AI123" s="1"/>
      <c r="AJ123" s="1" t="s">
        <v>45</v>
      </c>
      <c r="AK123" s="22">
        <f>VLOOKUP(TablaCalificaciones[[#This Row],[Cierre: aporte a próximos pasos]],PESOS!A$25:B$29,2,0)</f>
        <v>10</v>
      </c>
      <c r="AL123" s="1"/>
      <c r="AM123" s="1"/>
    </row>
    <row r="124" spans="1:39">
      <c r="A124">
        <v>123</v>
      </c>
      <c r="B124" s="2">
        <v>46133.576157407399</v>
      </c>
      <c r="C124" s="2">
        <v>46133.577060185198</v>
      </c>
      <c r="D124" s="1" t="s">
        <v>78</v>
      </c>
      <c r="E124" s="1" t="s">
        <v>79</v>
      </c>
      <c r="G124" s="1"/>
      <c r="H124" s="2"/>
      <c r="I124" s="1" t="s">
        <v>41</v>
      </c>
      <c r="K124" s="1"/>
      <c r="L124" s="1" t="s">
        <v>79</v>
      </c>
      <c r="M124" s="26" t="str">
        <f>CONCATENATE(TablaCalificaciones[[#This Row],[Seleccione su nombre (Evaluador)]],TablaCalificaciones[[#This Row],[Seleccione el nombre del Estudiante]])</f>
        <v>César Alberto Larrea AraujoHuera Anrrango Leidy Carolina</v>
      </c>
      <c r="N124" s="1"/>
      <c r="O124" s="1" t="s">
        <v>145</v>
      </c>
      <c r="Q124" s="1"/>
      <c r="R124" s="1" t="s">
        <v>44</v>
      </c>
      <c r="S124" s="22">
        <f>VLOOKUP(TablaCalificaciones[[#This Row],[Apertura: problema y objetivo ]],PESOS!A$16:B$20,2,0)</f>
        <v>20</v>
      </c>
      <c r="T124" s="1"/>
      <c r="U124" s="1" t="s">
        <v>44</v>
      </c>
      <c r="V124" s="22">
        <f>VLOOKUP(TablaCalificaciones[[#This Row],[Metodología (nivel adecuado)]],PESOS!A$16:B$20,2,0)</f>
        <v>20</v>
      </c>
      <c r="W124" s="1"/>
      <c r="X124" s="1" t="s">
        <v>44</v>
      </c>
      <c r="Y124" s="22">
        <f>VLOOKUP(TablaCalificaciones[[#This Row],[Resultados y evidencia ]],PESOS!A$16:B$20,2,0)</f>
        <v>20</v>
      </c>
      <c r="Z124" s="1"/>
      <c r="AA124" s="1" t="s">
        <v>45</v>
      </c>
      <c r="AB124" s="22">
        <f>VLOOKUP(TablaCalificaciones[[#This Row],[Coherencia y manejo del tiempo]],PESOS!A$25:B$29,2,0)</f>
        <v>10</v>
      </c>
      <c r="AC124" s="1"/>
      <c r="AD124" s="1" t="s">
        <v>51</v>
      </c>
      <c r="AE124" s="22">
        <f>VLOOKUP(TablaCalificaciones[[#This Row],[Diapositivas como apoyo]],PESOS!A$25:B$29,2,0)</f>
        <v>8</v>
      </c>
      <c r="AF124" s="1"/>
      <c r="AG124" s="1" t="s">
        <v>45</v>
      </c>
      <c r="AH124" s="22">
        <f>VLOOKUP(TablaCalificaciones[[#This Row],[Respuestas a preguntas]],PESOS!A$25:B$29,2,0)</f>
        <v>10</v>
      </c>
      <c r="AI124" s="1"/>
      <c r="AJ124" s="1" t="s">
        <v>45</v>
      </c>
      <c r="AK124" s="22">
        <f>VLOOKUP(TablaCalificaciones[[#This Row],[Cierre: aporte a próximos pasos]],PESOS!A$25:B$29,2,0)</f>
        <v>10</v>
      </c>
      <c r="AL124" s="1"/>
      <c r="AM124" s="1"/>
    </row>
    <row r="125" spans="1:39">
      <c r="A125">
        <v>124</v>
      </c>
      <c r="B125" s="2">
        <v>46133.577094907399</v>
      </c>
      <c r="C125" s="2">
        <v>46133.577696759297</v>
      </c>
      <c r="D125" s="1" t="s">
        <v>78</v>
      </c>
      <c r="E125" s="1" t="s">
        <v>79</v>
      </c>
      <c r="G125" s="1"/>
      <c r="H125" s="2"/>
      <c r="I125" s="1" t="s">
        <v>41</v>
      </c>
      <c r="K125" s="1"/>
      <c r="L125" s="1" t="s">
        <v>79</v>
      </c>
      <c r="M125" s="26" t="str">
        <f>CONCATENATE(TablaCalificaciones[[#This Row],[Seleccione su nombre (Evaluador)]],TablaCalificaciones[[#This Row],[Seleccione el nombre del Estudiante]])</f>
        <v>César Alberto Larrea AraujoTaco Sosa Luis Roberto</v>
      </c>
      <c r="N125" s="1"/>
      <c r="O125" s="1" t="s">
        <v>146</v>
      </c>
      <c r="Q125" s="1"/>
      <c r="R125" s="1" t="s">
        <v>44</v>
      </c>
      <c r="S125" s="22">
        <f>VLOOKUP(TablaCalificaciones[[#This Row],[Apertura: problema y objetivo ]],PESOS!A$16:B$20,2,0)</f>
        <v>20</v>
      </c>
      <c r="T125" s="1"/>
      <c r="U125" s="1" t="s">
        <v>44</v>
      </c>
      <c r="V125" s="22">
        <f>VLOOKUP(TablaCalificaciones[[#This Row],[Metodología (nivel adecuado)]],PESOS!A$16:B$20,2,0)</f>
        <v>20</v>
      </c>
      <c r="W125" s="1"/>
      <c r="X125" s="1" t="s">
        <v>44</v>
      </c>
      <c r="Y125" s="22">
        <f>VLOOKUP(TablaCalificaciones[[#This Row],[Resultados y evidencia ]],PESOS!A$16:B$20,2,0)</f>
        <v>20</v>
      </c>
      <c r="Z125" s="1"/>
      <c r="AA125" s="1" t="s">
        <v>45</v>
      </c>
      <c r="AB125" s="22">
        <f>VLOOKUP(TablaCalificaciones[[#This Row],[Coherencia y manejo del tiempo]],PESOS!A$25:B$29,2,0)</f>
        <v>10</v>
      </c>
      <c r="AC125" s="1"/>
      <c r="AD125" s="1" t="s">
        <v>45</v>
      </c>
      <c r="AE125" s="22">
        <f>VLOOKUP(TablaCalificaciones[[#This Row],[Diapositivas como apoyo]],PESOS!A$25:B$29,2,0)</f>
        <v>10</v>
      </c>
      <c r="AF125" s="1"/>
      <c r="AG125" s="1" t="s">
        <v>45</v>
      </c>
      <c r="AH125" s="22">
        <f>VLOOKUP(TablaCalificaciones[[#This Row],[Respuestas a preguntas]],PESOS!A$25:B$29,2,0)</f>
        <v>10</v>
      </c>
      <c r="AI125" s="1"/>
      <c r="AJ125" s="1" t="s">
        <v>45</v>
      </c>
      <c r="AK125" s="22">
        <f>VLOOKUP(TablaCalificaciones[[#This Row],[Cierre: aporte a próximos pasos]],PESOS!A$25:B$29,2,0)</f>
        <v>10</v>
      </c>
      <c r="AL125" s="1"/>
      <c r="AM125" s="1"/>
    </row>
    <row r="126" spans="1:39">
      <c r="A126">
        <v>125</v>
      </c>
      <c r="B126" s="2">
        <v>46133.576354166697</v>
      </c>
      <c r="C126" s="2">
        <v>46133.5777199074</v>
      </c>
      <c r="D126" s="1" t="s">
        <v>93</v>
      </c>
      <c r="E126" s="1" t="s">
        <v>94</v>
      </c>
      <c r="G126" s="1"/>
      <c r="H126" s="2"/>
      <c r="I126" s="1" t="s">
        <v>41</v>
      </c>
      <c r="K126" s="1"/>
      <c r="L126" s="1" t="s">
        <v>95</v>
      </c>
      <c r="M126" s="26" t="str">
        <f>CONCATENATE(TablaCalificaciones[[#This Row],[Seleccione su nombre (Evaluador)]],TablaCalificaciones[[#This Row],[Seleccione el nombre del Estudiante]])</f>
        <v>Nelly Patricia Acosta VargasSango Simbaña Edisson Oswaldo</v>
      </c>
      <c r="N126" s="1"/>
      <c r="O126" s="1" t="s">
        <v>147</v>
      </c>
      <c r="Q126" s="1"/>
      <c r="R126" s="1" t="s">
        <v>44</v>
      </c>
      <c r="S126" s="22">
        <f>VLOOKUP(TablaCalificaciones[[#This Row],[Apertura: problema y objetivo ]],PESOS!A$16:B$20,2,0)</f>
        <v>20</v>
      </c>
      <c r="T126" s="1"/>
      <c r="U126" s="1" t="s">
        <v>44</v>
      </c>
      <c r="V126" s="22">
        <f>VLOOKUP(TablaCalificaciones[[#This Row],[Metodología (nivel adecuado)]],PESOS!A$16:B$20,2,0)</f>
        <v>20</v>
      </c>
      <c r="W126" s="1"/>
      <c r="X126" s="1" t="s">
        <v>44</v>
      </c>
      <c r="Y126" s="22">
        <f>VLOOKUP(TablaCalificaciones[[#This Row],[Resultados y evidencia ]],PESOS!A$16:B$20,2,0)</f>
        <v>20</v>
      </c>
      <c r="Z126" s="1"/>
      <c r="AA126" s="1" t="s">
        <v>45</v>
      </c>
      <c r="AB126" s="22">
        <f>VLOOKUP(TablaCalificaciones[[#This Row],[Coherencia y manejo del tiempo]],PESOS!A$25:B$29,2,0)</f>
        <v>10</v>
      </c>
      <c r="AC126" s="1"/>
      <c r="AD126" s="1" t="s">
        <v>45</v>
      </c>
      <c r="AE126" s="22">
        <f>VLOOKUP(TablaCalificaciones[[#This Row],[Diapositivas como apoyo]],PESOS!A$25:B$29,2,0)</f>
        <v>10</v>
      </c>
      <c r="AF126" s="1"/>
      <c r="AG126" s="1" t="s">
        <v>45</v>
      </c>
      <c r="AH126" s="22">
        <f>VLOOKUP(TablaCalificaciones[[#This Row],[Respuestas a preguntas]],PESOS!A$25:B$29,2,0)</f>
        <v>10</v>
      </c>
      <c r="AI126" s="1"/>
      <c r="AJ126" s="1" t="s">
        <v>45</v>
      </c>
      <c r="AK126" s="22">
        <f>VLOOKUP(TablaCalificaciones[[#This Row],[Cierre: aporte a próximos pasos]],PESOS!A$25:B$29,2,0)</f>
        <v>10</v>
      </c>
      <c r="AL126" s="1"/>
      <c r="AM126" s="1"/>
    </row>
    <row r="127" spans="1:39">
      <c r="A127">
        <v>126</v>
      </c>
      <c r="B127" s="2">
        <v>46133.537835648203</v>
      </c>
      <c r="C127" s="2">
        <v>46133.577951388899</v>
      </c>
      <c r="D127" s="1" t="s">
        <v>59</v>
      </c>
      <c r="E127" s="1" t="s">
        <v>60</v>
      </c>
      <c r="G127" s="1"/>
      <c r="H127" s="2"/>
      <c r="I127" s="1" t="s">
        <v>41</v>
      </c>
      <c r="K127" s="1"/>
      <c r="L127" s="1" t="s">
        <v>60</v>
      </c>
      <c r="M127" s="26" t="str">
        <f>CONCATENATE(TablaCalificaciones[[#This Row],[Seleccione su nombre (Evaluador)]],TablaCalificaciones[[#This Row],[Seleccione el nombre del Estudiante]])</f>
        <v>Santiago Leonardo SolórzanoSango Simbaña Edisson Oswaldo</v>
      </c>
      <c r="N127" s="1"/>
      <c r="O127" s="1" t="s">
        <v>147</v>
      </c>
      <c r="Q127" s="1"/>
      <c r="R127" s="1" t="s">
        <v>44</v>
      </c>
      <c r="S127" s="22">
        <f>VLOOKUP(TablaCalificaciones[[#This Row],[Apertura: problema y objetivo ]],PESOS!A$16:B$20,2,0)</f>
        <v>20</v>
      </c>
      <c r="T127" s="1"/>
      <c r="U127" s="1" t="s">
        <v>44</v>
      </c>
      <c r="V127" s="22">
        <f>VLOOKUP(TablaCalificaciones[[#This Row],[Metodología (nivel adecuado)]],PESOS!A$16:B$20,2,0)</f>
        <v>20</v>
      </c>
      <c r="W127" s="1"/>
      <c r="X127" s="1" t="s">
        <v>44</v>
      </c>
      <c r="Y127" s="22">
        <f>VLOOKUP(TablaCalificaciones[[#This Row],[Resultados y evidencia ]],PESOS!A$16:B$20,2,0)</f>
        <v>20</v>
      </c>
      <c r="Z127" s="1"/>
      <c r="AA127" s="1" t="s">
        <v>51</v>
      </c>
      <c r="AB127" s="22">
        <f>VLOOKUP(TablaCalificaciones[[#This Row],[Coherencia y manejo del tiempo]],PESOS!A$25:B$29,2,0)</f>
        <v>8</v>
      </c>
      <c r="AC127" s="1"/>
      <c r="AD127" s="1" t="s">
        <v>51</v>
      </c>
      <c r="AE127" s="22">
        <f>VLOOKUP(TablaCalificaciones[[#This Row],[Diapositivas como apoyo]],PESOS!A$25:B$29,2,0)</f>
        <v>8</v>
      </c>
      <c r="AF127" s="1"/>
      <c r="AG127" s="1" t="s">
        <v>45</v>
      </c>
      <c r="AH127" s="22">
        <f>VLOOKUP(TablaCalificaciones[[#This Row],[Respuestas a preguntas]],PESOS!A$25:B$29,2,0)</f>
        <v>10</v>
      </c>
      <c r="AI127" s="1"/>
      <c r="AJ127" s="1" t="s">
        <v>51</v>
      </c>
      <c r="AK127" s="22">
        <f>VLOOKUP(TablaCalificaciones[[#This Row],[Cierre: aporte a próximos pasos]],PESOS!A$25:B$29,2,0)</f>
        <v>8</v>
      </c>
      <c r="AL127" s="1"/>
      <c r="AM127" s="1"/>
    </row>
    <row r="128" spans="1:39">
      <c r="A128">
        <v>127</v>
      </c>
      <c r="B128" s="2">
        <v>46133.563518518502</v>
      </c>
      <c r="C128" s="2">
        <v>46133.578240740702</v>
      </c>
      <c r="D128" s="1" t="s">
        <v>59</v>
      </c>
      <c r="E128" s="1" t="s">
        <v>60</v>
      </c>
      <c r="G128" s="1"/>
      <c r="H128" s="2"/>
      <c r="I128" s="1" t="s">
        <v>41</v>
      </c>
      <c r="K128" s="1"/>
      <c r="L128" s="1" t="s">
        <v>60</v>
      </c>
      <c r="M128" s="26" t="str">
        <f>CONCATENATE(TablaCalificaciones[[#This Row],[Seleccione su nombre (Evaluador)]],TablaCalificaciones[[#This Row],[Seleccione el nombre del Estudiante]])</f>
        <v>Santiago Leonardo SolórzanoPalomeque Núñez Mateo Nicolas</v>
      </c>
      <c r="N128" s="1"/>
      <c r="O128" s="1" t="s">
        <v>144</v>
      </c>
      <c r="Q128" s="1"/>
      <c r="R128" s="1" t="s">
        <v>44</v>
      </c>
      <c r="S128" s="22">
        <f>VLOOKUP(TablaCalificaciones[[#This Row],[Apertura: problema y objetivo ]],PESOS!A$16:B$20,2,0)</f>
        <v>20</v>
      </c>
      <c r="T128" s="1"/>
      <c r="U128" s="1" t="s">
        <v>44</v>
      </c>
      <c r="V128" s="22">
        <f>VLOOKUP(TablaCalificaciones[[#This Row],[Metodología (nivel adecuado)]],PESOS!A$16:B$20,2,0)</f>
        <v>20</v>
      </c>
      <c r="W128" s="1"/>
      <c r="X128" s="1" t="s">
        <v>44</v>
      </c>
      <c r="Y128" s="22">
        <f>VLOOKUP(TablaCalificaciones[[#This Row],[Resultados y evidencia ]],PESOS!A$16:B$20,2,0)</f>
        <v>20</v>
      </c>
      <c r="Z128" s="1"/>
      <c r="AA128" s="1" t="s">
        <v>51</v>
      </c>
      <c r="AB128" s="22">
        <f>VLOOKUP(TablaCalificaciones[[#This Row],[Coherencia y manejo del tiempo]],PESOS!A$25:B$29,2,0)</f>
        <v>8</v>
      </c>
      <c r="AC128" s="1"/>
      <c r="AD128" s="1" t="s">
        <v>51</v>
      </c>
      <c r="AE128" s="22">
        <f>VLOOKUP(TablaCalificaciones[[#This Row],[Diapositivas como apoyo]],PESOS!A$25:B$29,2,0)</f>
        <v>8</v>
      </c>
      <c r="AF128" s="1"/>
      <c r="AG128" s="1" t="s">
        <v>45</v>
      </c>
      <c r="AH128" s="22">
        <f>VLOOKUP(TablaCalificaciones[[#This Row],[Respuestas a preguntas]],PESOS!A$25:B$29,2,0)</f>
        <v>10</v>
      </c>
      <c r="AI128" s="1"/>
      <c r="AJ128" s="1" t="s">
        <v>51</v>
      </c>
      <c r="AK128" s="22">
        <f>VLOOKUP(TablaCalificaciones[[#This Row],[Cierre: aporte a próximos pasos]],PESOS!A$25:B$29,2,0)</f>
        <v>8</v>
      </c>
      <c r="AL128" s="1"/>
      <c r="AM128" s="1"/>
    </row>
    <row r="129" spans="1:39">
      <c r="A129">
        <v>128</v>
      </c>
      <c r="B129" s="2">
        <v>46133.5777199074</v>
      </c>
      <c r="C129" s="2">
        <v>46133.578344907401</v>
      </c>
      <c r="D129" s="1" t="s">
        <v>78</v>
      </c>
      <c r="E129" s="1" t="s">
        <v>79</v>
      </c>
      <c r="G129" s="1"/>
      <c r="H129" s="2"/>
      <c r="I129" s="1" t="s">
        <v>41</v>
      </c>
      <c r="K129" s="1"/>
      <c r="L129" s="1" t="s">
        <v>79</v>
      </c>
      <c r="M129" s="26" t="str">
        <f>CONCATENATE(TablaCalificaciones[[#This Row],[Seleccione su nombre (Evaluador)]],TablaCalificaciones[[#This Row],[Seleccione el nombre del Estudiante]])</f>
        <v>César Alberto Larrea AraujoSarango Romero César Antonio</v>
      </c>
      <c r="N129" s="1"/>
      <c r="O129" s="1" t="s">
        <v>148</v>
      </c>
      <c r="Q129" s="1"/>
      <c r="R129" s="1" t="s">
        <v>44</v>
      </c>
      <c r="S129" s="22">
        <f>VLOOKUP(TablaCalificaciones[[#This Row],[Apertura: problema y objetivo ]],PESOS!A$16:B$20,2,0)</f>
        <v>20</v>
      </c>
      <c r="T129" s="1"/>
      <c r="U129" s="1" t="s">
        <v>44</v>
      </c>
      <c r="V129" s="22">
        <f>VLOOKUP(TablaCalificaciones[[#This Row],[Metodología (nivel adecuado)]],PESOS!A$16:B$20,2,0)</f>
        <v>20</v>
      </c>
      <c r="W129" s="1"/>
      <c r="X129" s="1" t="s">
        <v>44</v>
      </c>
      <c r="Y129" s="22">
        <f>VLOOKUP(TablaCalificaciones[[#This Row],[Resultados y evidencia ]],PESOS!A$16:B$20,2,0)</f>
        <v>20</v>
      </c>
      <c r="Z129" s="1"/>
      <c r="AA129" s="1" t="s">
        <v>45</v>
      </c>
      <c r="AB129" s="22">
        <f>VLOOKUP(TablaCalificaciones[[#This Row],[Coherencia y manejo del tiempo]],PESOS!A$25:B$29,2,0)</f>
        <v>10</v>
      </c>
      <c r="AC129" s="1"/>
      <c r="AD129" s="1" t="s">
        <v>51</v>
      </c>
      <c r="AE129" s="22">
        <f>VLOOKUP(TablaCalificaciones[[#This Row],[Diapositivas como apoyo]],PESOS!A$25:B$29,2,0)</f>
        <v>8</v>
      </c>
      <c r="AF129" s="1"/>
      <c r="AG129" s="1" t="s">
        <v>83</v>
      </c>
      <c r="AH129" s="22">
        <f>VLOOKUP(TablaCalificaciones[[#This Row],[Respuestas a preguntas]],PESOS!A$25:B$29,2,0)</f>
        <v>6</v>
      </c>
      <c r="AI129" s="1"/>
      <c r="AJ129" s="1" t="s">
        <v>45</v>
      </c>
      <c r="AK129" s="22">
        <f>VLOOKUP(TablaCalificaciones[[#This Row],[Cierre: aporte a próximos pasos]],PESOS!A$25:B$29,2,0)</f>
        <v>10</v>
      </c>
      <c r="AL129" s="1"/>
      <c r="AM129" s="1"/>
    </row>
    <row r="130" spans="1:39">
      <c r="A130">
        <v>129</v>
      </c>
      <c r="B130" s="2">
        <v>46133.563495370399</v>
      </c>
      <c r="C130" s="2">
        <v>46133.578449074099</v>
      </c>
      <c r="D130" s="1" t="s">
        <v>59</v>
      </c>
      <c r="E130" s="1" t="s">
        <v>60</v>
      </c>
      <c r="G130" s="1"/>
      <c r="H130" s="2"/>
      <c r="I130" s="1" t="s">
        <v>41</v>
      </c>
      <c r="K130" s="1"/>
      <c r="L130" s="1" t="s">
        <v>60</v>
      </c>
      <c r="M130" s="26" t="str">
        <f>CONCATENATE(TablaCalificaciones[[#This Row],[Seleccione su nombre (Evaluador)]],TablaCalificaciones[[#This Row],[Seleccione el nombre del Estudiante]])</f>
        <v>Santiago Leonardo SolórzanoVelasco Macias Jastin Geovanny</v>
      </c>
      <c r="N130" s="1"/>
      <c r="O130" s="1" t="s">
        <v>149</v>
      </c>
      <c r="Q130" s="1"/>
      <c r="R130" s="1" t="s">
        <v>44</v>
      </c>
      <c r="S130" s="22">
        <f>VLOOKUP(TablaCalificaciones[[#This Row],[Apertura: problema y objetivo ]],PESOS!A$16:B$20,2,0)</f>
        <v>20</v>
      </c>
      <c r="T130" s="1"/>
      <c r="U130" s="1" t="s">
        <v>44</v>
      </c>
      <c r="V130" s="22">
        <f>VLOOKUP(TablaCalificaciones[[#This Row],[Metodología (nivel adecuado)]],PESOS!A$16:B$20,2,0)</f>
        <v>20</v>
      </c>
      <c r="W130" s="1"/>
      <c r="X130" s="1" t="s">
        <v>44</v>
      </c>
      <c r="Y130" s="22">
        <f>VLOOKUP(TablaCalificaciones[[#This Row],[Resultados y evidencia ]],PESOS!A$16:B$20,2,0)</f>
        <v>20</v>
      </c>
      <c r="Z130" s="1"/>
      <c r="AA130" s="1" t="s">
        <v>51</v>
      </c>
      <c r="AB130" s="22">
        <f>VLOOKUP(TablaCalificaciones[[#This Row],[Coherencia y manejo del tiempo]],PESOS!A$25:B$29,2,0)</f>
        <v>8</v>
      </c>
      <c r="AC130" s="1"/>
      <c r="AD130" s="1" t="s">
        <v>51</v>
      </c>
      <c r="AE130" s="22">
        <f>VLOOKUP(TablaCalificaciones[[#This Row],[Diapositivas como apoyo]],PESOS!A$25:B$29,2,0)</f>
        <v>8</v>
      </c>
      <c r="AF130" s="1"/>
      <c r="AG130" s="1" t="s">
        <v>45</v>
      </c>
      <c r="AH130" s="22">
        <f>VLOOKUP(TablaCalificaciones[[#This Row],[Respuestas a preguntas]],PESOS!A$25:B$29,2,0)</f>
        <v>10</v>
      </c>
      <c r="AI130" s="1"/>
      <c r="AJ130" s="1" t="s">
        <v>51</v>
      </c>
      <c r="AK130" s="22">
        <f>VLOOKUP(TablaCalificaciones[[#This Row],[Cierre: aporte a próximos pasos]],PESOS!A$25:B$29,2,0)</f>
        <v>8</v>
      </c>
      <c r="AL130" s="1"/>
      <c r="AM130" s="1"/>
    </row>
    <row r="131" spans="1:39">
      <c r="A131">
        <v>130</v>
      </c>
      <c r="B131" s="2">
        <v>46133.577847222201</v>
      </c>
      <c r="C131" s="2">
        <v>46133.578773148103</v>
      </c>
      <c r="D131" s="1" t="s">
        <v>93</v>
      </c>
      <c r="E131" s="1" t="s">
        <v>94</v>
      </c>
      <c r="G131" s="1"/>
      <c r="H131" s="2"/>
      <c r="I131" s="1" t="s">
        <v>41</v>
      </c>
      <c r="K131" s="1"/>
      <c r="L131" s="1" t="s">
        <v>95</v>
      </c>
      <c r="M131" s="26" t="str">
        <f>CONCATENATE(TablaCalificaciones[[#This Row],[Seleccione su nombre (Evaluador)]],TablaCalificaciones[[#This Row],[Seleccione el nombre del Estudiante]])</f>
        <v>Nelly Patricia Acosta VargasVelasco Macias Jastin Geovanny</v>
      </c>
      <c r="N131" s="1"/>
      <c r="O131" s="1" t="s">
        <v>149</v>
      </c>
      <c r="Q131" s="1"/>
      <c r="R131" s="1" t="s">
        <v>44</v>
      </c>
      <c r="S131" s="22">
        <f>VLOOKUP(TablaCalificaciones[[#This Row],[Apertura: problema y objetivo ]],PESOS!A$16:B$20,2,0)</f>
        <v>20</v>
      </c>
      <c r="T131" s="1"/>
      <c r="U131" s="1" t="s">
        <v>44</v>
      </c>
      <c r="V131" s="22">
        <f>VLOOKUP(TablaCalificaciones[[#This Row],[Metodología (nivel adecuado)]],PESOS!A$16:B$20,2,0)</f>
        <v>20</v>
      </c>
      <c r="W131" s="1"/>
      <c r="X131" s="1" t="s">
        <v>44</v>
      </c>
      <c r="Y131" s="22">
        <f>VLOOKUP(TablaCalificaciones[[#This Row],[Resultados y evidencia ]],PESOS!A$16:B$20,2,0)</f>
        <v>20</v>
      </c>
      <c r="Z131" s="1"/>
      <c r="AA131" s="1" t="s">
        <v>45</v>
      </c>
      <c r="AB131" s="22">
        <f>VLOOKUP(TablaCalificaciones[[#This Row],[Coherencia y manejo del tiempo]],PESOS!A$25:B$29,2,0)</f>
        <v>10</v>
      </c>
      <c r="AC131" s="1"/>
      <c r="AD131" s="1" t="s">
        <v>45</v>
      </c>
      <c r="AE131" s="22">
        <f>VLOOKUP(TablaCalificaciones[[#This Row],[Diapositivas como apoyo]],PESOS!A$25:B$29,2,0)</f>
        <v>10</v>
      </c>
      <c r="AF131" s="1"/>
      <c r="AG131" s="1" t="s">
        <v>45</v>
      </c>
      <c r="AH131" s="22">
        <f>VLOOKUP(TablaCalificaciones[[#This Row],[Respuestas a preguntas]],PESOS!A$25:B$29,2,0)</f>
        <v>10</v>
      </c>
      <c r="AI131" s="1"/>
      <c r="AJ131" s="1" t="s">
        <v>45</v>
      </c>
      <c r="AK131" s="22">
        <f>VLOOKUP(TablaCalificaciones[[#This Row],[Cierre: aporte a próximos pasos]],PESOS!A$25:B$29,2,0)</f>
        <v>10</v>
      </c>
      <c r="AL131" s="1"/>
      <c r="AM131" s="1"/>
    </row>
    <row r="132" spans="1:39">
      <c r="A132">
        <v>131</v>
      </c>
      <c r="B132" s="2">
        <v>46133.5611921296</v>
      </c>
      <c r="C132" s="2">
        <v>46133.581076388902</v>
      </c>
      <c r="D132" s="1" t="s">
        <v>39</v>
      </c>
      <c r="E132" s="1" t="s">
        <v>40</v>
      </c>
      <c r="G132" s="1"/>
      <c r="H132" s="2"/>
      <c r="I132" s="1" t="s">
        <v>41</v>
      </c>
      <c r="K132" s="1"/>
      <c r="L132" s="1" t="s">
        <v>42</v>
      </c>
      <c r="M132" s="26" t="str">
        <f>CONCATENATE(TablaCalificaciones[[#This Row],[Seleccione su nombre (Evaluador)]],TablaCalificaciones[[#This Row],[Seleccione el nombre del Estudiante]])</f>
        <v>Patricio David PonceHuera Anrrango Leidy Carolina</v>
      </c>
      <c r="N132" s="1"/>
      <c r="O132" s="1" t="s">
        <v>145</v>
      </c>
      <c r="Q132" s="1"/>
      <c r="R132" s="1" t="s">
        <v>44</v>
      </c>
      <c r="S132" s="22">
        <f>VLOOKUP(TablaCalificaciones[[#This Row],[Apertura: problema y objetivo ]],PESOS!A$16:B$20,2,0)</f>
        <v>20</v>
      </c>
      <c r="T132" s="1"/>
      <c r="U132" s="1" t="s">
        <v>44</v>
      </c>
      <c r="V132" s="22">
        <f>VLOOKUP(TablaCalificaciones[[#This Row],[Metodología (nivel adecuado)]],PESOS!A$16:B$20,2,0)</f>
        <v>20</v>
      </c>
      <c r="W132" s="1"/>
      <c r="X132" s="1" t="s">
        <v>44</v>
      </c>
      <c r="Y132" s="22">
        <f>VLOOKUP(TablaCalificaciones[[#This Row],[Resultados y evidencia ]],PESOS!A$16:B$20,2,0)</f>
        <v>20</v>
      </c>
      <c r="Z132" s="1"/>
      <c r="AA132" s="1" t="s">
        <v>45</v>
      </c>
      <c r="AB132" s="22">
        <f>VLOOKUP(TablaCalificaciones[[#This Row],[Coherencia y manejo del tiempo]],PESOS!A$25:B$29,2,0)</f>
        <v>10</v>
      </c>
      <c r="AC132" s="1"/>
      <c r="AD132" s="1" t="s">
        <v>51</v>
      </c>
      <c r="AE132" s="22">
        <f>VLOOKUP(TablaCalificaciones[[#This Row],[Diapositivas como apoyo]],PESOS!A$25:B$29,2,0)</f>
        <v>8</v>
      </c>
      <c r="AF132" s="1"/>
      <c r="AG132" s="1" t="s">
        <v>45</v>
      </c>
      <c r="AH132" s="22">
        <f>VLOOKUP(TablaCalificaciones[[#This Row],[Respuestas a preguntas]],PESOS!A$25:B$29,2,0)</f>
        <v>10</v>
      </c>
      <c r="AI132" s="1"/>
      <c r="AJ132" s="1" t="s">
        <v>51</v>
      </c>
      <c r="AK132" s="22">
        <f>VLOOKUP(TablaCalificaciones[[#This Row],[Cierre: aporte a próximos pasos]],PESOS!A$25:B$29,2,0)</f>
        <v>8</v>
      </c>
      <c r="AL132" s="1"/>
      <c r="AM132" s="1"/>
    </row>
    <row r="133" spans="1:39">
      <c r="A133">
        <v>132</v>
      </c>
      <c r="B133" s="2">
        <v>46133.581087963001</v>
      </c>
      <c r="C133" s="2">
        <v>46133.581516203703</v>
      </c>
      <c r="D133" s="1" t="s">
        <v>39</v>
      </c>
      <c r="E133" s="1" t="s">
        <v>40</v>
      </c>
      <c r="G133" s="1"/>
      <c r="H133" s="2"/>
      <c r="I133" s="1" t="s">
        <v>41</v>
      </c>
      <c r="K133" s="1"/>
      <c r="L133" s="1" t="s">
        <v>42</v>
      </c>
      <c r="M133" s="26" t="str">
        <f>CONCATENATE(TablaCalificaciones[[#This Row],[Seleccione su nombre (Evaluador)]],TablaCalificaciones[[#This Row],[Seleccione el nombre del Estudiante]])</f>
        <v>Patricio David PonceSarango Romero César Antonio</v>
      </c>
      <c r="N133" s="1"/>
      <c r="O133" s="1" t="s">
        <v>148</v>
      </c>
      <c r="Q133" s="1"/>
      <c r="R133" s="1" t="s">
        <v>44</v>
      </c>
      <c r="S133" s="22">
        <f>VLOOKUP(TablaCalificaciones[[#This Row],[Apertura: problema y objetivo ]],PESOS!A$16:B$20,2,0)</f>
        <v>20</v>
      </c>
      <c r="T133" s="1"/>
      <c r="U133" s="1" t="s">
        <v>44</v>
      </c>
      <c r="V133" s="22">
        <f>VLOOKUP(TablaCalificaciones[[#This Row],[Metodología (nivel adecuado)]],PESOS!A$16:B$20,2,0)</f>
        <v>20</v>
      </c>
      <c r="W133" s="1"/>
      <c r="X133" s="1" t="s">
        <v>44</v>
      </c>
      <c r="Y133" s="22">
        <f>VLOOKUP(TablaCalificaciones[[#This Row],[Resultados y evidencia ]],PESOS!A$16:B$20,2,0)</f>
        <v>20</v>
      </c>
      <c r="Z133" s="1"/>
      <c r="AA133" s="1" t="s">
        <v>45</v>
      </c>
      <c r="AB133" s="22">
        <f>VLOOKUP(TablaCalificaciones[[#This Row],[Coherencia y manejo del tiempo]],PESOS!A$25:B$29,2,0)</f>
        <v>10</v>
      </c>
      <c r="AC133" s="1"/>
      <c r="AD133" s="1" t="s">
        <v>51</v>
      </c>
      <c r="AE133" s="22">
        <f>VLOOKUP(TablaCalificaciones[[#This Row],[Diapositivas como apoyo]],PESOS!A$25:B$29,2,0)</f>
        <v>8</v>
      </c>
      <c r="AF133" s="1"/>
      <c r="AG133" s="1" t="s">
        <v>45</v>
      </c>
      <c r="AH133" s="22">
        <f>VLOOKUP(TablaCalificaciones[[#This Row],[Respuestas a preguntas]],PESOS!A$25:B$29,2,0)</f>
        <v>10</v>
      </c>
      <c r="AI133" s="1"/>
      <c r="AJ133" s="1" t="s">
        <v>51</v>
      </c>
      <c r="AK133" s="22">
        <f>VLOOKUP(TablaCalificaciones[[#This Row],[Cierre: aporte a próximos pasos]],PESOS!A$25:B$29,2,0)</f>
        <v>8</v>
      </c>
      <c r="AL133" s="1"/>
      <c r="AM133" s="1"/>
    </row>
    <row r="134" spans="1:39">
      <c r="A134">
        <v>133</v>
      </c>
      <c r="B134" s="2">
        <v>46133.566597222198</v>
      </c>
      <c r="C134" s="2">
        <v>46133.582106481503</v>
      </c>
      <c r="D134" s="1" t="s">
        <v>54</v>
      </c>
      <c r="E134" s="1" t="s">
        <v>55</v>
      </c>
      <c r="G134" s="1"/>
      <c r="H134" s="2"/>
      <c r="I134" s="1" t="s">
        <v>41</v>
      </c>
      <c r="K134" s="1"/>
      <c r="L134" s="1" t="s">
        <v>56</v>
      </c>
      <c r="M134" s="26" t="str">
        <f>CONCATENATE(TablaCalificaciones[[#This Row],[Seleccione su nombre (Evaluador)]],TablaCalificaciones[[#This Row],[Seleccione el nombre del Estudiante]])</f>
        <v>Marco Antonio Galarza CastilloHuera Anrrango Leidy Carolina</v>
      </c>
      <c r="N134" s="1"/>
      <c r="O134" s="1" t="s">
        <v>145</v>
      </c>
      <c r="Q134" s="1"/>
      <c r="R134" s="1" t="s">
        <v>44</v>
      </c>
      <c r="S134" s="22">
        <f>VLOOKUP(TablaCalificaciones[[#This Row],[Apertura: problema y objetivo ]],PESOS!A$16:B$20,2,0)</f>
        <v>20</v>
      </c>
      <c r="T134" s="1"/>
      <c r="U134" s="1" t="s">
        <v>44</v>
      </c>
      <c r="V134" s="22">
        <f>VLOOKUP(TablaCalificaciones[[#This Row],[Metodología (nivel adecuado)]],PESOS!A$16:B$20,2,0)</f>
        <v>20</v>
      </c>
      <c r="W134" s="1"/>
      <c r="X134" s="1" t="s">
        <v>44</v>
      </c>
      <c r="Y134" s="22">
        <f>VLOOKUP(TablaCalificaciones[[#This Row],[Resultados y evidencia ]],PESOS!A$16:B$20,2,0)</f>
        <v>20</v>
      </c>
      <c r="Z134" s="1"/>
      <c r="AA134" s="1" t="s">
        <v>45</v>
      </c>
      <c r="AB134" s="22">
        <f>VLOOKUP(TablaCalificaciones[[#This Row],[Coherencia y manejo del tiempo]],PESOS!A$25:B$29,2,0)</f>
        <v>10</v>
      </c>
      <c r="AC134" s="1"/>
      <c r="AD134" s="1" t="s">
        <v>45</v>
      </c>
      <c r="AE134" s="22">
        <f>VLOOKUP(TablaCalificaciones[[#This Row],[Diapositivas como apoyo]],PESOS!A$25:B$29,2,0)</f>
        <v>10</v>
      </c>
      <c r="AF134" s="1"/>
      <c r="AG134" s="1" t="s">
        <v>45</v>
      </c>
      <c r="AH134" s="22">
        <f>VLOOKUP(TablaCalificaciones[[#This Row],[Respuestas a preguntas]],PESOS!A$25:B$29,2,0)</f>
        <v>10</v>
      </c>
      <c r="AI134" s="1"/>
      <c r="AJ134" s="1" t="s">
        <v>45</v>
      </c>
      <c r="AK134" s="22">
        <f>VLOOKUP(TablaCalificaciones[[#This Row],[Cierre: aporte a próximos pasos]],PESOS!A$25:B$29,2,0)</f>
        <v>10</v>
      </c>
      <c r="AL134" s="1"/>
      <c r="AM134" s="1"/>
    </row>
    <row r="135" spans="1:39">
      <c r="A135">
        <v>134</v>
      </c>
      <c r="B135" s="2">
        <v>46133.581527777802</v>
      </c>
      <c r="C135" s="2">
        <v>46133.582141203697</v>
      </c>
      <c r="D135" s="1" t="s">
        <v>39</v>
      </c>
      <c r="E135" s="1" t="s">
        <v>40</v>
      </c>
      <c r="G135" s="1"/>
      <c r="H135" s="2"/>
      <c r="I135" s="1" t="s">
        <v>41</v>
      </c>
      <c r="K135" s="1"/>
      <c r="L135" s="1" t="s">
        <v>42</v>
      </c>
      <c r="M135" s="26" t="str">
        <f>CONCATENATE(TablaCalificaciones[[#This Row],[Seleccione su nombre (Evaluador)]],TablaCalificaciones[[#This Row],[Seleccione el nombre del Estudiante]])</f>
        <v>Patricio David PonceTaco Sosa Luis Roberto</v>
      </c>
      <c r="N135" s="1"/>
      <c r="O135" s="1" t="s">
        <v>146</v>
      </c>
      <c r="Q135" s="1"/>
      <c r="R135" s="1" t="s">
        <v>44</v>
      </c>
      <c r="S135" s="22">
        <f>VLOOKUP(TablaCalificaciones[[#This Row],[Apertura: problema y objetivo ]],PESOS!A$16:B$20,2,0)</f>
        <v>20</v>
      </c>
      <c r="T135" s="1"/>
      <c r="U135" s="1" t="s">
        <v>44</v>
      </c>
      <c r="V135" s="22">
        <f>VLOOKUP(TablaCalificaciones[[#This Row],[Metodología (nivel adecuado)]],PESOS!A$16:B$20,2,0)</f>
        <v>20</v>
      </c>
      <c r="W135" s="1"/>
      <c r="X135" s="1" t="s">
        <v>44</v>
      </c>
      <c r="Y135" s="22">
        <f>VLOOKUP(TablaCalificaciones[[#This Row],[Resultados y evidencia ]],PESOS!A$16:B$20,2,0)</f>
        <v>20</v>
      </c>
      <c r="Z135" s="1"/>
      <c r="AA135" s="1" t="s">
        <v>45</v>
      </c>
      <c r="AB135" s="22">
        <f>VLOOKUP(TablaCalificaciones[[#This Row],[Coherencia y manejo del tiempo]],PESOS!A$25:B$29,2,0)</f>
        <v>10</v>
      </c>
      <c r="AC135" s="1"/>
      <c r="AD135" s="1" t="s">
        <v>45</v>
      </c>
      <c r="AE135" s="22">
        <f>VLOOKUP(TablaCalificaciones[[#This Row],[Diapositivas como apoyo]],PESOS!A$25:B$29,2,0)</f>
        <v>10</v>
      </c>
      <c r="AF135" s="1"/>
      <c r="AG135" s="1" t="s">
        <v>51</v>
      </c>
      <c r="AH135" s="22">
        <f>VLOOKUP(TablaCalificaciones[[#This Row],[Respuestas a preguntas]],PESOS!A$25:B$29,2,0)</f>
        <v>8</v>
      </c>
      <c r="AI135" s="1"/>
      <c r="AJ135" s="1" t="s">
        <v>51</v>
      </c>
      <c r="AK135" s="22">
        <f>VLOOKUP(TablaCalificaciones[[#This Row],[Cierre: aporte a próximos pasos]],PESOS!A$25:B$29,2,0)</f>
        <v>8</v>
      </c>
      <c r="AL135" s="1"/>
      <c r="AM135" s="1"/>
    </row>
    <row r="136" spans="1:39">
      <c r="A136">
        <v>135</v>
      </c>
      <c r="B136" s="2">
        <v>46133.582118055601</v>
      </c>
      <c r="C136" s="2">
        <v>46133.582511574103</v>
      </c>
      <c r="D136" s="1" t="s">
        <v>54</v>
      </c>
      <c r="E136" s="1" t="s">
        <v>55</v>
      </c>
      <c r="G136" s="1"/>
      <c r="H136" s="2"/>
      <c r="I136" s="1" t="s">
        <v>41</v>
      </c>
      <c r="K136" s="1"/>
      <c r="L136" s="1" t="s">
        <v>56</v>
      </c>
      <c r="M136" s="26" t="str">
        <f>CONCATENATE(TablaCalificaciones[[#This Row],[Seleccione su nombre (Evaluador)]],TablaCalificaciones[[#This Row],[Seleccione el nombre del Estudiante]])</f>
        <v>Marco Antonio Galarza CastilloSarango Romero César Antonio</v>
      </c>
      <c r="N136" s="1"/>
      <c r="O136" s="1" t="s">
        <v>148</v>
      </c>
      <c r="Q136" s="1"/>
      <c r="R136" s="1" t="s">
        <v>44</v>
      </c>
      <c r="S136" s="22">
        <f>VLOOKUP(TablaCalificaciones[[#This Row],[Apertura: problema y objetivo ]],PESOS!A$16:B$20,2,0)</f>
        <v>20</v>
      </c>
      <c r="T136" s="1"/>
      <c r="U136" s="1" t="s">
        <v>44</v>
      </c>
      <c r="V136" s="22">
        <f>VLOOKUP(TablaCalificaciones[[#This Row],[Metodología (nivel adecuado)]],PESOS!A$16:B$20,2,0)</f>
        <v>20</v>
      </c>
      <c r="W136" s="1"/>
      <c r="X136" s="1" t="s">
        <v>44</v>
      </c>
      <c r="Y136" s="22">
        <f>VLOOKUP(TablaCalificaciones[[#This Row],[Resultados y evidencia ]],PESOS!A$16:B$20,2,0)</f>
        <v>20</v>
      </c>
      <c r="Z136" s="1"/>
      <c r="AA136" s="1" t="s">
        <v>45</v>
      </c>
      <c r="AB136" s="22">
        <f>VLOOKUP(TablaCalificaciones[[#This Row],[Coherencia y manejo del tiempo]],PESOS!A$25:B$29,2,0)</f>
        <v>10</v>
      </c>
      <c r="AC136" s="1"/>
      <c r="AD136" s="1" t="s">
        <v>45</v>
      </c>
      <c r="AE136" s="22">
        <f>VLOOKUP(TablaCalificaciones[[#This Row],[Diapositivas como apoyo]],PESOS!A$25:B$29,2,0)</f>
        <v>10</v>
      </c>
      <c r="AF136" s="1"/>
      <c r="AG136" s="1" t="s">
        <v>45</v>
      </c>
      <c r="AH136" s="22">
        <f>VLOOKUP(TablaCalificaciones[[#This Row],[Respuestas a preguntas]],PESOS!A$25:B$29,2,0)</f>
        <v>10</v>
      </c>
      <c r="AI136" s="1"/>
      <c r="AJ136" s="1" t="s">
        <v>45</v>
      </c>
      <c r="AK136" s="22">
        <f>VLOOKUP(TablaCalificaciones[[#This Row],[Cierre: aporte a próximos pasos]],PESOS!A$25:B$29,2,0)</f>
        <v>10</v>
      </c>
      <c r="AL136" s="1"/>
      <c r="AM136" s="1"/>
    </row>
    <row r="137" spans="1:39">
      <c r="A137">
        <v>136</v>
      </c>
      <c r="B137" s="2">
        <v>46133.582534722198</v>
      </c>
      <c r="C137" s="2">
        <v>46133.582858796297</v>
      </c>
      <c r="D137" s="1" t="s">
        <v>54</v>
      </c>
      <c r="E137" s="1" t="s">
        <v>55</v>
      </c>
      <c r="G137" s="1"/>
      <c r="H137" s="2"/>
      <c r="I137" s="1" t="s">
        <v>41</v>
      </c>
      <c r="K137" s="1"/>
      <c r="L137" s="1" t="s">
        <v>56</v>
      </c>
      <c r="M137" s="26" t="str">
        <f>CONCATENATE(TablaCalificaciones[[#This Row],[Seleccione su nombre (Evaluador)]],TablaCalificaciones[[#This Row],[Seleccione el nombre del Estudiante]])</f>
        <v>Marco Antonio Galarza CastilloTaco Sosa Luis Roberto</v>
      </c>
      <c r="N137" s="1"/>
      <c r="O137" s="1" t="s">
        <v>146</v>
      </c>
      <c r="Q137" s="1"/>
      <c r="R137" s="1" t="s">
        <v>44</v>
      </c>
      <c r="S137" s="22">
        <f>VLOOKUP(TablaCalificaciones[[#This Row],[Apertura: problema y objetivo ]],PESOS!A$16:B$20,2,0)</f>
        <v>20</v>
      </c>
      <c r="T137" s="1"/>
      <c r="U137" s="1" t="s">
        <v>44</v>
      </c>
      <c r="V137" s="22">
        <f>VLOOKUP(TablaCalificaciones[[#This Row],[Metodología (nivel adecuado)]],PESOS!A$16:B$20,2,0)</f>
        <v>20</v>
      </c>
      <c r="W137" s="1"/>
      <c r="X137" s="1" t="s">
        <v>44</v>
      </c>
      <c r="Y137" s="22">
        <f>VLOOKUP(TablaCalificaciones[[#This Row],[Resultados y evidencia ]],PESOS!A$16:B$20,2,0)</f>
        <v>20</v>
      </c>
      <c r="Z137" s="1"/>
      <c r="AA137" s="1" t="s">
        <v>45</v>
      </c>
      <c r="AB137" s="22">
        <f>VLOOKUP(TablaCalificaciones[[#This Row],[Coherencia y manejo del tiempo]],PESOS!A$25:B$29,2,0)</f>
        <v>10</v>
      </c>
      <c r="AC137" s="1"/>
      <c r="AD137" s="1" t="s">
        <v>45</v>
      </c>
      <c r="AE137" s="22">
        <f>VLOOKUP(TablaCalificaciones[[#This Row],[Diapositivas como apoyo]],PESOS!A$25:B$29,2,0)</f>
        <v>10</v>
      </c>
      <c r="AF137" s="1"/>
      <c r="AG137" s="1" t="s">
        <v>45</v>
      </c>
      <c r="AH137" s="22">
        <f>VLOOKUP(TablaCalificaciones[[#This Row],[Respuestas a preguntas]],PESOS!A$25:B$29,2,0)</f>
        <v>10</v>
      </c>
      <c r="AI137" s="1"/>
      <c r="AJ137" s="1" t="s">
        <v>45</v>
      </c>
      <c r="AK137" s="22">
        <f>VLOOKUP(TablaCalificaciones[[#This Row],[Cierre: aporte a próximos pasos]],PESOS!A$25:B$29,2,0)</f>
        <v>10</v>
      </c>
      <c r="AL137" s="1"/>
      <c r="AM137" s="1"/>
    </row>
    <row r="138" spans="1:39">
      <c r="A138">
        <v>137</v>
      </c>
      <c r="B138" s="2">
        <v>46133.5805555556</v>
      </c>
      <c r="C138" s="2">
        <v>46133.597685185203</v>
      </c>
      <c r="D138" s="1" t="s">
        <v>59</v>
      </c>
      <c r="E138" s="1" t="s">
        <v>60</v>
      </c>
      <c r="G138" s="1"/>
      <c r="H138" s="2"/>
      <c r="I138" s="1" t="s">
        <v>41</v>
      </c>
      <c r="K138" s="1"/>
      <c r="L138" s="1" t="s">
        <v>60</v>
      </c>
      <c r="M138" s="26" t="str">
        <f>CONCATENATE(TablaCalificaciones[[#This Row],[Seleccione su nombre (Evaluador)]],TablaCalificaciones[[#This Row],[Seleccione el nombre del Estudiante]])</f>
        <v>Santiago Leonardo SolórzanoGonzález Dávila José Luis</v>
      </c>
      <c r="N138" s="1"/>
      <c r="O138" s="1" t="s">
        <v>150</v>
      </c>
      <c r="Q138" s="1"/>
      <c r="R138" s="1" t="s">
        <v>44</v>
      </c>
      <c r="S138" s="22">
        <f>VLOOKUP(TablaCalificaciones[[#This Row],[Apertura: problema y objetivo ]],PESOS!A$16:B$20,2,0)</f>
        <v>20</v>
      </c>
      <c r="T138" s="1"/>
      <c r="U138" s="1" t="s">
        <v>44</v>
      </c>
      <c r="V138" s="22">
        <f>VLOOKUP(TablaCalificaciones[[#This Row],[Metodología (nivel adecuado)]],PESOS!A$16:B$20,2,0)</f>
        <v>20</v>
      </c>
      <c r="W138" s="1"/>
      <c r="X138" s="1" t="s">
        <v>50</v>
      </c>
      <c r="Y138" s="22">
        <f>VLOOKUP(TablaCalificaciones[[#This Row],[Resultados y evidencia ]],PESOS!A$16:B$20,2,0)</f>
        <v>16</v>
      </c>
      <c r="Z138" s="1"/>
      <c r="AA138" s="1" t="s">
        <v>45</v>
      </c>
      <c r="AB138" s="22">
        <f>VLOOKUP(TablaCalificaciones[[#This Row],[Coherencia y manejo del tiempo]],PESOS!A$25:B$29,2,0)</f>
        <v>10</v>
      </c>
      <c r="AC138" s="1"/>
      <c r="AD138" s="1" t="s">
        <v>45</v>
      </c>
      <c r="AE138" s="22">
        <f>VLOOKUP(TablaCalificaciones[[#This Row],[Diapositivas como apoyo]],PESOS!A$25:B$29,2,0)</f>
        <v>10</v>
      </c>
      <c r="AF138" s="1"/>
      <c r="AG138" s="1" t="s">
        <v>51</v>
      </c>
      <c r="AH138" s="22">
        <f>VLOOKUP(TablaCalificaciones[[#This Row],[Respuestas a preguntas]],PESOS!A$25:B$29,2,0)</f>
        <v>8</v>
      </c>
      <c r="AI138" s="1"/>
      <c r="AJ138" s="1" t="s">
        <v>45</v>
      </c>
      <c r="AK138" s="22">
        <f>VLOOKUP(TablaCalificaciones[[#This Row],[Cierre: aporte a próximos pasos]],PESOS!A$25:B$29,2,0)</f>
        <v>10</v>
      </c>
      <c r="AL138" s="1"/>
      <c r="AM138" s="1"/>
    </row>
    <row r="139" spans="1:39">
      <c r="A139">
        <v>138</v>
      </c>
      <c r="B139" s="2">
        <v>46133.580578703702</v>
      </c>
      <c r="C139" s="2">
        <v>46133.598101851901</v>
      </c>
      <c r="D139" s="1" t="s">
        <v>59</v>
      </c>
      <c r="E139" s="1" t="s">
        <v>60</v>
      </c>
      <c r="G139" s="1"/>
      <c r="H139" s="2"/>
      <c r="I139" s="1" t="s">
        <v>41</v>
      </c>
      <c r="K139" s="1"/>
      <c r="L139" s="1" t="s">
        <v>60</v>
      </c>
      <c r="M139" s="26" t="str">
        <f>CONCATENATE(TablaCalificaciones[[#This Row],[Seleccione su nombre (Evaluador)]],TablaCalificaciones[[#This Row],[Seleccione el nombre del Estudiante]])</f>
        <v>Santiago Leonardo SolórzanoYandún Rodríguez Daniel Martín</v>
      </c>
      <c r="N139" s="1"/>
      <c r="O139" s="1" t="s">
        <v>151</v>
      </c>
      <c r="Q139" s="1"/>
      <c r="R139" s="1" t="s">
        <v>44</v>
      </c>
      <c r="S139" s="22">
        <f>VLOOKUP(TablaCalificaciones[[#This Row],[Apertura: problema y objetivo ]],PESOS!A$16:B$20,2,0)</f>
        <v>20</v>
      </c>
      <c r="T139" s="1"/>
      <c r="U139" s="1" t="s">
        <v>44</v>
      </c>
      <c r="V139" s="22">
        <f>VLOOKUP(TablaCalificaciones[[#This Row],[Metodología (nivel adecuado)]],PESOS!A$16:B$20,2,0)</f>
        <v>20</v>
      </c>
      <c r="W139" s="1"/>
      <c r="X139" s="1" t="s">
        <v>50</v>
      </c>
      <c r="Y139" s="22">
        <f>VLOOKUP(TablaCalificaciones[[#This Row],[Resultados y evidencia ]],PESOS!A$16:B$20,2,0)</f>
        <v>16</v>
      </c>
      <c r="Z139" s="1"/>
      <c r="AA139" s="1" t="s">
        <v>45</v>
      </c>
      <c r="AB139" s="22">
        <f>VLOOKUP(TablaCalificaciones[[#This Row],[Coherencia y manejo del tiempo]],PESOS!A$25:B$29,2,0)</f>
        <v>10</v>
      </c>
      <c r="AC139" s="1"/>
      <c r="AD139" s="1" t="s">
        <v>45</v>
      </c>
      <c r="AE139" s="22">
        <f>VLOOKUP(TablaCalificaciones[[#This Row],[Diapositivas como apoyo]],PESOS!A$25:B$29,2,0)</f>
        <v>10</v>
      </c>
      <c r="AF139" s="1"/>
      <c r="AG139" s="1" t="s">
        <v>51</v>
      </c>
      <c r="AH139" s="22">
        <f>VLOOKUP(TablaCalificaciones[[#This Row],[Respuestas a preguntas]],PESOS!A$25:B$29,2,0)</f>
        <v>8</v>
      </c>
      <c r="AI139" s="1"/>
      <c r="AJ139" s="1" t="s">
        <v>45</v>
      </c>
      <c r="AK139" s="22">
        <f>VLOOKUP(TablaCalificaciones[[#This Row],[Cierre: aporte a próximos pasos]],PESOS!A$25:B$29,2,0)</f>
        <v>10</v>
      </c>
      <c r="AL139" s="1"/>
      <c r="AM139" s="1"/>
    </row>
    <row r="140" spans="1:39">
      <c r="A140">
        <v>139</v>
      </c>
      <c r="B140" s="2">
        <v>46133.583391203698</v>
      </c>
      <c r="C140" s="2">
        <v>46133.605092592603</v>
      </c>
      <c r="D140" s="1" t="s">
        <v>152</v>
      </c>
      <c r="E140" s="1" t="s">
        <v>153</v>
      </c>
      <c r="G140" s="1"/>
      <c r="H140" s="2"/>
      <c r="I140" s="1" t="s">
        <v>41</v>
      </c>
      <c r="K140" s="1"/>
      <c r="L140" s="1" t="s">
        <v>153</v>
      </c>
      <c r="M140" s="26" t="str">
        <f>CONCATENATE(TablaCalificaciones[[#This Row],[Seleccione su nombre (Evaluador)]],TablaCalificaciones[[#This Row],[Seleccione el nombre del Estudiante]])</f>
        <v>Cesar Andres Ron CusmeGonzález Dávila José Luis</v>
      </c>
      <c r="N140" s="1"/>
      <c r="O140" s="1" t="s">
        <v>150</v>
      </c>
      <c r="Q140" s="1"/>
      <c r="R140" s="1" t="s">
        <v>50</v>
      </c>
      <c r="S140" s="22">
        <f>VLOOKUP(TablaCalificaciones[[#This Row],[Apertura: problema y objetivo ]],PESOS!A$16:B$20,2,0)</f>
        <v>16</v>
      </c>
      <c r="T140" s="1"/>
      <c r="U140" s="1" t="s">
        <v>50</v>
      </c>
      <c r="V140" s="22">
        <f>VLOOKUP(TablaCalificaciones[[#This Row],[Metodología (nivel adecuado)]],PESOS!A$16:B$20,2,0)</f>
        <v>16</v>
      </c>
      <c r="W140" s="1"/>
      <c r="X140" s="1" t="s">
        <v>50</v>
      </c>
      <c r="Y140" s="22">
        <f>VLOOKUP(TablaCalificaciones[[#This Row],[Resultados y evidencia ]],PESOS!A$16:B$20,2,0)</f>
        <v>16</v>
      </c>
      <c r="Z140" s="1"/>
      <c r="AA140" s="1" t="s">
        <v>45</v>
      </c>
      <c r="AB140" s="22">
        <f>VLOOKUP(TablaCalificaciones[[#This Row],[Coherencia y manejo del tiempo]],PESOS!A$25:B$29,2,0)</f>
        <v>10</v>
      </c>
      <c r="AC140" s="1"/>
      <c r="AD140" s="1" t="s">
        <v>51</v>
      </c>
      <c r="AE140" s="22">
        <f>VLOOKUP(TablaCalificaciones[[#This Row],[Diapositivas como apoyo]],PESOS!A$25:B$29,2,0)</f>
        <v>8</v>
      </c>
      <c r="AF140" s="1"/>
      <c r="AG140" s="1" t="s">
        <v>51</v>
      </c>
      <c r="AH140" s="22">
        <f>VLOOKUP(TablaCalificaciones[[#This Row],[Respuestas a preguntas]],PESOS!A$25:B$29,2,0)</f>
        <v>8</v>
      </c>
      <c r="AI140" s="1"/>
      <c r="AJ140" s="1" t="s">
        <v>51</v>
      </c>
      <c r="AK140" s="22">
        <f>VLOOKUP(TablaCalificaciones[[#This Row],[Cierre: aporte a próximos pasos]],PESOS!A$25:B$29,2,0)</f>
        <v>8</v>
      </c>
      <c r="AL140" s="1"/>
      <c r="AM140" s="1"/>
    </row>
    <row r="141" spans="1:39">
      <c r="A141">
        <v>140</v>
      </c>
      <c r="B141" s="2">
        <v>46133.584224537</v>
      </c>
      <c r="C141" s="2">
        <v>46133.605231481502</v>
      </c>
      <c r="D141" s="1" t="s">
        <v>152</v>
      </c>
      <c r="E141" s="1" t="s">
        <v>153</v>
      </c>
      <c r="G141" s="1"/>
      <c r="H141" s="2"/>
      <c r="I141" s="1" t="s">
        <v>41</v>
      </c>
      <c r="K141" s="1"/>
      <c r="L141" s="1" t="s">
        <v>153</v>
      </c>
      <c r="M141" s="26" t="str">
        <f>CONCATENATE(TablaCalificaciones[[#This Row],[Seleccione su nombre (Evaluador)]],TablaCalificaciones[[#This Row],[Seleccione el nombre del Estudiante]])</f>
        <v>Cesar Andres Ron CusmeYandún Rodríguez Daniel Martín</v>
      </c>
      <c r="N141" s="1"/>
      <c r="O141" s="1" t="s">
        <v>151</v>
      </c>
      <c r="Q141" s="1"/>
      <c r="R141" s="1" t="s">
        <v>50</v>
      </c>
      <c r="S141" s="22">
        <f>VLOOKUP(TablaCalificaciones[[#This Row],[Apertura: problema y objetivo ]],PESOS!A$16:B$20,2,0)</f>
        <v>16</v>
      </c>
      <c r="T141" s="1"/>
      <c r="U141" s="1" t="s">
        <v>50</v>
      </c>
      <c r="V141" s="22">
        <f>VLOOKUP(TablaCalificaciones[[#This Row],[Metodología (nivel adecuado)]],PESOS!A$16:B$20,2,0)</f>
        <v>16</v>
      </c>
      <c r="W141" s="1"/>
      <c r="X141" s="1" t="s">
        <v>50</v>
      </c>
      <c r="Y141" s="22">
        <f>VLOOKUP(TablaCalificaciones[[#This Row],[Resultados y evidencia ]],PESOS!A$16:B$20,2,0)</f>
        <v>16</v>
      </c>
      <c r="Z141" s="1"/>
      <c r="AA141" s="1" t="s">
        <v>45</v>
      </c>
      <c r="AB141" s="22">
        <f>VLOOKUP(TablaCalificaciones[[#This Row],[Coherencia y manejo del tiempo]],PESOS!A$25:B$29,2,0)</f>
        <v>10</v>
      </c>
      <c r="AC141" s="1"/>
      <c r="AD141" s="1" t="s">
        <v>51</v>
      </c>
      <c r="AE141" s="22">
        <f>VLOOKUP(TablaCalificaciones[[#This Row],[Diapositivas como apoyo]],PESOS!A$25:B$29,2,0)</f>
        <v>8</v>
      </c>
      <c r="AF141" s="1"/>
      <c r="AG141" s="1" t="s">
        <v>45</v>
      </c>
      <c r="AH141" s="22">
        <f>VLOOKUP(TablaCalificaciones[[#This Row],[Respuestas a preguntas]],PESOS!A$25:B$29,2,0)</f>
        <v>10</v>
      </c>
      <c r="AI141" s="1"/>
      <c r="AJ141" s="1" t="s">
        <v>45</v>
      </c>
      <c r="AK141" s="22">
        <f>VLOOKUP(TablaCalificaciones[[#This Row],[Cierre: aporte a próximos pasos]],PESOS!A$25:B$29,2,0)</f>
        <v>10</v>
      </c>
      <c r="AL141" s="1"/>
      <c r="AM141" s="1"/>
    </row>
    <row r="142" spans="1:39">
      <c r="A142">
        <v>141</v>
      </c>
      <c r="B142" s="2">
        <v>46133.582175925898</v>
      </c>
      <c r="C142" s="2">
        <v>46133.628981481503</v>
      </c>
      <c r="D142" s="1" t="s">
        <v>39</v>
      </c>
      <c r="E142" s="1" t="s">
        <v>40</v>
      </c>
      <c r="G142" s="1"/>
      <c r="H142" s="2"/>
      <c r="I142" s="1" t="s">
        <v>41</v>
      </c>
      <c r="K142" s="1"/>
      <c r="L142" s="1" t="s">
        <v>42</v>
      </c>
      <c r="M142" s="26" t="str">
        <f>CONCATENATE(TablaCalificaciones[[#This Row],[Seleccione su nombre (Evaluador)]],TablaCalificaciones[[#This Row],[Seleccione el nombre del Estudiante]])</f>
        <v>Patricio David PonceGonzález Dávila José Luis</v>
      </c>
      <c r="N142" s="1"/>
      <c r="O142" s="1" t="s">
        <v>150</v>
      </c>
      <c r="Q142" s="1"/>
      <c r="R142" s="1" t="s">
        <v>44</v>
      </c>
      <c r="S142" s="22">
        <f>VLOOKUP(TablaCalificaciones[[#This Row],[Apertura: problema y objetivo ]],PESOS!A$16:B$20,2,0)</f>
        <v>20</v>
      </c>
      <c r="T142" s="1"/>
      <c r="U142" s="1" t="s">
        <v>44</v>
      </c>
      <c r="V142" s="22">
        <f>VLOOKUP(TablaCalificaciones[[#This Row],[Metodología (nivel adecuado)]],PESOS!A$16:B$20,2,0)</f>
        <v>20</v>
      </c>
      <c r="W142" s="1"/>
      <c r="X142" s="1" t="s">
        <v>44</v>
      </c>
      <c r="Y142" s="22">
        <f>VLOOKUP(TablaCalificaciones[[#This Row],[Resultados y evidencia ]],PESOS!A$16:B$20,2,0)</f>
        <v>20</v>
      </c>
      <c r="Z142" s="1"/>
      <c r="AA142" s="1" t="s">
        <v>45</v>
      </c>
      <c r="AB142" s="22">
        <f>VLOOKUP(TablaCalificaciones[[#This Row],[Coherencia y manejo del tiempo]],PESOS!A$25:B$29,2,0)</f>
        <v>10</v>
      </c>
      <c r="AC142" s="1"/>
      <c r="AD142" s="1" t="s">
        <v>45</v>
      </c>
      <c r="AE142" s="22">
        <f>VLOOKUP(TablaCalificaciones[[#This Row],[Diapositivas como apoyo]],PESOS!A$25:B$29,2,0)</f>
        <v>10</v>
      </c>
      <c r="AF142" s="1"/>
      <c r="AG142" s="1" t="s">
        <v>45</v>
      </c>
      <c r="AH142" s="22">
        <f>VLOOKUP(TablaCalificaciones[[#This Row],[Respuestas a preguntas]],PESOS!A$25:B$29,2,0)</f>
        <v>10</v>
      </c>
      <c r="AI142" s="1"/>
      <c r="AJ142" s="1" t="s">
        <v>45</v>
      </c>
      <c r="AK142" s="22">
        <f>VLOOKUP(TablaCalificaciones[[#This Row],[Cierre: aporte a próximos pasos]],PESOS!A$25:B$29,2,0)</f>
        <v>10</v>
      </c>
      <c r="AL142" s="1"/>
      <c r="AM142" s="1"/>
    </row>
    <row r="143" spans="1:39">
      <c r="A143">
        <v>142</v>
      </c>
      <c r="B143" s="2">
        <v>46133.629004629598</v>
      </c>
      <c r="C143" s="2">
        <v>46133.629282407397</v>
      </c>
      <c r="D143" s="1" t="s">
        <v>39</v>
      </c>
      <c r="E143" s="1" t="s">
        <v>40</v>
      </c>
      <c r="G143" s="1"/>
      <c r="H143" s="2"/>
      <c r="I143" s="1" t="s">
        <v>41</v>
      </c>
      <c r="K143" s="1"/>
      <c r="L143" s="1" t="s">
        <v>42</v>
      </c>
      <c r="M143" s="26" t="str">
        <f>CONCATENATE(TablaCalificaciones[[#This Row],[Seleccione su nombre (Evaluador)]],TablaCalificaciones[[#This Row],[Seleccione el nombre del Estudiante]])</f>
        <v>Patricio David PonceYandún Rodríguez Daniel Martín</v>
      </c>
      <c r="N143" s="1"/>
      <c r="O143" s="1" t="s">
        <v>151</v>
      </c>
      <c r="Q143" s="1"/>
      <c r="R143" s="1" t="s">
        <v>44</v>
      </c>
      <c r="S143" s="22">
        <f>VLOOKUP(TablaCalificaciones[[#This Row],[Apertura: problema y objetivo ]],PESOS!A$16:B$20,2,0)</f>
        <v>20</v>
      </c>
      <c r="T143" s="1"/>
      <c r="U143" s="1" t="s">
        <v>44</v>
      </c>
      <c r="V143" s="22">
        <f>VLOOKUP(TablaCalificaciones[[#This Row],[Metodología (nivel adecuado)]],PESOS!A$16:B$20,2,0)</f>
        <v>20</v>
      </c>
      <c r="W143" s="1"/>
      <c r="X143" s="1" t="s">
        <v>44</v>
      </c>
      <c r="Y143" s="22">
        <f>VLOOKUP(TablaCalificaciones[[#This Row],[Resultados y evidencia ]],PESOS!A$16:B$20,2,0)</f>
        <v>20</v>
      </c>
      <c r="Z143" s="1"/>
      <c r="AA143" s="1" t="s">
        <v>45</v>
      </c>
      <c r="AB143" s="22">
        <f>VLOOKUP(TablaCalificaciones[[#This Row],[Coherencia y manejo del tiempo]],PESOS!A$25:B$29,2,0)</f>
        <v>10</v>
      </c>
      <c r="AC143" s="1"/>
      <c r="AD143" s="1" t="s">
        <v>45</v>
      </c>
      <c r="AE143" s="22">
        <f>VLOOKUP(TablaCalificaciones[[#This Row],[Diapositivas como apoyo]],PESOS!A$25:B$29,2,0)</f>
        <v>10</v>
      </c>
      <c r="AF143" s="1"/>
      <c r="AG143" s="1" t="s">
        <v>45</v>
      </c>
      <c r="AH143" s="22">
        <f>VLOOKUP(TablaCalificaciones[[#This Row],[Respuestas a preguntas]],PESOS!A$25:B$29,2,0)</f>
        <v>10</v>
      </c>
      <c r="AI143" s="1"/>
      <c r="AJ143" s="1" t="s">
        <v>45</v>
      </c>
      <c r="AK143" s="22">
        <f>VLOOKUP(TablaCalificaciones[[#This Row],[Cierre: aporte a próximos pasos]],PESOS!A$25:B$29,2,0)</f>
        <v>10</v>
      </c>
      <c r="AL143" s="1"/>
      <c r="AM143" s="1"/>
    </row>
    <row r="144" spans="1:39">
      <c r="A144">
        <v>143</v>
      </c>
      <c r="B144" s="2">
        <v>46133.629305555602</v>
      </c>
      <c r="C144" s="2">
        <v>46133.630798611099</v>
      </c>
      <c r="D144" s="1" t="s">
        <v>39</v>
      </c>
      <c r="E144" s="1" t="s">
        <v>40</v>
      </c>
      <c r="G144" s="1"/>
      <c r="H144" s="2"/>
      <c r="I144" s="1" t="s">
        <v>41</v>
      </c>
      <c r="K144" s="1"/>
      <c r="L144" s="1" t="s">
        <v>42</v>
      </c>
      <c r="M144" s="26" t="str">
        <f>CONCATENATE(TablaCalificaciones[[#This Row],[Seleccione su nombre (Evaluador)]],TablaCalificaciones[[#This Row],[Seleccione el nombre del Estudiante]])</f>
        <v>Patricio David PonceVillavicencio Quiñonez Alex Santiago</v>
      </c>
      <c r="N144" s="1"/>
      <c r="O144" s="1" t="s">
        <v>137</v>
      </c>
      <c r="Q144" s="1"/>
      <c r="R144" s="1" t="s">
        <v>44</v>
      </c>
      <c r="S144" s="22">
        <f>VLOOKUP(TablaCalificaciones[[#This Row],[Apertura: problema y objetivo ]],PESOS!A$16:B$20,2,0)</f>
        <v>20</v>
      </c>
      <c r="T144" s="1"/>
      <c r="U144" s="1" t="s">
        <v>44</v>
      </c>
      <c r="V144" s="22">
        <f>VLOOKUP(TablaCalificaciones[[#This Row],[Metodología (nivel adecuado)]],PESOS!A$16:B$20,2,0)</f>
        <v>20</v>
      </c>
      <c r="W144" s="1"/>
      <c r="X144" s="1" t="s">
        <v>44</v>
      </c>
      <c r="Y144" s="22">
        <f>VLOOKUP(TablaCalificaciones[[#This Row],[Resultados y evidencia ]],PESOS!A$16:B$20,2,0)</f>
        <v>20</v>
      </c>
      <c r="Z144" s="1"/>
      <c r="AA144" s="1" t="s">
        <v>45</v>
      </c>
      <c r="AB144" s="22">
        <f>VLOOKUP(TablaCalificaciones[[#This Row],[Coherencia y manejo del tiempo]],PESOS!A$25:B$29,2,0)</f>
        <v>10</v>
      </c>
      <c r="AC144" s="1"/>
      <c r="AD144" s="1" t="s">
        <v>51</v>
      </c>
      <c r="AE144" s="22">
        <f>VLOOKUP(TablaCalificaciones[[#This Row],[Diapositivas como apoyo]],PESOS!A$25:B$29,2,0)</f>
        <v>8</v>
      </c>
      <c r="AF144" s="1"/>
      <c r="AG144" s="1" t="s">
        <v>51</v>
      </c>
      <c r="AH144" s="22">
        <f>VLOOKUP(TablaCalificaciones[[#This Row],[Respuestas a preguntas]],PESOS!A$25:B$29,2,0)</f>
        <v>8</v>
      </c>
      <c r="AI144" s="1"/>
      <c r="AJ144" s="1" t="s">
        <v>45</v>
      </c>
      <c r="AK144" s="22">
        <f>VLOOKUP(TablaCalificaciones[[#This Row],[Cierre: aporte a próximos pasos]],PESOS!A$25:B$29,2,0)</f>
        <v>10</v>
      </c>
      <c r="AL144" s="1"/>
      <c r="AM144" s="1"/>
    </row>
    <row r="145" spans="1:39">
      <c r="A145">
        <v>144</v>
      </c>
      <c r="B145" s="2">
        <v>46133.630821759303</v>
      </c>
      <c r="C145" s="2">
        <v>46133.631296296298</v>
      </c>
      <c r="D145" s="1" t="s">
        <v>39</v>
      </c>
      <c r="E145" s="1" t="s">
        <v>40</v>
      </c>
      <c r="G145" s="1"/>
      <c r="H145" s="2"/>
      <c r="I145" s="1" t="s">
        <v>41</v>
      </c>
      <c r="K145" s="1"/>
      <c r="L145" s="1" t="s">
        <v>42</v>
      </c>
      <c r="M145" s="26" t="str">
        <f>CONCATENATE(TablaCalificaciones[[#This Row],[Seleccione su nombre (Evaluador)]],TablaCalificaciones[[#This Row],[Seleccione el nombre del Estudiante]])</f>
        <v>Patricio David PonceVargas Moreira Marcela Sheccid</v>
      </c>
      <c r="N145" s="1"/>
      <c r="O145" s="1" t="s">
        <v>136</v>
      </c>
      <c r="Q145" s="1"/>
      <c r="R145" s="1" t="s">
        <v>44</v>
      </c>
      <c r="S145" s="22">
        <f>VLOOKUP(TablaCalificaciones[[#This Row],[Apertura: problema y objetivo ]],PESOS!A$16:B$20,2,0)</f>
        <v>20</v>
      </c>
      <c r="T145" s="1"/>
      <c r="U145" s="1" t="s">
        <v>44</v>
      </c>
      <c r="V145" s="22">
        <f>VLOOKUP(TablaCalificaciones[[#This Row],[Metodología (nivel adecuado)]],PESOS!A$16:B$20,2,0)</f>
        <v>20</v>
      </c>
      <c r="W145" s="1"/>
      <c r="X145" s="1" t="s">
        <v>44</v>
      </c>
      <c r="Y145" s="22">
        <f>VLOOKUP(TablaCalificaciones[[#This Row],[Resultados y evidencia ]],PESOS!A$16:B$20,2,0)</f>
        <v>20</v>
      </c>
      <c r="Z145" s="1"/>
      <c r="AA145" s="1" t="s">
        <v>45</v>
      </c>
      <c r="AB145" s="22">
        <f>VLOOKUP(TablaCalificaciones[[#This Row],[Coherencia y manejo del tiempo]],PESOS!A$25:B$29,2,0)</f>
        <v>10</v>
      </c>
      <c r="AC145" s="1"/>
      <c r="AD145" s="1" t="s">
        <v>51</v>
      </c>
      <c r="AE145" s="22">
        <f>VLOOKUP(TablaCalificaciones[[#This Row],[Diapositivas como apoyo]],PESOS!A$25:B$29,2,0)</f>
        <v>8</v>
      </c>
      <c r="AF145" s="1"/>
      <c r="AG145" s="1" t="s">
        <v>51</v>
      </c>
      <c r="AH145" s="22">
        <f>VLOOKUP(TablaCalificaciones[[#This Row],[Respuestas a preguntas]],PESOS!A$25:B$29,2,0)</f>
        <v>8</v>
      </c>
      <c r="AI145" s="1"/>
      <c r="AJ145" s="1" t="s">
        <v>45</v>
      </c>
      <c r="AK145" s="22">
        <f>VLOOKUP(TablaCalificaciones[[#This Row],[Cierre: aporte a próximos pasos]],PESOS!A$25:B$29,2,0)</f>
        <v>10</v>
      </c>
      <c r="AL145" s="1"/>
      <c r="AM145" s="1"/>
    </row>
    <row r="146" spans="1:39">
      <c r="A146">
        <v>145</v>
      </c>
      <c r="B146" s="2">
        <v>46133.631307870397</v>
      </c>
      <c r="C146" s="2">
        <v>46133.6316898148</v>
      </c>
      <c r="D146" s="1" t="s">
        <v>39</v>
      </c>
      <c r="E146" s="1" t="s">
        <v>40</v>
      </c>
      <c r="G146" s="1"/>
      <c r="H146" s="2"/>
      <c r="I146" s="1" t="s">
        <v>41</v>
      </c>
      <c r="K146" s="1"/>
      <c r="L146" s="1" t="s">
        <v>42</v>
      </c>
      <c r="M146" s="26" t="str">
        <f>CONCATENATE(TablaCalificaciones[[#This Row],[Seleccione su nombre (Evaluador)]],TablaCalificaciones[[#This Row],[Seleccione el nombre del Estudiante]])</f>
        <v>Patricio David PonceArmas Torres Diego Sebastian</v>
      </c>
      <c r="N146" s="1"/>
      <c r="O146" s="1" t="s">
        <v>135</v>
      </c>
      <c r="Q146" s="1"/>
      <c r="R146" s="1" t="s">
        <v>44</v>
      </c>
      <c r="S146" s="22">
        <f>VLOOKUP(TablaCalificaciones[[#This Row],[Apertura: problema y objetivo ]],PESOS!A$16:B$20,2,0)</f>
        <v>20</v>
      </c>
      <c r="T146" s="1"/>
      <c r="U146" s="1" t="s">
        <v>44</v>
      </c>
      <c r="V146" s="22">
        <f>VLOOKUP(TablaCalificaciones[[#This Row],[Metodología (nivel adecuado)]],PESOS!A$16:B$20,2,0)</f>
        <v>20</v>
      </c>
      <c r="W146" s="1"/>
      <c r="X146" s="1" t="s">
        <v>44</v>
      </c>
      <c r="Y146" s="22">
        <f>VLOOKUP(TablaCalificaciones[[#This Row],[Resultados y evidencia ]],PESOS!A$16:B$20,2,0)</f>
        <v>20</v>
      </c>
      <c r="Z146" s="1"/>
      <c r="AA146" s="1" t="s">
        <v>51</v>
      </c>
      <c r="AB146" s="22">
        <f>VLOOKUP(TablaCalificaciones[[#This Row],[Coherencia y manejo del tiempo]],PESOS!A$25:B$29,2,0)</f>
        <v>8</v>
      </c>
      <c r="AC146" s="1"/>
      <c r="AD146" s="1" t="s">
        <v>51</v>
      </c>
      <c r="AE146" s="22">
        <f>VLOOKUP(TablaCalificaciones[[#This Row],[Diapositivas como apoyo]],PESOS!A$25:B$29,2,0)</f>
        <v>8</v>
      </c>
      <c r="AF146" s="1"/>
      <c r="AG146" s="1" t="s">
        <v>51</v>
      </c>
      <c r="AH146" s="22">
        <f>VLOOKUP(TablaCalificaciones[[#This Row],[Respuestas a preguntas]],PESOS!A$25:B$29,2,0)</f>
        <v>8</v>
      </c>
      <c r="AI146" s="1"/>
      <c r="AJ146" s="1" t="s">
        <v>45</v>
      </c>
      <c r="AK146" s="22">
        <f>VLOOKUP(TablaCalificaciones[[#This Row],[Cierre: aporte a próximos pasos]],PESOS!A$25:B$29,2,0)</f>
        <v>10</v>
      </c>
      <c r="AL146" s="1"/>
      <c r="AM146" s="1"/>
    </row>
    <row r="147" spans="1:39">
      <c r="A147">
        <v>146</v>
      </c>
      <c r="B147" s="2">
        <v>46133.631712962997</v>
      </c>
      <c r="C147" s="2">
        <v>46133.633090277799</v>
      </c>
      <c r="D147" s="1" t="s">
        <v>39</v>
      </c>
      <c r="E147" s="1" t="s">
        <v>40</v>
      </c>
      <c r="G147" s="1"/>
      <c r="H147" s="2"/>
      <c r="I147" s="1" t="s">
        <v>41</v>
      </c>
      <c r="K147" s="1"/>
      <c r="L147" s="1" t="s">
        <v>42</v>
      </c>
      <c r="M147" s="26" t="str">
        <f>CONCATENATE(TablaCalificaciones[[#This Row],[Seleccione su nombre (Evaluador)]],TablaCalificaciones[[#This Row],[Seleccione el nombre del Estudiante]])</f>
        <v>Patricio David PoncePuente Ramírez María José</v>
      </c>
      <c r="N147" s="1"/>
      <c r="O147" s="1" t="s">
        <v>115</v>
      </c>
      <c r="Q147" s="1"/>
      <c r="R147" s="1" t="s">
        <v>44</v>
      </c>
      <c r="S147" s="22">
        <f>VLOOKUP(TablaCalificaciones[[#This Row],[Apertura: problema y objetivo ]],PESOS!A$16:B$20,2,0)</f>
        <v>20</v>
      </c>
      <c r="T147" s="1"/>
      <c r="U147" s="1" t="s">
        <v>50</v>
      </c>
      <c r="V147" s="22">
        <f>VLOOKUP(TablaCalificaciones[[#This Row],[Metodología (nivel adecuado)]],PESOS!A$16:B$20,2,0)</f>
        <v>16</v>
      </c>
      <c r="W147" s="1"/>
      <c r="X147" s="1" t="s">
        <v>50</v>
      </c>
      <c r="Y147" s="22">
        <f>VLOOKUP(TablaCalificaciones[[#This Row],[Resultados y evidencia ]],PESOS!A$16:B$20,2,0)</f>
        <v>16</v>
      </c>
      <c r="Z147" s="1"/>
      <c r="AA147" s="1" t="s">
        <v>51</v>
      </c>
      <c r="AB147" s="22">
        <f>VLOOKUP(TablaCalificaciones[[#This Row],[Coherencia y manejo del tiempo]],PESOS!A$25:B$29,2,0)</f>
        <v>8</v>
      </c>
      <c r="AC147" s="1"/>
      <c r="AD147" s="1" t="s">
        <v>45</v>
      </c>
      <c r="AE147" s="22">
        <f>VLOOKUP(TablaCalificaciones[[#This Row],[Diapositivas como apoyo]],PESOS!A$25:B$29,2,0)</f>
        <v>10</v>
      </c>
      <c r="AF147" s="1"/>
      <c r="AG147" s="1" t="s">
        <v>45</v>
      </c>
      <c r="AH147" s="22">
        <f>VLOOKUP(TablaCalificaciones[[#This Row],[Respuestas a preguntas]],PESOS!A$25:B$29,2,0)</f>
        <v>10</v>
      </c>
      <c r="AI147" s="1"/>
      <c r="AJ147" s="1" t="s">
        <v>45</v>
      </c>
      <c r="AK147" s="22">
        <f>VLOOKUP(TablaCalificaciones[[#This Row],[Cierre: aporte a próximos pasos]],PESOS!A$25:B$29,2,0)</f>
        <v>10</v>
      </c>
      <c r="AL147" s="1"/>
      <c r="AM147" s="1"/>
    </row>
    <row r="148" spans="1:39">
      <c r="A148">
        <v>147</v>
      </c>
      <c r="B148" s="2">
        <v>46133.633113425902</v>
      </c>
      <c r="C148" s="2">
        <v>46133.6337152778</v>
      </c>
      <c r="D148" s="1" t="s">
        <v>39</v>
      </c>
      <c r="E148" s="1" t="s">
        <v>40</v>
      </c>
      <c r="G148" s="1"/>
      <c r="H148" s="2"/>
      <c r="I148" s="1" t="s">
        <v>41</v>
      </c>
      <c r="K148" s="1"/>
      <c r="L148" s="1" t="s">
        <v>42</v>
      </c>
      <c r="M148" s="26" t="str">
        <f>CONCATENATE(TablaCalificaciones[[#This Row],[Seleccione su nombre (Evaluador)]],TablaCalificaciones[[#This Row],[Seleccione el nombre del Estudiante]])</f>
        <v>Patricio David PonceOrtiz Guamancela Lunix Efrén</v>
      </c>
      <c r="N148" s="1"/>
      <c r="O148" s="1" t="s">
        <v>114</v>
      </c>
      <c r="Q148" s="1"/>
      <c r="R148" s="1" t="s">
        <v>44</v>
      </c>
      <c r="S148" s="22">
        <f>VLOOKUP(TablaCalificaciones[[#This Row],[Apertura: problema y objetivo ]],PESOS!A$16:B$20,2,0)</f>
        <v>20</v>
      </c>
      <c r="T148" s="1"/>
      <c r="U148" s="1" t="s">
        <v>50</v>
      </c>
      <c r="V148" s="22">
        <f>VLOOKUP(TablaCalificaciones[[#This Row],[Metodología (nivel adecuado)]],PESOS!A$16:B$20,2,0)</f>
        <v>16</v>
      </c>
      <c r="W148" s="1"/>
      <c r="X148" s="1" t="s">
        <v>50</v>
      </c>
      <c r="Y148" s="22">
        <f>VLOOKUP(TablaCalificaciones[[#This Row],[Resultados y evidencia ]],PESOS!A$16:B$20,2,0)</f>
        <v>16</v>
      </c>
      <c r="Z148" s="1"/>
      <c r="AA148" s="1" t="s">
        <v>51</v>
      </c>
      <c r="AB148" s="22">
        <f>VLOOKUP(TablaCalificaciones[[#This Row],[Coherencia y manejo del tiempo]],PESOS!A$25:B$29,2,0)</f>
        <v>8</v>
      </c>
      <c r="AC148" s="1"/>
      <c r="AD148" s="1" t="s">
        <v>45</v>
      </c>
      <c r="AE148" s="22">
        <f>VLOOKUP(TablaCalificaciones[[#This Row],[Diapositivas como apoyo]],PESOS!A$25:B$29,2,0)</f>
        <v>10</v>
      </c>
      <c r="AF148" s="1"/>
      <c r="AG148" s="1" t="s">
        <v>45</v>
      </c>
      <c r="AH148" s="22">
        <f>VLOOKUP(TablaCalificaciones[[#This Row],[Respuestas a preguntas]],PESOS!A$25:B$29,2,0)</f>
        <v>10</v>
      </c>
      <c r="AI148" s="1"/>
      <c r="AJ148" s="1" t="s">
        <v>45</v>
      </c>
      <c r="AK148" s="22">
        <f>VLOOKUP(TablaCalificaciones[[#This Row],[Cierre: aporte a próximos pasos]],PESOS!A$25:B$29,2,0)</f>
        <v>10</v>
      </c>
      <c r="AL148" s="1"/>
      <c r="AM148" s="1"/>
    </row>
    <row r="149" spans="1:39">
      <c r="A149">
        <v>148</v>
      </c>
      <c r="B149" s="2">
        <v>46133.633738425902</v>
      </c>
      <c r="C149" s="2">
        <v>46133.6340740741</v>
      </c>
      <c r="D149" s="1" t="s">
        <v>39</v>
      </c>
      <c r="E149" s="1" t="s">
        <v>40</v>
      </c>
      <c r="G149" s="1"/>
      <c r="H149" s="2"/>
      <c r="I149" s="1" t="s">
        <v>41</v>
      </c>
      <c r="K149" s="1"/>
      <c r="L149" s="1" t="s">
        <v>42</v>
      </c>
      <c r="M149" s="26" t="str">
        <f>CONCATENATE(TablaCalificaciones[[#This Row],[Seleccione su nombre (Evaluador)]],TablaCalificaciones[[#This Row],[Seleccione el nombre del Estudiante]])</f>
        <v>Patricio David PonceÁlvarez Vásquez Marcelo</v>
      </c>
      <c r="N149" s="1"/>
      <c r="O149" s="1" t="s">
        <v>112</v>
      </c>
      <c r="Q149" s="1"/>
      <c r="R149" s="1" t="s">
        <v>44</v>
      </c>
      <c r="S149" s="22">
        <f>VLOOKUP(TablaCalificaciones[[#This Row],[Apertura: problema y objetivo ]],PESOS!A$16:B$20,2,0)</f>
        <v>20</v>
      </c>
      <c r="T149" s="1"/>
      <c r="U149" s="1" t="s">
        <v>50</v>
      </c>
      <c r="V149" s="22">
        <f>VLOOKUP(TablaCalificaciones[[#This Row],[Metodología (nivel adecuado)]],PESOS!A$16:B$20,2,0)</f>
        <v>16</v>
      </c>
      <c r="W149" s="1"/>
      <c r="X149" s="1" t="s">
        <v>50</v>
      </c>
      <c r="Y149" s="22">
        <f>VLOOKUP(TablaCalificaciones[[#This Row],[Resultados y evidencia ]],PESOS!A$16:B$20,2,0)</f>
        <v>16</v>
      </c>
      <c r="Z149" s="1"/>
      <c r="AA149" s="1" t="s">
        <v>51</v>
      </c>
      <c r="AB149" s="22">
        <f>VLOOKUP(TablaCalificaciones[[#This Row],[Coherencia y manejo del tiempo]],PESOS!A$25:B$29,2,0)</f>
        <v>8</v>
      </c>
      <c r="AC149" s="1"/>
      <c r="AD149" s="1" t="s">
        <v>45</v>
      </c>
      <c r="AE149" s="22">
        <f>VLOOKUP(TablaCalificaciones[[#This Row],[Diapositivas como apoyo]],PESOS!A$25:B$29,2,0)</f>
        <v>10</v>
      </c>
      <c r="AF149" s="1"/>
      <c r="AG149" s="1" t="s">
        <v>45</v>
      </c>
      <c r="AH149" s="22">
        <f>VLOOKUP(TablaCalificaciones[[#This Row],[Respuestas a preguntas]],PESOS!A$25:B$29,2,0)</f>
        <v>10</v>
      </c>
      <c r="AI149" s="1"/>
      <c r="AJ149" s="1" t="s">
        <v>45</v>
      </c>
      <c r="AK149" s="22">
        <f>VLOOKUP(TablaCalificaciones[[#This Row],[Cierre: aporte a próximos pasos]],PESOS!A$25:B$29,2,0)</f>
        <v>10</v>
      </c>
      <c r="AL149" s="1"/>
      <c r="AM149" s="1"/>
    </row>
    <row r="150" spans="1:39">
      <c r="A150">
        <v>149</v>
      </c>
      <c r="B150" s="2">
        <v>46133.634097222202</v>
      </c>
      <c r="C150" s="2">
        <v>46133.637129629598</v>
      </c>
      <c r="D150" s="1" t="s">
        <v>39</v>
      </c>
      <c r="E150" s="1" t="s">
        <v>40</v>
      </c>
      <c r="G150" s="1"/>
      <c r="H150" s="2"/>
      <c r="I150" s="1" t="s">
        <v>41</v>
      </c>
      <c r="K150" s="1"/>
      <c r="L150" s="1" t="s">
        <v>42</v>
      </c>
      <c r="M150" s="26" t="str">
        <f>CONCATENATE(TablaCalificaciones[[#This Row],[Seleccione su nombre (Evaluador)]],TablaCalificaciones[[#This Row],[Seleccione el nombre del Estudiante]])</f>
        <v>Patricio David PonceToapanta Sandoval Nicole Germania</v>
      </c>
      <c r="N150" s="1"/>
      <c r="O150" s="1" t="s">
        <v>72</v>
      </c>
      <c r="Q150" s="1"/>
      <c r="R150" s="1" t="s">
        <v>44</v>
      </c>
      <c r="S150" s="22">
        <f>VLOOKUP(TablaCalificaciones[[#This Row],[Apertura: problema y objetivo ]],PESOS!A$16:B$20,2,0)</f>
        <v>20</v>
      </c>
      <c r="T150" s="1"/>
      <c r="U150" s="1" t="s">
        <v>44</v>
      </c>
      <c r="V150" s="22">
        <f>VLOOKUP(TablaCalificaciones[[#This Row],[Metodología (nivel adecuado)]],PESOS!A$16:B$20,2,0)</f>
        <v>20</v>
      </c>
      <c r="W150" s="1"/>
      <c r="X150" s="1" t="s">
        <v>44</v>
      </c>
      <c r="Y150" s="22">
        <f>VLOOKUP(TablaCalificaciones[[#This Row],[Resultados y evidencia ]],PESOS!A$16:B$20,2,0)</f>
        <v>20</v>
      </c>
      <c r="Z150" s="1"/>
      <c r="AA150" s="1" t="s">
        <v>45</v>
      </c>
      <c r="AB150" s="22">
        <f>VLOOKUP(TablaCalificaciones[[#This Row],[Coherencia y manejo del tiempo]],PESOS!A$25:B$29,2,0)</f>
        <v>10</v>
      </c>
      <c r="AC150" s="1"/>
      <c r="AD150" s="1" t="s">
        <v>45</v>
      </c>
      <c r="AE150" s="22">
        <f>VLOOKUP(TablaCalificaciones[[#This Row],[Diapositivas como apoyo]],PESOS!A$25:B$29,2,0)</f>
        <v>10</v>
      </c>
      <c r="AF150" s="1"/>
      <c r="AG150" s="1" t="s">
        <v>45</v>
      </c>
      <c r="AH150" s="22">
        <f>VLOOKUP(TablaCalificaciones[[#This Row],[Respuestas a preguntas]],PESOS!A$25:B$29,2,0)</f>
        <v>10</v>
      </c>
      <c r="AI150" s="1"/>
      <c r="AJ150" s="1" t="s">
        <v>51</v>
      </c>
      <c r="AK150" s="22">
        <f>VLOOKUP(TablaCalificaciones[[#This Row],[Cierre: aporte a próximos pasos]],PESOS!A$25:B$29,2,0)</f>
        <v>8</v>
      </c>
      <c r="AL150" s="1"/>
      <c r="AM150" s="1"/>
    </row>
    <row r="151" spans="1:39">
      <c r="A151">
        <v>150</v>
      </c>
      <c r="B151" s="2">
        <v>46133.637152777803</v>
      </c>
      <c r="C151" s="2">
        <v>46133.637662036999</v>
      </c>
      <c r="D151" s="1" t="s">
        <v>39</v>
      </c>
      <c r="E151" s="1" t="s">
        <v>40</v>
      </c>
      <c r="G151" s="1"/>
      <c r="H151" s="2"/>
      <c r="I151" s="1" t="s">
        <v>41</v>
      </c>
      <c r="K151" s="1"/>
      <c r="L151" s="1" t="s">
        <v>42</v>
      </c>
      <c r="M151" s="26" t="str">
        <f>CONCATENATE(TablaCalificaciones[[#This Row],[Seleccione su nombre (Evaluador)]],TablaCalificaciones[[#This Row],[Seleccione el nombre del Estudiante]])</f>
        <v>Patricio David PoncePalomeque Núñez Oscar Esteban</v>
      </c>
      <c r="N151" s="1"/>
      <c r="O151" s="1" t="s">
        <v>73</v>
      </c>
      <c r="Q151" s="1"/>
      <c r="R151" s="1" t="s">
        <v>44</v>
      </c>
      <c r="S151" s="22">
        <f>VLOOKUP(TablaCalificaciones[[#This Row],[Apertura: problema y objetivo ]],PESOS!A$16:B$20,2,0)</f>
        <v>20</v>
      </c>
      <c r="T151" s="1"/>
      <c r="U151" s="1" t="s">
        <v>44</v>
      </c>
      <c r="V151" s="22">
        <f>VLOOKUP(TablaCalificaciones[[#This Row],[Metodología (nivel adecuado)]],PESOS!A$16:B$20,2,0)</f>
        <v>20</v>
      </c>
      <c r="W151" s="1"/>
      <c r="X151" s="1" t="s">
        <v>44</v>
      </c>
      <c r="Y151" s="22">
        <f>VLOOKUP(TablaCalificaciones[[#This Row],[Resultados y evidencia ]],PESOS!A$16:B$20,2,0)</f>
        <v>20</v>
      </c>
      <c r="Z151" s="1"/>
      <c r="AA151" s="1" t="s">
        <v>45</v>
      </c>
      <c r="AB151" s="22">
        <f>VLOOKUP(TablaCalificaciones[[#This Row],[Coherencia y manejo del tiempo]],PESOS!A$25:B$29,2,0)</f>
        <v>10</v>
      </c>
      <c r="AC151" s="1"/>
      <c r="AD151" s="1" t="s">
        <v>45</v>
      </c>
      <c r="AE151" s="22">
        <f>VLOOKUP(TablaCalificaciones[[#This Row],[Diapositivas como apoyo]],PESOS!A$25:B$29,2,0)</f>
        <v>10</v>
      </c>
      <c r="AF151" s="1"/>
      <c r="AG151" s="1" t="s">
        <v>45</v>
      </c>
      <c r="AH151" s="22">
        <f>VLOOKUP(TablaCalificaciones[[#This Row],[Respuestas a preguntas]],PESOS!A$25:B$29,2,0)</f>
        <v>10</v>
      </c>
      <c r="AI151" s="1"/>
      <c r="AJ151" s="1" t="s">
        <v>51</v>
      </c>
      <c r="AK151" s="22">
        <f>VLOOKUP(TablaCalificaciones[[#This Row],[Cierre: aporte a próximos pasos]],PESOS!A$25:B$29,2,0)</f>
        <v>8</v>
      </c>
      <c r="AL151" s="1"/>
      <c r="AM151" s="1"/>
    </row>
    <row r="152" spans="1:39">
      <c r="A152">
        <v>151</v>
      </c>
      <c r="B152" s="2">
        <v>46133.637696759302</v>
      </c>
      <c r="C152" s="2">
        <v>46133.638495370396</v>
      </c>
      <c r="D152" s="1" t="s">
        <v>39</v>
      </c>
      <c r="E152" s="1" t="s">
        <v>40</v>
      </c>
      <c r="G152" s="1"/>
      <c r="H152" s="2"/>
      <c r="I152" s="1" t="s">
        <v>41</v>
      </c>
      <c r="K152" s="1"/>
      <c r="L152" s="1" t="s">
        <v>42</v>
      </c>
      <c r="M152" s="26" t="str">
        <f>CONCATENATE(TablaCalificaciones[[#This Row],[Seleccione su nombre (Evaluador)]],TablaCalificaciones[[#This Row],[Seleccione el nombre del Estudiante]])</f>
        <v>Patricio David PonceSacoto Macías Alicia Fernanda</v>
      </c>
      <c r="N152" s="1"/>
      <c r="O152" s="1" t="s">
        <v>64</v>
      </c>
      <c r="Q152" s="1"/>
      <c r="R152" s="1" t="s">
        <v>44</v>
      </c>
      <c r="S152" s="22">
        <f>VLOOKUP(TablaCalificaciones[[#This Row],[Apertura: problema y objetivo ]],PESOS!A$16:B$20,2,0)</f>
        <v>20</v>
      </c>
      <c r="T152" s="1"/>
      <c r="U152" s="1" t="s">
        <v>44</v>
      </c>
      <c r="V152" s="22">
        <f>VLOOKUP(TablaCalificaciones[[#This Row],[Metodología (nivel adecuado)]],PESOS!A$16:B$20,2,0)</f>
        <v>20</v>
      </c>
      <c r="W152" s="1"/>
      <c r="X152" s="1" t="s">
        <v>44</v>
      </c>
      <c r="Y152" s="22">
        <f>VLOOKUP(TablaCalificaciones[[#This Row],[Resultados y evidencia ]],PESOS!A$16:B$20,2,0)</f>
        <v>20</v>
      </c>
      <c r="Z152" s="1"/>
      <c r="AA152" s="1" t="s">
        <v>45</v>
      </c>
      <c r="AB152" s="22">
        <f>VLOOKUP(TablaCalificaciones[[#This Row],[Coherencia y manejo del tiempo]],PESOS!A$25:B$29,2,0)</f>
        <v>10</v>
      </c>
      <c r="AC152" s="1"/>
      <c r="AD152" s="1" t="s">
        <v>45</v>
      </c>
      <c r="AE152" s="22">
        <f>VLOOKUP(TablaCalificaciones[[#This Row],[Diapositivas como apoyo]],PESOS!A$25:B$29,2,0)</f>
        <v>10</v>
      </c>
      <c r="AF152" s="1"/>
      <c r="AG152" s="1" t="s">
        <v>45</v>
      </c>
      <c r="AH152" s="22">
        <f>VLOOKUP(TablaCalificaciones[[#This Row],[Respuestas a preguntas]],PESOS!A$25:B$29,2,0)</f>
        <v>10</v>
      </c>
      <c r="AI152" s="1"/>
      <c r="AJ152" s="1" t="s">
        <v>45</v>
      </c>
      <c r="AK152" s="22">
        <f>VLOOKUP(TablaCalificaciones[[#This Row],[Cierre: aporte a próximos pasos]],PESOS!A$25:B$29,2,0)</f>
        <v>10</v>
      </c>
      <c r="AL152" s="1"/>
      <c r="AM152" s="1"/>
    </row>
    <row r="153" spans="1:39">
      <c r="A153">
        <v>152</v>
      </c>
      <c r="B153" s="2">
        <v>46133.6385069444</v>
      </c>
      <c r="C153" s="2">
        <v>46133.6403587963</v>
      </c>
      <c r="D153" s="1" t="s">
        <v>39</v>
      </c>
      <c r="E153" s="1" t="s">
        <v>40</v>
      </c>
      <c r="G153" s="1"/>
      <c r="H153" s="2"/>
      <c r="I153" s="1" t="s">
        <v>41</v>
      </c>
      <c r="K153" s="1"/>
      <c r="L153" s="1" t="s">
        <v>42</v>
      </c>
      <c r="M153" s="26" t="str">
        <f>CONCATENATE(TablaCalificaciones[[#This Row],[Seleccione su nombre (Evaluador)]],TablaCalificaciones[[#This Row],[Seleccione el nombre del Estudiante]])</f>
        <v>Patricio David PonceFernández Lazcano María José</v>
      </c>
      <c r="N153" s="1"/>
      <c r="O153" s="1" t="s">
        <v>63</v>
      </c>
      <c r="Q153" s="1"/>
      <c r="R153" s="1" t="s">
        <v>44</v>
      </c>
      <c r="S153" s="22">
        <f>VLOOKUP(TablaCalificaciones[[#This Row],[Apertura: problema y objetivo ]],PESOS!A$16:B$20,2,0)</f>
        <v>20</v>
      </c>
      <c r="T153" s="1"/>
      <c r="U153" s="1" t="s">
        <v>44</v>
      </c>
      <c r="V153" s="22">
        <f>VLOOKUP(TablaCalificaciones[[#This Row],[Metodología (nivel adecuado)]],PESOS!A$16:B$20,2,0)</f>
        <v>20</v>
      </c>
      <c r="W153" s="1"/>
      <c r="X153" s="1" t="s">
        <v>44</v>
      </c>
      <c r="Y153" s="22">
        <f>VLOOKUP(TablaCalificaciones[[#This Row],[Resultados y evidencia ]],PESOS!A$16:B$20,2,0)</f>
        <v>20</v>
      </c>
      <c r="Z153" s="1"/>
      <c r="AA153" s="1" t="s">
        <v>45</v>
      </c>
      <c r="AB153" s="22">
        <f>VLOOKUP(TablaCalificaciones[[#This Row],[Coherencia y manejo del tiempo]],PESOS!A$25:B$29,2,0)</f>
        <v>10</v>
      </c>
      <c r="AC153" s="1"/>
      <c r="AD153" s="1" t="s">
        <v>45</v>
      </c>
      <c r="AE153" s="22">
        <f>VLOOKUP(TablaCalificaciones[[#This Row],[Diapositivas como apoyo]],PESOS!A$25:B$29,2,0)</f>
        <v>10</v>
      </c>
      <c r="AF153" s="1"/>
      <c r="AG153" s="1" t="s">
        <v>45</v>
      </c>
      <c r="AH153" s="22">
        <f>VLOOKUP(TablaCalificaciones[[#This Row],[Respuestas a preguntas]],PESOS!A$25:B$29,2,0)</f>
        <v>10</v>
      </c>
      <c r="AI153" s="1"/>
      <c r="AJ153" s="1" t="s">
        <v>45</v>
      </c>
      <c r="AK153" s="22">
        <f>VLOOKUP(TablaCalificaciones[[#This Row],[Cierre: aporte a próximos pasos]],PESOS!A$25:B$29,2,0)</f>
        <v>10</v>
      </c>
      <c r="AL153" s="1"/>
      <c r="AM153" s="1"/>
    </row>
    <row r="154" spans="1:39">
      <c r="A154">
        <v>153</v>
      </c>
      <c r="B154" s="2">
        <v>46133.640370370398</v>
      </c>
      <c r="C154" s="2">
        <v>46133.640740740702</v>
      </c>
      <c r="D154" s="1" t="s">
        <v>39</v>
      </c>
      <c r="E154" s="1" t="s">
        <v>40</v>
      </c>
      <c r="G154" s="1"/>
      <c r="H154" s="2"/>
      <c r="I154" s="1" t="s">
        <v>41</v>
      </c>
      <c r="K154" s="1"/>
      <c r="L154" s="1" t="s">
        <v>42</v>
      </c>
      <c r="M154" s="26" t="str">
        <f>CONCATENATE(TablaCalificaciones[[#This Row],[Seleccione su nombre (Evaluador)]],TablaCalificaciones[[#This Row],[Seleccione el nombre del Estudiante]])</f>
        <v>Patricio David PonceZaldumbide Egas Ana Cristina</v>
      </c>
      <c r="N154" s="1"/>
      <c r="O154" s="1" t="s">
        <v>65</v>
      </c>
      <c r="Q154" s="1"/>
      <c r="R154" s="1" t="s">
        <v>44</v>
      </c>
      <c r="S154" s="22">
        <f>VLOOKUP(TablaCalificaciones[[#This Row],[Apertura: problema y objetivo ]],PESOS!A$16:B$20,2,0)</f>
        <v>20</v>
      </c>
      <c r="T154" s="1"/>
      <c r="U154" s="1" t="s">
        <v>44</v>
      </c>
      <c r="V154" s="22">
        <f>VLOOKUP(TablaCalificaciones[[#This Row],[Metodología (nivel adecuado)]],PESOS!A$16:B$20,2,0)</f>
        <v>20</v>
      </c>
      <c r="W154" s="1"/>
      <c r="X154" s="1" t="s">
        <v>44</v>
      </c>
      <c r="Y154" s="22">
        <f>VLOOKUP(TablaCalificaciones[[#This Row],[Resultados y evidencia ]],PESOS!A$16:B$20,2,0)</f>
        <v>20</v>
      </c>
      <c r="Z154" s="1"/>
      <c r="AA154" s="1" t="s">
        <v>45</v>
      </c>
      <c r="AB154" s="22">
        <f>VLOOKUP(TablaCalificaciones[[#This Row],[Coherencia y manejo del tiempo]],PESOS!A$25:B$29,2,0)</f>
        <v>10</v>
      </c>
      <c r="AC154" s="1"/>
      <c r="AD154" s="1" t="s">
        <v>45</v>
      </c>
      <c r="AE154" s="22">
        <f>VLOOKUP(TablaCalificaciones[[#This Row],[Diapositivas como apoyo]],PESOS!A$25:B$29,2,0)</f>
        <v>10</v>
      </c>
      <c r="AF154" s="1"/>
      <c r="AG154" s="1" t="s">
        <v>45</v>
      </c>
      <c r="AH154" s="22">
        <f>VLOOKUP(TablaCalificaciones[[#This Row],[Respuestas a preguntas]],PESOS!A$25:B$29,2,0)</f>
        <v>10</v>
      </c>
      <c r="AI154" s="1"/>
      <c r="AJ154" s="1" t="s">
        <v>45</v>
      </c>
      <c r="AK154" s="22">
        <f>VLOOKUP(TablaCalificaciones[[#This Row],[Cierre: aporte a próximos pasos]],PESOS!A$25:B$29,2,0)</f>
        <v>10</v>
      </c>
      <c r="AL154" s="1"/>
      <c r="AM154" s="1"/>
    </row>
    <row r="155" spans="1:39">
      <c r="A155">
        <v>154</v>
      </c>
      <c r="B155" s="2">
        <v>46133.640775462998</v>
      </c>
      <c r="C155" s="2">
        <v>46133.641655092601</v>
      </c>
      <c r="D155" s="1" t="s">
        <v>39</v>
      </c>
      <c r="E155" s="1" t="s">
        <v>40</v>
      </c>
      <c r="G155" s="1"/>
      <c r="H155" s="2"/>
      <c r="I155" s="1" t="s">
        <v>41</v>
      </c>
      <c r="K155" s="1"/>
      <c r="L155" s="1" t="s">
        <v>42</v>
      </c>
      <c r="M155" s="26" t="str">
        <f>CONCATENATE(TablaCalificaciones[[#This Row],[Seleccione su nombre (Evaluador)]],TablaCalificaciones[[#This Row],[Seleccione el nombre del Estudiante]])</f>
        <v>Patricio David PonceRojas González María Fernanda</v>
      </c>
      <c r="N155" s="1"/>
      <c r="O155" s="1" t="s">
        <v>49</v>
      </c>
      <c r="Q155" s="1"/>
      <c r="R155" s="1" t="s">
        <v>44</v>
      </c>
      <c r="S155" s="22">
        <f>VLOOKUP(TablaCalificaciones[[#This Row],[Apertura: problema y objetivo ]],PESOS!A$16:B$20,2,0)</f>
        <v>20</v>
      </c>
      <c r="T155" s="1"/>
      <c r="U155" s="1" t="s">
        <v>44</v>
      </c>
      <c r="V155" s="22">
        <f>VLOOKUP(TablaCalificaciones[[#This Row],[Metodología (nivel adecuado)]],PESOS!A$16:B$20,2,0)</f>
        <v>20</v>
      </c>
      <c r="W155" s="1"/>
      <c r="X155" s="1" t="s">
        <v>44</v>
      </c>
      <c r="Y155" s="22">
        <f>VLOOKUP(TablaCalificaciones[[#This Row],[Resultados y evidencia ]],PESOS!A$16:B$20,2,0)</f>
        <v>20</v>
      </c>
      <c r="Z155" s="1"/>
      <c r="AA155" s="1" t="s">
        <v>45</v>
      </c>
      <c r="AB155" s="22">
        <f>VLOOKUP(TablaCalificaciones[[#This Row],[Coherencia y manejo del tiempo]],PESOS!A$25:B$29,2,0)</f>
        <v>10</v>
      </c>
      <c r="AC155" s="1"/>
      <c r="AD155" s="1" t="s">
        <v>45</v>
      </c>
      <c r="AE155" s="22">
        <f>VLOOKUP(TablaCalificaciones[[#This Row],[Diapositivas como apoyo]],PESOS!A$25:B$29,2,0)</f>
        <v>10</v>
      </c>
      <c r="AF155" s="1"/>
      <c r="AG155" s="1" t="s">
        <v>45</v>
      </c>
      <c r="AH155" s="22">
        <f>VLOOKUP(TablaCalificaciones[[#This Row],[Respuestas a preguntas]],PESOS!A$25:B$29,2,0)</f>
        <v>10</v>
      </c>
      <c r="AI155" s="1"/>
      <c r="AJ155" s="1" t="s">
        <v>45</v>
      </c>
      <c r="AK155" s="22">
        <f>VLOOKUP(TablaCalificaciones[[#This Row],[Cierre: aporte a próximos pasos]],PESOS!A$25:B$29,2,0)</f>
        <v>10</v>
      </c>
      <c r="AL155" s="1"/>
      <c r="AM155" s="1"/>
    </row>
    <row r="156" spans="1:39">
      <c r="A156">
        <v>155</v>
      </c>
      <c r="B156" s="2">
        <v>46133.641666666699</v>
      </c>
      <c r="C156" s="2">
        <v>46133.642037037003</v>
      </c>
      <c r="D156" s="1" t="s">
        <v>39</v>
      </c>
      <c r="E156" s="1" t="s">
        <v>40</v>
      </c>
      <c r="G156" s="1"/>
      <c r="H156" s="2"/>
      <c r="I156" s="1" t="s">
        <v>41</v>
      </c>
      <c r="K156" s="1"/>
      <c r="L156" s="1" t="s">
        <v>42</v>
      </c>
      <c r="M156" s="26" t="str">
        <f>CONCATENATE(TablaCalificaciones[[#This Row],[Seleccione su nombre (Evaluador)]],TablaCalificaciones[[#This Row],[Seleccione el nombre del Estudiante]])</f>
        <v>Patricio David PonceRueda Bravo Erick Josué</v>
      </c>
      <c r="N156" s="1"/>
      <c r="O156" s="1" t="s">
        <v>53</v>
      </c>
      <c r="Q156" s="1"/>
      <c r="R156" s="1" t="s">
        <v>44</v>
      </c>
      <c r="S156" s="22">
        <f>VLOOKUP(TablaCalificaciones[[#This Row],[Apertura: problema y objetivo ]],PESOS!A$16:B$20,2,0)</f>
        <v>20</v>
      </c>
      <c r="T156" s="1"/>
      <c r="U156" s="1" t="s">
        <v>44</v>
      </c>
      <c r="V156" s="22">
        <f>VLOOKUP(TablaCalificaciones[[#This Row],[Metodología (nivel adecuado)]],PESOS!A$16:B$20,2,0)</f>
        <v>20</v>
      </c>
      <c r="W156" s="1"/>
      <c r="X156" s="1" t="s">
        <v>44</v>
      </c>
      <c r="Y156" s="22">
        <f>VLOOKUP(TablaCalificaciones[[#This Row],[Resultados y evidencia ]],PESOS!A$16:B$20,2,0)</f>
        <v>20</v>
      </c>
      <c r="Z156" s="1"/>
      <c r="AA156" s="1" t="s">
        <v>45</v>
      </c>
      <c r="AB156" s="22">
        <f>VLOOKUP(TablaCalificaciones[[#This Row],[Coherencia y manejo del tiempo]],PESOS!A$25:B$29,2,0)</f>
        <v>10</v>
      </c>
      <c r="AC156" s="1"/>
      <c r="AD156" s="1" t="s">
        <v>45</v>
      </c>
      <c r="AE156" s="22">
        <f>VLOOKUP(TablaCalificaciones[[#This Row],[Diapositivas como apoyo]],PESOS!A$25:B$29,2,0)</f>
        <v>10</v>
      </c>
      <c r="AF156" s="1"/>
      <c r="AG156" s="1" t="s">
        <v>45</v>
      </c>
      <c r="AH156" s="22">
        <f>VLOOKUP(TablaCalificaciones[[#This Row],[Respuestas a preguntas]],PESOS!A$25:B$29,2,0)</f>
        <v>10</v>
      </c>
      <c r="AI156" s="1"/>
      <c r="AJ156" s="1" t="s">
        <v>45</v>
      </c>
      <c r="AK156" s="22">
        <f>VLOOKUP(TablaCalificaciones[[#This Row],[Cierre: aporte a próximos pasos]],PESOS!A$25:B$29,2,0)</f>
        <v>10</v>
      </c>
      <c r="AL156" s="1"/>
      <c r="AM156" s="1"/>
    </row>
    <row r="157" spans="1:39">
      <c r="A157">
        <v>156</v>
      </c>
      <c r="B157" s="2">
        <v>46133.642060185201</v>
      </c>
      <c r="C157" s="2">
        <v>46133.643229166701</v>
      </c>
      <c r="D157" s="1" t="s">
        <v>39</v>
      </c>
      <c r="E157" s="1" t="s">
        <v>40</v>
      </c>
      <c r="G157" s="1"/>
      <c r="H157" s="2"/>
      <c r="I157" s="1" t="s">
        <v>41</v>
      </c>
      <c r="K157" s="1"/>
      <c r="L157" s="1" t="s">
        <v>42</v>
      </c>
      <c r="M157" s="26" t="str">
        <f>CONCATENATE(TablaCalificaciones[[#This Row],[Seleccione su nombre (Evaluador)]],TablaCalificaciones[[#This Row],[Seleccione el nombre del Estudiante]])</f>
        <v>Patricio David PonceMartínez Porte Carlos Sebastián</v>
      </c>
      <c r="N157" s="1"/>
      <c r="O157" s="1" t="s">
        <v>58</v>
      </c>
      <c r="Q157" s="1"/>
      <c r="R157" s="1" t="s">
        <v>44</v>
      </c>
      <c r="S157" s="22">
        <f>VLOOKUP(TablaCalificaciones[[#This Row],[Apertura: problema y objetivo ]],PESOS!A$16:B$20,2,0)</f>
        <v>20</v>
      </c>
      <c r="T157" s="1"/>
      <c r="U157" s="1" t="s">
        <v>44</v>
      </c>
      <c r="V157" s="22">
        <f>VLOOKUP(TablaCalificaciones[[#This Row],[Metodología (nivel adecuado)]],PESOS!A$16:B$20,2,0)</f>
        <v>20</v>
      </c>
      <c r="W157" s="1"/>
      <c r="X157" s="1" t="s">
        <v>44</v>
      </c>
      <c r="Y157" s="22">
        <f>VLOOKUP(TablaCalificaciones[[#This Row],[Resultados y evidencia ]],PESOS!A$16:B$20,2,0)</f>
        <v>20</v>
      </c>
      <c r="Z157" s="1"/>
      <c r="AA157" s="1" t="s">
        <v>51</v>
      </c>
      <c r="AB157" s="22">
        <f>VLOOKUP(TablaCalificaciones[[#This Row],[Coherencia y manejo del tiempo]],PESOS!A$25:B$29,2,0)</f>
        <v>8</v>
      </c>
      <c r="AC157" s="1"/>
      <c r="AD157" s="1" t="s">
        <v>51</v>
      </c>
      <c r="AE157" s="22">
        <f>VLOOKUP(TablaCalificaciones[[#This Row],[Diapositivas como apoyo]],PESOS!A$25:B$29,2,0)</f>
        <v>8</v>
      </c>
      <c r="AF157" s="1"/>
      <c r="AG157" s="1" t="s">
        <v>51</v>
      </c>
      <c r="AH157" s="22">
        <f>VLOOKUP(TablaCalificaciones[[#This Row],[Respuestas a preguntas]],PESOS!A$25:B$29,2,0)</f>
        <v>8</v>
      </c>
      <c r="AI157" s="1"/>
      <c r="AJ157" s="1" t="s">
        <v>51</v>
      </c>
      <c r="AK157" s="22">
        <f>VLOOKUP(TablaCalificaciones[[#This Row],[Cierre: aporte a próximos pasos]],PESOS!A$25:B$29,2,0)</f>
        <v>8</v>
      </c>
      <c r="AL157" s="1"/>
      <c r="AM157" s="1"/>
    </row>
    <row r="158" spans="1:39">
      <c r="A158">
        <v>157</v>
      </c>
      <c r="B158" s="2">
        <v>46133.643252314803</v>
      </c>
      <c r="C158" s="2">
        <v>46133.643553240698</v>
      </c>
      <c r="D158" s="1" t="s">
        <v>39</v>
      </c>
      <c r="E158" s="1" t="s">
        <v>40</v>
      </c>
      <c r="G158" s="1"/>
      <c r="H158" s="2"/>
      <c r="I158" s="1" t="s">
        <v>41</v>
      </c>
      <c r="K158" s="1"/>
      <c r="L158" s="1" t="s">
        <v>42</v>
      </c>
      <c r="M158" s="26" t="str">
        <f>CONCATENATE(TablaCalificaciones[[#This Row],[Seleccione su nombre (Evaluador)]],TablaCalificaciones[[#This Row],[Seleccione el nombre del Estudiante]])</f>
        <v>Patricio David PonceCalderón Tuárez Diana Alejandra</v>
      </c>
      <c r="N158" s="1"/>
      <c r="O158" s="1" t="s">
        <v>57</v>
      </c>
      <c r="Q158" s="1"/>
      <c r="R158" s="1" t="s">
        <v>44</v>
      </c>
      <c r="S158" s="22">
        <f>VLOOKUP(TablaCalificaciones[[#This Row],[Apertura: problema y objetivo ]],PESOS!A$16:B$20,2,0)</f>
        <v>20</v>
      </c>
      <c r="T158" s="1"/>
      <c r="U158" s="1" t="s">
        <v>44</v>
      </c>
      <c r="V158" s="22">
        <f>VLOOKUP(TablaCalificaciones[[#This Row],[Metodología (nivel adecuado)]],PESOS!A$16:B$20,2,0)</f>
        <v>20</v>
      </c>
      <c r="W158" s="1"/>
      <c r="X158" s="1" t="s">
        <v>44</v>
      </c>
      <c r="Y158" s="22">
        <f>VLOOKUP(TablaCalificaciones[[#This Row],[Resultados y evidencia ]],PESOS!A$16:B$20,2,0)</f>
        <v>20</v>
      </c>
      <c r="Z158" s="1"/>
      <c r="AA158" s="1" t="s">
        <v>51</v>
      </c>
      <c r="AB158" s="22">
        <f>VLOOKUP(TablaCalificaciones[[#This Row],[Coherencia y manejo del tiempo]],PESOS!A$25:B$29,2,0)</f>
        <v>8</v>
      </c>
      <c r="AC158" s="1"/>
      <c r="AD158" s="1" t="s">
        <v>51</v>
      </c>
      <c r="AE158" s="22">
        <f>VLOOKUP(TablaCalificaciones[[#This Row],[Diapositivas como apoyo]],PESOS!A$25:B$29,2,0)</f>
        <v>8</v>
      </c>
      <c r="AF158" s="1"/>
      <c r="AG158" s="1" t="s">
        <v>51</v>
      </c>
      <c r="AH158" s="22">
        <f>VLOOKUP(TablaCalificaciones[[#This Row],[Respuestas a preguntas]],PESOS!A$25:B$29,2,0)</f>
        <v>8</v>
      </c>
      <c r="AI158" s="1"/>
      <c r="AJ158" s="1" t="s">
        <v>51</v>
      </c>
      <c r="AK158" s="22">
        <f>VLOOKUP(TablaCalificaciones[[#This Row],[Cierre: aporte a próximos pasos]],PESOS!A$25:B$29,2,0)</f>
        <v>8</v>
      </c>
      <c r="AL158" s="1"/>
      <c r="AM158" s="1"/>
    </row>
    <row r="159" spans="1:39">
      <c r="A159">
        <v>158</v>
      </c>
      <c r="B159" s="2">
        <v>46134.288055555597</v>
      </c>
      <c r="C159" s="2">
        <v>46134.2893287037</v>
      </c>
      <c r="D159" s="1" t="s">
        <v>154</v>
      </c>
      <c r="E159" s="1" t="s">
        <v>155</v>
      </c>
      <c r="G159" s="1"/>
      <c r="H159" s="2"/>
      <c r="I159" s="1" t="s">
        <v>41</v>
      </c>
      <c r="K159" s="1"/>
      <c r="L159" s="1" t="s">
        <v>155</v>
      </c>
      <c r="M159" s="26" t="str">
        <f>CONCATENATE(TablaCalificaciones[[#This Row],[Seleccione su nombre (Evaluador)]],TablaCalificaciones[[#This Row],[Seleccione el nombre del Estudiante]])</f>
        <v>Raul Vicente Paredes LoorCaviedes Aristizábal Javier Alejandro</v>
      </c>
      <c r="N159" s="1"/>
      <c r="O159" s="1" t="s">
        <v>128</v>
      </c>
      <c r="Q159" s="1"/>
      <c r="R159" s="1" t="s">
        <v>44</v>
      </c>
      <c r="S159" s="22">
        <f>VLOOKUP(TablaCalificaciones[[#This Row],[Apertura: problema y objetivo ]],PESOS!A$16:B$20,2,0)</f>
        <v>20</v>
      </c>
      <c r="T159" s="1"/>
      <c r="U159" s="1" t="s">
        <v>44</v>
      </c>
      <c r="V159" s="22">
        <f>VLOOKUP(TablaCalificaciones[[#This Row],[Metodología (nivel adecuado)]],PESOS!A$16:B$20,2,0)</f>
        <v>20</v>
      </c>
      <c r="W159" s="1"/>
      <c r="X159" s="1" t="s">
        <v>44</v>
      </c>
      <c r="Y159" s="22">
        <f>VLOOKUP(TablaCalificaciones[[#This Row],[Resultados y evidencia ]],PESOS!A$16:B$20,2,0)</f>
        <v>20</v>
      </c>
      <c r="Z159" s="1"/>
      <c r="AA159" s="1" t="s">
        <v>45</v>
      </c>
      <c r="AB159" s="22">
        <f>VLOOKUP(TablaCalificaciones[[#This Row],[Coherencia y manejo del tiempo]],PESOS!A$25:B$29,2,0)</f>
        <v>10</v>
      </c>
      <c r="AC159" s="1"/>
      <c r="AD159" s="1" t="s">
        <v>45</v>
      </c>
      <c r="AE159" s="22">
        <f>VLOOKUP(TablaCalificaciones[[#This Row],[Diapositivas como apoyo]],PESOS!A$25:B$29,2,0)</f>
        <v>10</v>
      </c>
      <c r="AF159" s="1"/>
      <c r="AG159" s="1" t="s">
        <v>51</v>
      </c>
      <c r="AH159" s="22">
        <f>VLOOKUP(TablaCalificaciones[[#This Row],[Respuestas a preguntas]],PESOS!A$25:B$29,2,0)</f>
        <v>8</v>
      </c>
      <c r="AI159" s="1"/>
      <c r="AJ159" s="1" t="s">
        <v>45</v>
      </c>
      <c r="AK159" s="22">
        <f>VLOOKUP(TablaCalificaciones[[#This Row],[Cierre: aporte a próximos pasos]],PESOS!A$25:B$29,2,0)</f>
        <v>10</v>
      </c>
      <c r="AL159" s="1"/>
      <c r="AM159" s="1"/>
    </row>
    <row r="160" spans="1:39">
      <c r="A160">
        <v>159</v>
      </c>
      <c r="B160" s="2">
        <v>46134.289409722202</v>
      </c>
      <c r="C160" s="2">
        <v>46134.289942129602</v>
      </c>
      <c r="D160" s="1" t="s">
        <v>154</v>
      </c>
      <c r="E160" s="1" t="s">
        <v>155</v>
      </c>
      <c r="G160" s="1"/>
      <c r="H160" s="2"/>
      <c r="I160" s="1" t="s">
        <v>41</v>
      </c>
      <c r="K160" s="1"/>
      <c r="L160" s="1" t="s">
        <v>155</v>
      </c>
      <c r="M160" s="26" t="str">
        <f>CONCATENATE(TablaCalificaciones[[#This Row],[Seleccione su nombre (Evaluador)]],TablaCalificaciones[[#This Row],[Seleccione el nombre del Estudiante]])</f>
        <v>Raul Vicente Paredes LoorGutiérrez Rueda Ismael David</v>
      </c>
      <c r="N160" s="1"/>
      <c r="O160" s="1" t="s">
        <v>131</v>
      </c>
      <c r="Q160" s="1"/>
      <c r="R160" s="1" t="s">
        <v>44</v>
      </c>
      <c r="S160" s="22">
        <f>VLOOKUP(TablaCalificaciones[[#This Row],[Apertura: problema y objetivo ]],PESOS!A$16:B$20,2,0)</f>
        <v>20</v>
      </c>
      <c r="T160" s="1"/>
      <c r="U160" s="1" t="s">
        <v>44</v>
      </c>
      <c r="V160" s="22">
        <f>VLOOKUP(TablaCalificaciones[[#This Row],[Metodología (nivel adecuado)]],PESOS!A$16:B$20,2,0)</f>
        <v>20</v>
      </c>
      <c r="W160" s="1"/>
      <c r="X160" s="1" t="s">
        <v>44</v>
      </c>
      <c r="Y160" s="22">
        <f>VLOOKUP(TablaCalificaciones[[#This Row],[Resultados y evidencia ]],PESOS!A$16:B$20,2,0)</f>
        <v>20</v>
      </c>
      <c r="Z160" s="1"/>
      <c r="AA160" s="1" t="s">
        <v>45</v>
      </c>
      <c r="AB160" s="22">
        <f>VLOOKUP(TablaCalificaciones[[#This Row],[Coherencia y manejo del tiempo]],PESOS!A$25:B$29,2,0)</f>
        <v>10</v>
      </c>
      <c r="AC160" s="1"/>
      <c r="AD160" s="1" t="s">
        <v>45</v>
      </c>
      <c r="AE160" s="22">
        <f>VLOOKUP(TablaCalificaciones[[#This Row],[Diapositivas como apoyo]],PESOS!A$25:B$29,2,0)</f>
        <v>10</v>
      </c>
      <c r="AF160" s="1"/>
      <c r="AG160" s="1" t="s">
        <v>51</v>
      </c>
      <c r="AH160" s="22">
        <f>VLOOKUP(TablaCalificaciones[[#This Row],[Respuestas a preguntas]],PESOS!A$25:B$29,2,0)</f>
        <v>8</v>
      </c>
      <c r="AI160" s="1"/>
      <c r="AJ160" s="1" t="s">
        <v>45</v>
      </c>
      <c r="AK160" s="22">
        <f>VLOOKUP(TablaCalificaciones[[#This Row],[Cierre: aporte a próximos pasos]],PESOS!A$25:B$29,2,0)</f>
        <v>10</v>
      </c>
      <c r="AL160" s="1"/>
      <c r="AM160" s="1"/>
    </row>
    <row r="161" spans="1:39">
      <c r="A161">
        <v>160</v>
      </c>
      <c r="B161" s="2">
        <v>46134.289976851898</v>
      </c>
      <c r="C161" s="2">
        <v>46134.290486111102</v>
      </c>
      <c r="D161" s="1" t="s">
        <v>154</v>
      </c>
      <c r="E161" s="1" t="s">
        <v>155</v>
      </c>
      <c r="G161" s="1"/>
      <c r="H161" s="2"/>
      <c r="I161" s="1" t="s">
        <v>41</v>
      </c>
      <c r="K161" s="1"/>
      <c r="L161" s="1" t="s">
        <v>155</v>
      </c>
      <c r="M161" s="26" t="str">
        <f>CONCATENATE(TablaCalificaciones[[#This Row],[Seleccione su nombre (Evaluador)]],TablaCalificaciones[[#This Row],[Seleccione el nombre del Estudiante]])</f>
        <v>Raul Vicente Paredes LoorRengel Zambrano Kelvin Sebastián</v>
      </c>
      <c r="N161" s="1"/>
      <c r="O161" s="1" t="s">
        <v>132</v>
      </c>
      <c r="Q161" s="1"/>
      <c r="R161" s="1" t="s">
        <v>44</v>
      </c>
      <c r="S161" s="22">
        <f>VLOOKUP(TablaCalificaciones[[#This Row],[Apertura: problema y objetivo ]],PESOS!A$16:B$20,2,0)</f>
        <v>20</v>
      </c>
      <c r="T161" s="1"/>
      <c r="U161" s="1" t="s">
        <v>44</v>
      </c>
      <c r="V161" s="22">
        <f>VLOOKUP(TablaCalificaciones[[#This Row],[Metodología (nivel adecuado)]],PESOS!A$16:B$20,2,0)</f>
        <v>20</v>
      </c>
      <c r="W161" s="1"/>
      <c r="X161" s="1" t="s">
        <v>44</v>
      </c>
      <c r="Y161" s="22">
        <f>VLOOKUP(TablaCalificaciones[[#This Row],[Resultados y evidencia ]],PESOS!A$16:B$20,2,0)</f>
        <v>20</v>
      </c>
      <c r="Z161" s="1"/>
      <c r="AA161" s="1" t="s">
        <v>45</v>
      </c>
      <c r="AB161" s="22">
        <f>VLOOKUP(TablaCalificaciones[[#This Row],[Coherencia y manejo del tiempo]],PESOS!A$25:B$29,2,0)</f>
        <v>10</v>
      </c>
      <c r="AC161" s="1"/>
      <c r="AD161" s="1" t="s">
        <v>45</v>
      </c>
      <c r="AE161" s="22">
        <f>VLOOKUP(TablaCalificaciones[[#This Row],[Diapositivas como apoyo]],PESOS!A$25:B$29,2,0)</f>
        <v>10</v>
      </c>
      <c r="AF161" s="1"/>
      <c r="AG161" s="1" t="s">
        <v>51</v>
      </c>
      <c r="AH161" s="22">
        <f>VLOOKUP(TablaCalificaciones[[#This Row],[Respuestas a preguntas]],PESOS!A$25:B$29,2,0)</f>
        <v>8</v>
      </c>
      <c r="AI161" s="1"/>
      <c r="AJ161" s="1" t="s">
        <v>45</v>
      </c>
      <c r="AK161" s="22">
        <f>VLOOKUP(TablaCalificaciones[[#This Row],[Cierre: aporte a próximos pasos]],PESOS!A$25:B$29,2,0)</f>
        <v>10</v>
      </c>
      <c r="AL161" s="1"/>
      <c r="AM161" s="1"/>
    </row>
    <row r="162" spans="1:39">
      <c r="A162">
        <v>161</v>
      </c>
      <c r="B162" s="2">
        <v>46134.290520833303</v>
      </c>
      <c r="C162" s="2">
        <v>46134.291226851899</v>
      </c>
      <c r="D162" s="1" t="s">
        <v>154</v>
      </c>
      <c r="E162" s="1" t="s">
        <v>155</v>
      </c>
      <c r="G162" s="1"/>
      <c r="H162" s="2"/>
      <c r="I162" s="1" t="s">
        <v>41</v>
      </c>
      <c r="K162" s="1"/>
      <c r="L162" s="1" t="s">
        <v>155</v>
      </c>
      <c r="M162" s="26" t="str">
        <f>CONCATENATE(TablaCalificaciones[[#This Row],[Seleccione su nombre (Evaluador)]],TablaCalificaciones[[#This Row],[Seleccione el nombre del Estudiante]])</f>
        <v>Raul Vicente Paredes LoorPalomeque Núñez Mateo Nicolas</v>
      </c>
      <c r="N162" s="1"/>
      <c r="O162" s="1" t="s">
        <v>144</v>
      </c>
      <c r="Q162" s="1"/>
      <c r="R162" s="1" t="s">
        <v>44</v>
      </c>
      <c r="S162" s="22">
        <f>VLOOKUP(TablaCalificaciones[[#This Row],[Apertura: problema y objetivo ]],PESOS!A$16:B$20,2,0)</f>
        <v>20</v>
      </c>
      <c r="T162" s="1"/>
      <c r="U162" s="1" t="s">
        <v>44</v>
      </c>
      <c r="V162" s="22">
        <f>VLOOKUP(TablaCalificaciones[[#This Row],[Metodología (nivel adecuado)]],PESOS!A$16:B$20,2,0)</f>
        <v>20</v>
      </c>
      <c r="W162" s="1"/>
      <c r="X162" s="1" t="s">
        <v>44</v>
      </c>
      <c r="Y162" s="22">
        <f>VLOOKUP(TablaCalificaciones[[#This Row],[Resultados y evidencia ]],PESOS!A$16:B$20,2,0)</f>
        <v>20</v>
      </c>
      <c r="Z162" s="1"/>
      <c r="AA162" s="1" t="s">
        <v>45</v>
      </c>
      <c r="AB162" s="22">
        <f>VLOOKUP(TablaCalificaciones[[#This Row],[Coherencia y manejo del tiempo]],PESOS!A$25:B$29,2,0)</f>
        <v>10</v>
      </c>
      <c r="AC162" s="1"/>
      <c r="AD162" s="1" t="s">
        <v>45</v>
      </c>
      <c r="AE162" s="22">
        <f>VLOOKUP(TablaCalificaciones[[#This Row],[Diapositivas como apoyo]],PESOS!A$25:B$29,2,0)</f>
        <v>10</v>
      </c>
      <c r="AF162" s="1"/>
      <c r="AG162" s="1" t="s">
        <v>51</v>
      </c>
      <c r="AH162" s="22">
        <f>VLOOKUP(TablaCalificaciones[[#This Row],[Respuestas a preguntas]],PESOS!A$25:B$29,2,0)</f>
        <v>8</v>
      </c>
      <c r="AI162" s="1"/>
      <c r="AJ162" s="1" t="s">
        <v>45</v>
      </c>
      <c r="AK162" s="22">
        <f>VLOOKUP(TablaCalificaciones[[#This Row],[Cierre: aporte a próximos pasos]],PESOS!A$25:B$29,2,0)</f>
        <v>10</v>
      </c>
      <c r="AL162" s="1"/>
      <c r="AM162" s="1"/>
    </row>
    <row r="163" spans="1:39">
      <c r="A163">
        <v>162</v>
      </c>
      <c r="B163" s="2">
        <v>46134.291261574101</v>
      </c>
      <c r="C163" s="2">
        <v>46134.291678240697</v>
      </c>
      <c r="D163" s="1" t="s">
        <v>154</v>
      </c>
      <c r="E163" s="1" t="s">
        <v>155</v>
      </c>
      <c r="G163" s="1"/>
      <c r="H163" s="2"/>
      <c r="I163" s="1" t="s">
        <v>41</v>
      </c>
      <c r="K163" s="1"/>
      <c r="L163" s="1" t="s">
        <v>155</v>
      </c>
      <c r="M163" s="26" t="str">
        <f>CONCATENATE(TablaCalificaciones[[#This Row],[Seleccione su nombre (Evaluador)]],TablaCalificaciones[[#This Row],[Seleccione el nombre del Estudiante]])</f>
        <v>Raul Vicente Paredes LoorSango Simbaña Edisson Oswaldo</v>
      </c>
      <c r="N163" s="1"/>
      <c r="O163" s="1" t="s">
        <v>147</v>
      </c>
      <c r="Q163" s="1"/>
      <c r="R163" s="1" t="s">
        <v>44</v>
      </c>
      <c r="S163" s="22">
        <f>VLOOKUP(TablaCalificaciones[[#This Row],[Apertura: problema y objetivo ]],PESOS!A$16:B$20,2,0)</f>
        <v>20</v>
      </c>
      <c r="T163" s="1"/>
      <c r="U163" s="1" t="s">
        <v>44</v>
      </c>
      <c r="V163" s="22">
        <f>VLOOKUP(TablaCalificaciones[[#This Row],[Metodología (nivel adecuado)]],PESOS!A$16:B$20,2,0)</f>
        <v>20</v>
      </c>
      <c r="W163" s="1"/>
      <c r="X163" s="1" t="s">
        <v>44</v>
      </c>
      <c r="Y163" s="22">
        <f>VLOOKUP(TablaCalificaciones[[#This Row],[Resultados y evidencia ]],PESOS!A$16:B$20,2,0)</f>
        <v>20</v>
      </c>
      <c r="Z163" s="1"/>
      <c r="AA163" s="1" t="s">
        <v>45</v>
      </c>
      <c r="AB163" s="22">
        <f>VLOOKUP(TablaCalificaciones[[#This Row],[Coherencia y manejo del tiempo]],PESOS!A$25:B$29,2,0)</f>
        <v>10</v>
      </c>
      <c r="AC163" s="1"/>
      <c r="AD163" s="1" t="s">
        <v>45</v>
      </c>
      <c r="AE163" s="22">
        <f>VLOOKUP(TablaCalificaciones[[#This Row],[Diapositivas como apoyo]],PESOS!A$25:B$29,2,0)</f>
        <v>10</v>
      </c>
      <c r="AF163" s="1"/>
      <c r="AG163" s="1" t="s">
        <v>51</v>
      </c>
      <c r="AH163" s="22">
        <f>VLOOKUP(TablaCalificaciones[[#This Row],[Respuestas a preguntas]],PESOS!A$25:B$29,2,0)</f>
        <v>8</v>
      </c>
      <c r="AI163" s="1"/>
      <c r="AJ163" s="1" t="s">
        <v>45</v>
      </c>
      <c r="AK163" s="22">
        <f>VLOOKUP(TablaCalificaciones[[#This Row],[Cierre: aporte a próximos pasos]],PESOS!A$25:B$29,2,0)</f>
        <v>10</v>
      </c>
      <c r="AL163" s="1"/>
      <c r="AM163" s="1"/>
    </row>
    <row r="164" spans="1:39">
      <c r="A164">
        <v>163</v>
      </c>
      <c r="B164" s="2">
        <v>46134.291701388902</v>
      </c>
      <c r="C164" s="2">
        <v>46134.292164351798</v>
      </c>
      <c r="D164" s="1" t="s">
        <v>154</v>
      </c>
      <c r="E164" s="1" t="s">
        <v>155</v>
      </c>
      <c r="G164" s="1"/>
      <c r="H164" s="2"/>
      <c r="I164" s="1" t="s">
        <v>41</v>
      </c>
      <c r="K164" s="1"/>
      <c r="L164" s="1" t="s">
        <v>155</v>
      </c>
      <c r="M164" s="26" t="str">
        <f>CONCATENATE(TablaCalificaciones[[#This Row],[Seleccione su nombre (Evaluador)]],TablaCalificaciones[[#This Row],[Seleccione el nombre del Estudiante]])</f>
        <v>Raul Vicente Paredes LoorVelasco Macias Jastin Geovanny</v>
      </c>
      <c r="N164" s="1"/>
      <c r="O164" s="1" t="s">
        <v>149</v>
      </c>
      <c r="Q164" s="1"/>
      <c r="R164" s="1" t="s">
        <v>44</v>
      </c>
      <c r="S164" s="22">
        <f>VLOOKUP(TablaCalificaciones[[#This Row],[Apertura: problema y objetivo ]],PESOS!A$16:B$20,2,0)</f>
        <v>20</v>
      </c>
      <c r="T164" s="1"/>
      <c r="U164" s="1" t="s">
        <v>44</v>
      </c>
      <c r="V164" s="22">
        <f>VLOOKUP(TablaCalificaciones[[#This Row],[Metodología (nivel adecuado)]],PESOS!A$16:B$20,2,0)</f>
        <v>20</v>
      </c>
      <c r="W164" s="1"/>
      <c r="X164" s="1" t="s">
        <v>44</v>
      </c>
      <c r="Y164" s="22">
        <f>VLOOKUP(TablaCalificaciones[[#This Row],[Resultados y evidencia ]],PESOS!A$16:B$20,2,0)</f>
        <v>20</v>
      </c>
      <c r="Z164" s="1"/>
      <c r="AA164" s="1" t="s">
        <v>45</v>
      </c>
      <c r="AB164" s="22">
        <f>VLOOKUP(TablaCalificaciones[[#This Row],[Coherencia y manejo del tiempo]],PESOS!A$25:B$29,2,0)</f>
        <v>10</v>
      </c>
      <c r="AC164" s="1"/>
      <c r="AD164" s="1" t="s">
        <v>45</v>
      </c>
      <c r="AE164" s="22">
        <f>VLOOKUP(TablaCalificaciones[[#This Row],[Diapositivas como apoyo]],PESOS!A$25:B$29,2,0)</f>
        <v>10</v>
      </c>
      <c r="AF164" s="1"/>
      <c r="AG164" s="1" t="s">
        <v>45</v>
      </c>
      <c r="AH164" s="22">
        <f>VLOOKUP(TablaCalificaciones[[#This Row],[Respuestas a preguntas]],PESOS!A$25:B$29,2,0)</f>
        <v>10</v>
      </c>
      <c r="AI164" s="1"/>
      <c r="AJ164" s="1" t="s">
        <v>51</v>
      </c>
      <c r="AK164" s="22">
        <f>VLOOKUP(TablaCalificaciones[[#This Row],[Cierre: aporte a próximos pasos]],PESOS!A$25:B$29,2,0)</f>
        <v>8</v>
      </c>
      <c r="AL164" s="1"/>
      <c r="AM164" s="1"/>
    </row>
    <row r="165" spans="1:39">
      <c r="A165">
        <v>164</v>
      </c>
      <c r="B165" s="2">
        <v>46134.329479166699</v>
      </c>
      <c r="C165" s="2">
        <v>46134.352673611102</v>
      </c>
      <c r="D165" s="1" t="s">
        <v>39</v>
      </c>
      <c r="E165" s="1" t="s">
        <v>40</v>
      </c>
      <c r="G165" s="1"/>
      <c r="H165" s="2"/>
      <c r="I165" s="1" t="s">
        <v>68</v>
      </c>
      <c r="K165" s="1"/>
      <c r="L165" s="1" t="s">
        <v>42</v>
      </c>
      <c r="M165" s="26" t="str">
        <f>CONCATENATE(TablaCalificaciones[[#This Row],[Seleccione su nombre (Evaluador)]],TablaCalificaciones[[#This Row],[Seleccione el nombre del Estudiante]])</f>
        <v>Patricio David PonceGarzón Vega Carlos Andrés</v>
      </c>
      <c r="N165" s="1"/>
      <c r="O165" s="1" t="s">
        <v>156</v>
      </c>
      <c r="Q165" s="1"/>
      <c r="R165" s="1" t="s">
        <v>44</v>
      </c>
      <c r="S165" s="22">
        <f>VLOOKUP(TablaCalificaciones[[#This Row],[Apertura: problema y objetivo ]],PESOS!A$16:B$20,2,0)</f>
        <v>20</v>
      </c>
      <c r="T165" s="1"/>
      <c r="U165" s="1" t="s">
        <v>44</v>
      </c>
      <c r="V165" s="22">
        <f>VLOOKUP(TablaCalificaciones[[#This Row],[Metodología (nivel adecuado)]],PESOS!A$16:B$20,2,0)</f>
        <v>20</v>
      </c>
      <c r="W165" s="1"/>
      <c r="X165" s="1" t="s">
        <v>44</v>
      </c>
      <c r="Y165" s="22">
        <f>VLOOKUP(TablaCalificaciones[[#This Row],[Resultados y evidencia ]],PESOS!A$16:B$20,2,0)</f>
        <v>20</v>
      </c>
      <c r="Z165" s="1"/>
      <c r="AA165" s="1" t="s">
        <v>45</v>
      </c>
      <c r="AB165" s="22">
        <f>VLOOKUP(TablaCalificaciones[[#This Row],[Coherencia y manejo del tiempo]],PESOS!A$25:B$29,2,0)</f>
        <v>10</v>
      </c>
      <c r="AC165" s="1"/>
      <c r="AD165" s="1" t="s">
        <v>45</v>
      </c>
      <c r="AE165" s="22">
        <f>VLOOKUP(TablaCalificaciones[[#This Row],[Diapositivas como apoyo]],PESOS!A$25:B$29,2,0)</f>
        <v>10</v>
      </c>
      <c r="AF165" s="1"/>
      <c r="AG165" s="1" t="s">
        <v>45</v>
      </c>
      <c r="AH165" s="22">
        <f>VLOOKUP(TablaCalificaciones[[#This Row],[Respuestas a preguntas]],PESOS!A$25:B$29,2,0)</f>
        <v>10</v>
      </c>
      <c r="AI165" s="1"/>
      <c r="AJ165" s="1" t="s">
        <v>45</v>
      </c>
      <c r="AK165" s="22">
        <f>VLOOKUP(TablaCalificaciones[[#This Row],[Cierre: aporte a próximos pasos]],PESOS!A$25:B$29,2,0)</f>
        <v>10</v>
      </c>
      <c r="AL165" s="1"/>
      <c r="AM165" s="1"/>
    </row>
    <row r="166" spans="1:39">
      <c r="A166">
        <v>165</v>
      </c>
      <c r="B166" s="2">
        <v>46134.346516203703</v>
      </c>
      <c r="C166" s="2">
        <v>46134.352986111102</v>
      </c>
      <c r="D166" s="1" t="s">
        <v>59</v>
      </c>
      <c r="E166" s="1" t="s">
        <v>60</v>
      </c>
      <c r="G166" s="1"/>
      <c r="H166" s="2"/>
      <c r="I166" s="1" t="s">
        <v>68</v>
      </c>
      <c r="K166" s="1"/>
      <c r="L166" s="1" t="s">
        <v>60</v>
      </c>
      <c r="M166" s="26" t="str">
        <f>CONCATENATE(TablaCalificaciones[[#This Row],[Seleccione su nombre (Evaluador)]],TablaCalificaciones[[#This Row],[Seleccione el nombre del Estudiante]])</f>
        <v>Santiago Leonardo SolórzanoTorres Vinueza Israel Francisco</v>
      </c>
      <c r="N166" s="1"/>
      <c r="O166" s="1" t="s">
        <v>157</v>
      </c>
      <c r="Q166" s="1"/>
      <c r="R166" s="1" t="s">
        <v>44</v>
      </c>
      <c r="S166" s="22">
        <f>VLOOKUP(TablaCalificaciones[[#This Row],[Apertura: problema y objetivo ]],PESOS!A$16:B$20,2,0)</f>
        <v>20</v>
      </c>
      <c r="T166" s="1"/>
      <c r="U166" s="1" t="s">
        <v>44</v>
      </c>
      <c r="V166" s="22">
        <f>VLOOKUP(TablaCalificaciones[[#This Row],[Metodología (nivel adecuado)]],PESOS!A$16:B$20,2,0)</f>
        <v>20</v>
      </c>
      <c r="W166" s="1"/>
      <c r="X166" s="1" t="s">
        <v>44</v>
      </c>
      <c r="Y166" s="22">
        <f>VLOOKUP(TablaCalificaciones[[#This Row],[Resultados y evidencia ]],PESOS!A$16:B$20,2,0)</f>
        <v>20</v>
      </c>
      <c r="Z166" s="1"/>
      <c r="AA166" s="1" t="s">
        <v>51</v>
      </c>
      <c r="AB166" s="22">
        <f>VLOOKUP(TablaCalificaciones[[#This Row],[Coherencia y manejo del tiempo]],PESOS!A$25:B$29,2,0)</f>
        <v>8</v>
      </c>
      <c r="AC166" s="1"/>
      <c r="AD166" s="1" t="s">
        <v>51</v>
      </c>
      <c r="AE166" s="22">
        <f>VLOOKUP(TablaCalificaciones[[#This Row],[Diapositivas como apoyo]],PESOS!A$25:B$29,2,0)</f>
        <v>8</v>
      </c>
      <c r="AF166" s="1"/>
      <c r="AG166" s="1" t="s">
        <v>45</v>
      </c>
      <c r="AH166" s="22">
        <f>VLOOKUP(TablaCalificaciones[[#This Row],[Respuestas a preguntas]],PESOS!A$25:B$29,2,0)</f>
        <v>10</v>
      </c>
      <c r="AI166" s="1"/>
      <c r="AJ166" s="1" t="s">
        <v>45</v>
      </c>
      <c r="AK166" s="22">
        <f>VLOOKUP(TablaCalificaciones[[#This Row],[Cierre: aporte a próximos pasos]],PESOS!A$25:B$29,2,0)</f>
        <v>10</v>
      </c>
      <c r="AL166" s="1"/>
      <c r="AM166" s="1"/>
    </row>
    <row r="167" spans="1:39">
      <c r="A167">
        <v>166</v>
      </c>
      <c r="B167" s="2">
        <v>46134.352743055599</v>
      </c>
      <c r="C167" s="2">
        <v>46134.353460648097</v>
      </c>
      <c r="D167" s="1" t="s">
        <v>39</v>
      </c>
      <c r="E167" s="1" t="s">
        <v>40</v>
      </c>
      <c r="G167" s="1"/>
      <c r="H167" s="2"/>
      <c r="I167" s="1" t="s">
        <v>68</v>
      </c>
      <c r="K167" s="1"/>
      <c r="L167" s="1" t="s">
        <v>42</v>
      </c>
      <c r="M167" s="26" t="str">
        <f>CONCATENATE(TablaCalificaciones[[#This Row],[Seleccione su nombre (Evaluador)]],TablaCalificaciones[[#This Row],[Seleccione el nombre del Estudiante]])</f>
        <v>Patricio David PonceRobles Santamaría David Alejandro</v>
      </c>
      <c r="N167" s="1"/>
      <c r="O167" s="1" t="s">
        <v>158</v>
      </c>
      <c r="Q167" s="1"/>
      <c r="R167" s="1" t="s">
        <v>44</v>
      </c>
      <c r="S167" s="22">
        <f>VLOOKUP(TablaCalificaciones[[#This Row],[Apertura: problema y objetivo ]],PESOS!A$16:B$20,2,0)</f>
        <v>20</v>
      </c>
      <c r="T167" s="1"/>
      <c r="U167" s="1" t="s">
        <v>44</v>
      </c>
      <c r="V167" s="22">
        <f>VLOOKUP(TablaCalificaciones[[#This Row],[Metodología (nivel adecuado)]],PESOS!A$16:B$20,2,0)</f>
        <v>20</v>
      </c>
      <c r="W167" s="1"/>
      <c r="X167" s="1" t="s">
        <v>44</v>
      </c>
      <c r="Y167" s="22">
        <f>VLOOKUP(TablaCalificaciones[[#This Row],[Resultados y evidencia ]],PESOS!A$16:B$20,2,0)</f>
        <v>20</v>
      </c>
      <c r="Z167" s="1"/>
      <c r="AA167" s="1" t="s">
        <v>45</v>
      </c>
      <c r="AB167" s="22">
        <f>VLOOKUP(TablaCalificaciones[[#This Row],[Coherencia y manejo del tiempo]],PESOS!A$25:B$29,2,0)</f>
        <v>10</v>
      </c>
      <c r="AC167" s="1"/>
      <c r="AD167" s="1" t="s">
        <v>45</v>
      </c>
      <c r="AE167" s="22">
        <f>VLOOKUP(TablaCalificaciones[[#This Row],[Diapositivas como apoyo]],PESOS!A$25:B$29,2,0)</f>
        <v>10</v>
      </c>
      <c r="AF167" s="1"/>
      <c r="AG167" s="1" t="s">
        <v>45</v>
      </c>
      <c r="AH167" s="22">
        <f>VLOOKUP(TablaCalificaciones[[#This Row],[Respuestas a preguntas]],PESOS!A$25:B$29,2,0)</f>
        <v>10</v>
      </c>
      <c r="AI167" s="1"/>
      <c r="AJ167" s="1" t="s">
        <v>45</v>
      </c>
      <c r="AK167" s="22">
        <f>VLOOKUP(TablaCalificaciones[[#This Row],[Cierre: aporte a próximos pasos]],PESOS!A$25:B$29,2,0)</f>
        <v>10</v>
      </c>
      <c r="AL167" s="1"/>
      <c r="AM167" s="1"/>
    </row>
    <row r="168" spans="1:39">
      <c r="A168">
        <v>167</v>
      </c>
      <c r="B168" s="2">
        <v>46134.352476851898</v>
      </c>
      <c r="C168" s="2">
        <v>46134.353703703702</v>
      </c>
      <c r="D168" s="1" t="s">
        <v>97</v>
      </c>
      <c r="E168" s="1" t="s">
        <v>98</v>
      </c>
      <c r="G168" s="1"/>
      <c r="H168" s="2"/>
      <c r="I168" s="1" t="s">
        <v>68</v>
      </c>
      <c r="K168" s="1"/>
      <c r="L168" s="1" t="s">
        <v>99</v>
      </c>
      <c r="M168" s="26" t="str">
        <f>CONCATENATE(TablaCalificaciones[[#This Row],[Seleccione su nombre (Evaluador)]],TablaCalificaciones[[#This Row],[Seleccione el nombre del Estudiante]])</f>
        <v>Víctor Javier Gómez RegaladoTorres Vinueza Israel Francisco</v>
      </c>
      <c r="N168" s="1"/>
      <c r="O168" s="1" t="s">
        <v>157</v>
      </c>
      <c r="Q168" s="1"/>
      <c r="R168" s="1" t="s">
        <v>44</v>
      </c>
      <c r="S168" s="22">
        <f>VLOOKUP(TablaCalificaciones[[#This Row],[Apertura: problema y objetivo ]],PESOS!A$16:B$20,2,0)</f>
        <v>20</v>
      </c>
      <c r="T168" s="1"/>
      <c r="U168" s="1" t="s">
        <v>44</v>
      </c>
      <c r="V168" s="22">
        <f>VLOOKUP(TablaCalificaciones[[#This Row],[Metodología (nivel adecuado)]],PESOS!A$16:B$20,2,0)</f>
        <v>20</v>
      </c>
      <c r="W168" s="1"/>
      <c r="X168" s="1" t="s">
        <v>44</v>
      </c>
      <c r="Y168" s="22">
        <f>VLOOKUP(TablaCalificaciones[[#This Row],[Resultados y evidencia ]],PESOS!A$16:B$20,2,0)</f>
        <v>20</v>
      </c>
      <c r="Z168" s="1"/>
      <c r="AA168" s="1" t="s">
        <v>51</v>
      </c>
      <c r="AB168" s="22">
        <f>VLOOKUP(TablaCalificaciones[[#This Row],[Coherencia y manejo del tiempo]],PESOS!A$25:B$29,2,0)</f>
        <v>8</v>
      </c>
      <c r="AC168" s="1"/>
      <c r="AD168" s="1" t="s">
        <v>45</v>
      </c>
      <c r="AE168" s="22">
        <f>VLOOKUP(TablaCalificaciones[[#This Row],[Diapositivas como apoyo]],PESOS!A$25:B$29,2,0)</f>
        <v>10</v>
      </c>
      <c r="AF168" s="1"/>
      <c r="AG168" s="1" t="s">
        <v>45</v>
      </c>
      <c r="AH168" s="22">
        <f>VLOOKUP(TablaCalificaciones[[#This Row],[Respuestas a preguntas]],PESOS!A$25:B$29,2,0)</f>
        <v>10</v>
      </c>
      <c r="AI168" s="1"/>
      <c r="AJ168" s="1" t="s">
        <v>45</v>
      </c>
      <c r="AK168" s="22">
        <f>VLOOKUP(TablaCalificaciones[[#This Row],[Cierre: aporte a próximos pasos]],PESOS!A$25:B$29,2,0)</f>
        <v>10</v>
      </c>
      <c r="AL168" s="1"/>
      <c r="AM168" s="1"/>
    </row>
    <row r="169" spans="1:39">
      <c r="A169">
        <v>168</v>
      </c>
      <c r="B169" s="2">
        <v>46134.3355324074</v>
      </c>
      <c r="C169" s="2">
        <v>46134.355462963002</v>
      </c>
      <c r="D169" s="1" t="s">
        <v>54</v>
      </c>
      <c r="E169" s="1" t="s">
        <v>55</v>
      </c>
      <c r="G169" s="1"/>
      <c r="H169" s="2"/>
      <c r="I169" s="1" t="s">
        <v>68</v>
      </c>
      <c r="K169" s="1"/>
      <c r="L169" s="1" t="s">
        <v>56</v>
      </c>
      <c r="M169" s="26" t="str">
        <f>CONCATENATE(TablaCalificaciones[[#This Row],[Seleccione su nombre (Evaluador)]],TablaCalificaciones[[#This Row],[Seleccione el nombre del Estudiante]])</f>
        <v>Marco Antonio Galarza CastilloGarzón Vega Carlos Andrés</v>
      </c>
      <c r="N169" s="1"/>
      <c r="O169" s="1" t="s">
        <v>156</v>
      </c>
      <c r="Q169" s="1"/>
      <c r="R169" s="1" t="s">
        <v>44</v>
      </c>
      <c r="S169" s="22">
        <f>VLOOKUP(TablaCalificaciones[[#This Row],[Apertura: problema y objetivo ]],PESOS!A$16:B$20,2,0)</f>
        <v>20</v>
      </c>
      <c r="T169" s="1"/>
      <c r="U169" s="1" t="s">
        <v>44</v>
      </c>
      <c r="V169" s="22">
        <f>VLOOKUP(TablaCalificaciones[[#This Row],[Metodología (nivel adecuado)]],PESOS!A$16:B$20,2,0)</f>
        <v>20</v>
      </c>
      <c r="W169" s="1"/>
      <c r="X169" s="1" t="s">
        <v>44</v>
      </c>
      <c r="Y169" s="22">
        <f>VLOOKUP(TablaCalificaciones[[#This Row],[Resultados y evidencia ]],PESOS!A$16:B$20,2,0)</f>
        <v>20</v>
      </c>
      <c r="Z169" s="1"/>
      <c r="AA169" s="1" t="s">
        <v>45</v>
      </c>
      <c r="AB169" s="22">
        <f>VLOOKUP(TablaCalificaciones[[#This Row],[Coherencia y manejo del tiempo]],PESOS!A$25:B$29,2,0)</f>
        <v>10</v>
      </c>
      <c r="AC169" s="1"/>
      <c r="AD169" s="1" t="s">
        <v>45</v>
      </c>
      <c r="AE169" s="22">
        <f>VLOOKUP(TablaCalificaciones[[#This Row],[Diapositivas como apoyo]],PESOS!A$25:B$29,2,0)</f>
        <v>10</v>
      </c>
      <c r="AF169" s="1"/>
      <c r="AG169" s="1" t="s">
        <v>45</v>
      </c>
      <c r="AH169" s="22">
        <f>VLOOKUP(TablaCalificaciones[[#This Row],[Respuestas a preguntas]],PESOS!A$25:B$29,2,0)</f>
        <v>10</v>
      </c>
      <c r="AI169" s="1"/>
      <c r="AJ169" s="1" t="s">
        <v>45</v>
      </c>
      <c r="AK169" s="22">
        <f>VLOOKUP(TablaCalificaciones[[#This Row],[Cierre: aporte a próximos pasos]],PESOS!A$25:B$29,2,0)</f>
        <v>10</v>
      </c>
      <c r="AL169" s="1"/>
      <c r="AM169" s="1"/>
    </row>
    <row r="170" spans="1:39">
      <c r="A170">
        <v>169</v>
      </c>
      <c r="B170" s="2">
        <v>46134.355486111097</v>
      </c>
      <c r="C170" s="2">
        <v>46134.355879629598</v>
      </c>
      <c r="D170" s="1" t="s">
        <v>54</v>
      </c>
      <c r="E170" s="1" t="s">
        <v>55</v>
      </c>
      <c r="G170" s="1"/>
      <c r="H170" s="2"/>
      <c r="I170" s="1" t="s">
        <v>68</v>
      </c>
      <c r="K170" s="1"/>
      <c r="L170" s="1" t="s">
        <v>56</v>
      </c>
      <c r="M170" s="26" t="str">
        <f>CONCATENATE(TablaCalificaciones[[#This Row],[Seleccione su nombre (Evaluador)]],TablaCalificaciones[[#This Row],[Seleccione el nombre del Estudiante]])</f>
        <v>Marco Antonio Galarza CastilloRobles Santamaría David Alejandro</v>
      </c>
      <c r="N170" s="1"/>
      <c r="O170" s="1" t="s">
        <v>158</v>
      </c>
      <c r="Q170" s="1"/>
      <c r="R170" s="1" t="s">
        <v>44</v>
      </c>
      <c r="S170" s="22">
        <f>VLOOKUP(TablaCalificaciones[[#This Row],[Apertura: problema y objetivo ]],PESOS!A$16:B$20,2,0)</f>
        <v>20</v>
      </c>
      <c r="T170" s="1"/>
      <c r="U170" s="1" t="s">
        <v>44</v>
      </c>
      <c r="V170" s="22">
        <f>VLOOKUP(TablaCalificaciones[[#This Row],[Metodología (nivel adecuado)]],PESOS!A$16:B$20,2,0)</f>
        <v>20</v>
      </c>
      <c r="W170" s="1"/>
      <c r="X170" s="1" t="s">
        <v>44</v>
      </c>
      <c r="Y170" s="22">
        <f>VLOOKUP(TablaCalificaciones[[#This Row],[Resultados y evidencia ]],PESOS!A$16:B$20,2,0)</f>
        <v>20</v>
      </c>
      <c r="Z170" s="1"/>
      <c r="AA170" s="1" t="s">
        <v>45</v>
      </c>
      <c r="AB170" s="22">
        <f>VLOOKUP(TablaCalificaciones[[#This Row],[Coherencia y manejo del tiempo]],PESOS!A$25:B$29,2,0)</f>
        <v>10</v>
      </c>
      <c r="AC170" s="1"/>
      <c r="AD170" s="1" t="s">
        <v>45</v>
      </c>
      <c r="AE170" s="22">
        <f>VLOOKUP(TablaCalificaciones[[#This Row],[Diapositivas como apoyo]],PESOS!A$25:B$29,2,0)</f>
        <v>10</v>
      </c>
      <c r="AF170" s="1"/>
      <c r="AG170" s="1" t="s">
        <v>51</v>
      </c>
      <c r="AH170" s="22">
        <f>VLOOKUP(TablaCalificaciones[[#This Row],[Respuestas a preguntas]],PESOS!A$25:B$29,2,0)</f>
        <v>8</v>
      </c>
      <c r="AI170" s="1"/>
      <c r="AJ170" s="1" t="s">
        <v>45</v>
      </c>
      <c r="AK170" s="22">
        <f>VLOOKUP(TablaCalificaciones[[#This Row],[Cierre: aporte a próximos pasos]],PESOS!A$25:B$29,2,0)</f>
        <v>10</v>
      </c>
      <c r="AL170" s="1"/>
      <c r="AM170" s="1"/>
    </row>
    <row r="171" spans="1:39">
      <c r="A171">
        <v>170</v>
      </c>
      <c r="B171" s="2">
        <v>46134.358078703699</v>
      </c>
      <c r="C171" s="2">
        <v>46134.368888888901</v>
      </c>
      <c r="D171" s="1" t="s">
        <v>69</v>
      </c>
      <c r="E171" s="1" t="s">
        <v>70</v>
      </c>
      <c r="G171" s="1"/>
      <c r="H171" s="2"/>
      <c r="I171" s="1" t="s">
        <v>68</v>
      </c>
      <c r="K171" s="1"/>
      <c r="L171" s="1" t="s">
        <v>71</v>
      </c>
      <c r="M171" s="26" t="str">
        <f>CONCATENATE(TablaCalificaciones[[#This Row],[Seleccione su nombre (Evaluador)]],TablaCalificaciones[[#This Row],[Seleccione el nombre del Estudiante]])</f>
        <v>Ana Belén Tulcanaza PrietoSalgado Cueva Vicente Antonio</v>
      </c>
      <c r="N171" s="1"/>
      <c r="O171" s="1" t="s">
        <v>159</v>
      </c>
      <c r="Q171" s="1"/>
      <c r="R171" s="1" t="s">
        <v>44</v>
      </c>
      <c r="S171" s="22">
        <f>VLOOKUP(TablaCalificaciones[[#This Row],[Apertura: problema y objetivo ]],PESOS!A$16:B$20,2,0)</f>
        <v>20</v>
      </c>
      <c r="T171" s="1"/>
      <c r="U171" s="1" t="s">
        <v>44</v>
      </c>
      <c r="V171" s="22">
        <f>VLOOKUP(TablaCalificaciones[[#This Row],[Metodología (nivel adecuado)]],PESOS!A$16:B$20,2,0)</f>
        <v>20</v>
      </c>
      <c r="W171" s="1"/>
      <c r="X171" s="1" t="s">
        <v>44</v>
      </c>
      <c r="Y171" s="22">
        <f>VLOOKUP(TablaCalificaciones[[#This Row],[Resultados y evidencia ]],PESOS!A$16:B$20,2,0)</f>
        <v>20</v>
      </c>
      <c r="Z171" s="1"/>
      <c r="AA171" s="1" t="s">
        <v>45</v>
      </c>
      <c r="AB171" s="22">
        <f>VLOOKUP(TablaCalificaciones[[#This Row],[Coherencia y manejo del tiempo]],PESOS!A$25:B$29,2,0)</f>
        <v>10</v>
      </c>
      <c r="AC171" s="1"/>
      <c r="AD171" s="1" t="s">
        <v>45</v>
      </c>
      <c r="AE171" s="22">
        <f>VLOOKUP(TablaCalificaciones[[#This Row],[Diapositivas como apoyo]],PESOS!A$25:B$29,2,0)</f>
        <v>10</v>
      </c>
      <c r="AF171" s="1"/>
      <c r="AG171" s="1" t="s">
        <v>45</v>
      </c>
      <c r="AH171" s="22">
        <f>VLOOKUP(TablaCalificaciones[[#This Row],[Respuestas a preguntas]],PESOS!A$25:B$29,2,0)</f>
        <v>10</v>
      </c>
      <c r="AI171" s="1"/>
      <c r="AJ171" s="1" t="s">
        <v>45</v>
      </c>
      <c r="AK171" s="22">
        <f>VLOOKUP(TablaCalificaciones[[#This Row],[Cierre: aporte a próximos pasos]],PESOS!A$25:B$29,2,0)</f>
        <v>10</v>
      </c>
      <c r="AL171" s="1"/>
      <c r="AM171" s="1"/>
    </row>
    <row r="172" spans="1:39">
      <c r="A172">
        <v>171</v>
      </c>
      <c r="B172" s="2">
        <v>46134.355914351901</v>
      </c>
      <c r="C172" s="2">
        <v>46134.369768518503</v>
      </c>
      <c r="D172" s="1" t="s">
        <v>93</v>
      </c>
      <c r="E172" s="1" t="s">
        <v>94</v>
      </c>
      <c r="G172" s="1"/>
      <c r="H172" s="2"/>
      <c r="I172" s="1" t="s">
        <v>68</v>
      </c>
      <c r="K172" s="1"/>
      <c r="L172" s="1" t="s">
        <v>95</v>
      </c>
      <c r="M172" s="26" t="str">
        <f>CONCATENATE(TablaCalificaciones[[#This Row],[Seleccione su nombre (Evaluador)]],TablaCalificaciones[[#This Row],[Seleccione el nombre del Estudiante]])</f>
        <v>Nelly Patricia Acosta VargasOrtiz Puga Danny Alejandro</v>
      </c>
      <c r="N172" s="1"/>
      <c r="O172" s="1" t="s">
        <v>160</v>
      </c>
      <c r="Q172" s="1"/>
      <c r="R172" s="1" t="s">
        <v>44</v>
      </c>
      <c r="S172" s="22">
        <f>VLOOKUP(TablaCalificaciones[[#This Row],[Apertura: problema y objetivo ]],PESOS!A$16:B$20,2,0)</f>
        <v>20</v>
      </c>
      <c r="T172" s="1"/>
      <c r="U172" s="1" t="s">
        <v>44</v>
      </c>
      <c r="V172" s="22">
        <f>VLOOKUP(TablaCalificaciones[[#This Row],[Metodología (nivel adecuado)]],PESOS!A$16:B$20,2,0)</f>
        <v>20</v>
      </c>
      <c r="W172" s="1"/>
      <c r="X172" s="1" t="s">
        <v>44</v>
      </c>
      <c r="Y172" s="22">
        <f>VLOOKUP(TablaCalificaciones[[#This Row],[Resultados y evidencia ]],PESOS!A$16:B$20,2,0)</f>
        <v>20</v>
      </c>
      <c r="Z172" s="1"/>
      <c r="AA172" s="1" t="s">
        <v>45</v>
      </c>
      <c r="AB172" s="22">
        <f>VLOOKUP(TablaCalificaciones[[#This Row],[Coherencia y manejo del tiempo]],PESOS!A$25:B$29,2,0)</f>
        <v>10</v>
      </c>
      <c r="AC172" s="1"/>
      <c r="AD172" s="1" t="s">
        <v>45</v>
      </c>
      <c r="AE172" s="22">
        <f>VLOOKUP(TablaCalificaciones[[#This Row],[Diapositivas como apoyo]],PESOS!A$25:B$29,2,0)</f>
        <v>10</v>
      </c>
      <c r="AF172" s="1"/>
      <c r="AG172" s="1" t="s">
        <v>45</v>
      </c>
      <c r="AH172" s="22">
        <f>VLOOKUP(TablaCalificaciones[[#This Row],[Respuestas a preguntas]],PESOS!A$25:B$29,2,0)</f>
        <v>10</v>
      </c>
      <c r="AI172" s="1"/>
      <c r="AJ172" s="1" t="s">
        <v>45</v>
      </c>
      <c r="AK172" s="22">
        <f>VLOOKUP(TablaCalificaciones[[#This Row],[Cierre: aporte a próximos pasos]],PESOS!A$25:B$29,2,0)</f>
        <v>10</v>
      </c>
      <c r="AL172" s="1"/>
      <c r="AM172" s="1"/>
    </row>
    <row r="173" spans="1:39">
      <c r="A173">
        <v>172</v>
      </c>
      <c r="B173" s="2">
        <v>46134.370115740698</v>
      </c>
      <c r="C173" s="2">
        <v>46134.370775463001</v>
      </c>
      <c r="D173" s="1" t="s">
        <v>87</v>
      </c>
      <c r="E173" s="1" t="s">
        <v>88</v>
      </c>
      <c r="G173" s="1"/>
      <c r="H173" s="2"/>
      <c r="I173" s="1" t="s">
        <v>68</v>
      </c>
      <c r="K173" s="1"/>
      <c r="L173" s="1" t="s">
        <v>88</v>
      </c>
      <c r="M173" s="26" t="str">
        <f>CONCATENATE(TablaCalificaciones[[#This Row],[Seleccione su nombre (Evaluador)]],TablaCalificaciones[[#This Row],[Seleccione el nombre del Estudiante]])</f>
        <v>Ana María Pazmiño DelgadoUrbina Yunda Santiago Andrés</v>
      </c>
      <c r="N173" s="1"/>
      <c r="O173" s="1" t="s">
        <v>161</v>
      </c>
      <c r="Q173" s="1"/>
      <c r="R173" s="1" t="s">
        <v>44</v>
      </c>
      <c r="S173" s="22">
        <f>VLOOKUP(TablaCalificaciones[[#This Row],[Apertura: problema y objetivo ]],PESOS!A$16:B$20,2,0)</f>
        <v>20</v>
      </c>
      <c r="T173" s="1"/>
      <c r="U173" s="1" t="s">
        <v>44</v>
      </c>
      <c r="V173" s="22">
        <f>VLOOKUP(TablaCalificaciones[[#This Row],[Metodología (nivel adecuado)]],PESOS!A$16:B$20,2,0)</f>
        <v>20</v>
      </c>
      <c r="W173" s="1"/>
      <c r="X173" s="1" t="s">
        <v>44</v>
      </c>
      <c r="Y173" s="22">
        <f>VLOOKUP(TablaCalificaciones[[#This Row],[Resultados y evidencia ]],PESOS!A$16:B$20,2,0)</f>
        <v>20</v>
      </c>
      <c r="Z173" s="1"/>
      <c r="AA173" s="1" t="s">
        <v>45</v>
      </c>
      <c r="AB173" s="22">
        <f>VLOOKUP(TablaCalificaciones[[#This Row],[Coherencia y manejo del tiempo]],PESOS!A$25:B$29,2,0)</f>
        <v>10</v>
      </c>
      <c r="AC173" s="1"/>
      <c r="AD173" s="1" t="s">
        <v>45</v>
      </c>
      <c r="AE173" s="22">
        <f>VLOOKUP(TablaCalificaciones[[#This Row],[Diapositivas como apoyo]],PESOS!A$25:B$29,2,0)</f>
        <v>10</v>
      </c>
      <c r="AF173" s="1"/>
      <c r="AG173" s="1" t="s">
        <v>45</v>
      </c>
      <c r="AH173" s="22">
        <f>VLOOKUP(TablaCalificaciones[[#This Row],[Respuestas a preguntas]],PESOS!A$25:B$29,2,0)</f>
        <v>10</v>
      </c>
      <c r="AI173" s="1"/>
      <c r="AJ173" s="1" t="s">
        <v>45</v>
      </c>
      <c r="AK173" s="22">
        <f>VLOOKUP(TablaCalificaciones[[#This Row],[Cierre: aporte a próximos pasos]],PESOS!A$25:B$29,2,0)</f>
        <v>10</v>
      </c>
      <c r="AL173" s="1"/>
      <c r="AM173" s="1"/>
    </row>
    <row r="174" spans="1:39">
      <c r="A174">
        <v>173</v>
      </c>
      <c r="B174" s="2">
        <v>46134.355902777803</v>
      </c>
      <c r="C174" s="2">
        <v>46134.371076388903</v>
      </c>
      <c r="D174" s="1" t="s">
        <v>54</v>
      </c>
      <c r="E174" s="1" t="s">
        <v>55</v>
      </c>
      <c r="G174" s="1"/>
      <c r="H174" s="2"/>
      <c r="I174" s="1" t="s">
        <v>68</v>
      </c>
      <c r="K174" s="1"/>
      <c r="L174" s="1" t="s">
        <v>56</v>
      </c>
      <c r="M174" s="26" t="str">
        <f>CONCATENATE(TablaCalificaciones[[#This Row],[Seleccione su nombre (Evaluador)]],TablaCalificaciones[[#This Row],[Seleccione el nombre del Estudiante]])</f>
        <v>Marco Antonio Galarza CastilloArias Basantes Jeanpierre</v>
      </c>
      <c r="N174" s="1"/>
      <c r="O174" s="1" t="s">
        <v>162</v>
      </c>
      <c r="Q174" s="1"/>
      <c r="R174" s="1" t="s">
        <v>44</v>
      </c>
      <c r="S174" s="22">
        <f>VLOOKUP(TablaCalificaciones[[#This Row],[Apertura: problema y objetivo ]],PESOS!A$16:B$20,2,0)</f>
        <v>20</v>
      </c>
      <c r="T174" s="1"/>
      <c r="U174" s="1" t="s">
        <v>44</v>
      </c>
      <c r="V174" s="22">
        <f>VLOOKUP(TablaCalificaciones[[#This Row],[Metodología (nivel adecuado)]],PESOS!A$16:B$20,2,0)</f>
        <v>20</v>
      </c>
      <c r="W174" s="1"/>
      <c r="X174" s="1" t="s">
        <v>44</v>
      </c>
      <c r="Y174" s="22">
        <f>VLOOKUP(TablaCalificaciones[[#This Row],[Resultados y evidencia ]],PESOS!A$16:B$20,2,0)</f>
        <v>20</v>
      </c>
      <c r="Z174" s="1"/>
      <c r="AA174" s="1" t="s">
        <v>45</v>
      </c>
      <c r="AB174" s="22">
        <f>VLOOKUP(TablaCalificaciones[[#This Row],[Coherencia y manejo del tiempo]],PESOS!A$25:B$29,2,0)</f>
        <v>10</v>
      </c>
      <c r="AC174" s="1"/>
      <c r="AD174" s="1" t="s">
        <v>45</v>
      </c>
      <c r="AE174" s="22">
        <f>VLOOKUP(TablaCalificaciones[[#This Row],[Diapositivas como apoyo]],PESOS!A$25:B$29,2,0)</f>
        <v>10</v>
      </c>
      <c r="AF174" s="1"/>
      <c r="AG174" s="1" t="s">
        <v>45</v>
      </c>
      <c r="AH174" s="22">
        <f>VLOOKUP(TablaCalificaciones[[#This Row],[Respuestas a preguntas]],PESOS!A$25:B$29,2,0)</f>
        <v>10</v>
      </c>
      <c r="AI174" s="1"/>
      <c r="AJ174" s="1" t="s">
        <v>45</v>
      </c>
      <c r="AK174" s="22">
        <f>VLOOKUP(TablaCalificaciones[[#This Row],[Cierre: aporte a próximos pasos]],PESOS!A$25:B$29,2,0)</f>
        <v>10</v>
      </c>
      <c r="AL174" s="1"/>
      <c r="AM174" s="1"/>
    </row>
    <row r="175" spans="1:39">
      <c r="A175">
        <v>174</v>
      </c>
      <c r="B175" s="2">
        <v>46134.369872685202</v>
      </c>
      <c r="C175" s="2">
        <v>46134.371354166702</v>
      </c>
      <c r="D175" s="1" t="s">
        <v>93</v>
      </c>
      <c r="E175" s="1" t="s">
        <v>94</v>
      </c>
      <c r="G175" s="1"/>
      <c r="H175" s="2"/>
      <c r="I175" s="1" t="s">
        <v>68</v>
      </c>
      <c r="K175" s="1"/>
      <c r="L175" s="1" t="s">
        <v>95</v>
      </c>
      <c r="M175" s="26" t="str">
        <f>CONCATENATE(TablaCalificaciones[[#This Row],[Seleccione su nombre (Evaluador)]],TablaCalificaciones[[#This Row],[Seleccione el nombre del Estudiante]])</f>
        <v>Nelly Patricia Acosta VargasArias Basantes Jeanpierre</v>
      </c>
      <c r="N175" s="1"/>
      <c r="O175" s="1" t="s">
        <v>162</v>
      </c>
      <c r="Q175" s="1"/>
      <c r="R175" s="1" t="s">
        <v>44</v>
      </c>
      <c r="S175" s="22">
        <f>VLOOKUP(TablaCalificaciones[[#This Row],[Apertura: problema y objetivo ]],PESOS!A$16:B$20,2,0)</f>
        <v>20</v>
      </c>
      <c r="T175" s="1"/>
      <c r="U175" s="1" t="s">
        <v>44</v>
      </c>
      <c r="V175" s="22">
        <f>VLOOKUP(TablaCalificaciones[[#This Row],[Metodología (nivel adecuado)]],PESOS!A$16:B$20,2,0)</f>
        <v>20</v>
      </c>
      <c r="W175" s="1"/>
      <c r="X175" s="1" t="s">
        <v>44</v>
      </c>
      <c r="Y175" s="22">
        <f>VLOOKUP(TablaCalificaciones[[#This Row],[Resultados y evidencia ]],PESOS!A$16:B$20,2,0)</f>
        <v>20</v>
      </c>
      <c r="Z175" s="1"/>
      <c r="AA175" s="1" t="s">
        <v>45</v>
      </c>
      <c r="AB175" s="22">
        <f>VLOOKUP(TablaCalificaciones[[#This Row],[Coherencia y manejo del tiempo]],PESOS!A$25:B$29,2,0)</f>
        <v>10</v>
      </c>
      <c r="AC175" s="1"/>
      <c r="AD175" s="1" t="s">
        <v>45</v>
      </c>
      <c r="AE175" s="22">
        <f>VLOOKUP(TablaCalificaciones[[#This Row],[Diapositivas como apoyo]],PESOS!A$25:B$29,2,0)</f>
        <v>10</v>
      </c>
      <c r="AF175" s="1"/>
      <c r="AG175" s="1" t="s">
        <v>45</v>
      </c>
      <c r="AH175" s="22">
        <f>VLOOKUP(TablaCalificaciones[[#This Row],[Respuestas a preguntas]],PESOS!A$25:B$29,2,0)</f>
        <v>10</v>
      </c>
      <c r="AI175" s="1"/>
      <c r="AJ175" s="1" t="s">
        <v>45</v>
      </c>
      <c r="AK175" s="22">
        <f>VLOOKUP(TablaCalificaciones[[#This Row],[Cierre: aporte a próximos pasos]],PESOS!A$25:B$29,2,0)</f>
        <v>10</v>
      </c>
      <c r="AL175" s="1"/>
      <c r="AM175" s="1"/>
    </row>
    <row r="176" spans="1:39">
      <c r="A176">
        <v>175</v>
      </c>
      <c r="B176" s="2">
        <v>46134.371099536998</v>
      </c>
      <c r="C176" s="2">
        <v>46134.371516203697</v>
      </c>
      <c r="D176" s="1" t="s">
        <v>54</v>
      </c>
      <c r="E176" s="1" t="s">
        <v>55</v>
      </c>
      <c r="G176" s="1"/>
      <c r="H176" s="2"/>
      <c r="I176" s="1" t="s">
        <v>68</v>
      </c>
      <c r="K176" s="1"/>
      <c r="L176" s="1" t="s">
        <v>56</v>
      </c>
      <c r="M176" s="26" t="str">
        <f>CONCATENATE(TablaCalificaciones[[#This Row],[Seleccione su nombre (Evaluador)]],TablaCalificaciones[[#This Row],[Seleccione el nombre del Estudiante]])</f>
        <v>Marco Antonio Galarza CastilloOrtiz Puga Danny Alejandro</v>
      </c>
      <c r="N176" s="1"/>
      <c r="O176" s="1" t="s">
        <v>160</v>
      </c>
      <c r="Q176" s="1"/>
      <c r="R176" s="1" t="s">
        <v>44</v>
      </c>
      <c r="S176" s="22">
        <f>VLOOKUP(TablaCalificaciones[[#This Row],[Apertura: problema y objetivo ]],PESOS!A$16:B$20,2,0)</f>
        <v>20</v>
      </c>
      <c r="T176" s="1"/>
      <c r="U176" s="1" t="s">
        <v>44</v>
      </c>
      <c r="V176" s="22">
        <f>VLOOKUP(TablaCalificaciones[[#This Row],[Metodología (nivel adecuado)]],PESOS!A$16:B$20,2,0)</f>
        <v>20</v>
      </c>
      <c r="W176" s="1"/>
      <c r="X176" s="1" t="s">
        <v>44</v>
      </c>
      <c r="Y176" s="22">
        <f>VLOOKUP(TablaCalificaciones[[#This Row],[Resultados y evidencia ]],PESOS!A$16:B$20,2,0)</f>
        <v>20</v>
      </c>
      <c r="Z176" s="1"/>
      <c r="AA176" s="1" t="s">
        <v>45</v>
      </c>
      <c r="AB176" s="22">
        <f>VLOOKUP(TablaCalificaciones[[#This Row],[Coherencia y manejo del tiempo]],PESOS!A$25:B$29,2,0)</f>
        <v>10</v>
      </c>
      <c r="AC176" s="1"/>
      <c r="AD176" s="1" t="s">
        <v>45</v>
      </c>
      <c r="AE176" s="22">
        <f>VLOOKUP(TablaCalificaciones[[#This Row],[Diapositivas como apoyo]],PESOS!A$25:B$29,2,0)</f>
        <v>10</v>
      </c>
      <c r="AF176" s="1"/>
      <c r="AG176" s="1" t="s">
        <v>45</v>
      </c>
      <c r="AH176" s="22">
        <f>VLOOKUP(TablaCalificaciones[[#This Row],[Respuestas a preguntas]],PESOS!A$25:B$29,2,0)</f>
        <v>10</v>
      </c>
      <c r="AI176" s="1"/>
      <c r="AJ176" s="1" t="s">
        <v>45</v>
      </c>
      <c r="AK176" s="22">
        <f>VLOOKUP(TablaCalificaciones[[#This Row],[Cierre: aporte a próximos pasos]],PESOS!A$25:B$29,2,0)</f>
        <v>10</v>
      </c>
      <c r="AL176" s="1"/>
      <c r="AM176" s="1"/>
    </row>
    <row r="177" spans="1:39">
      <c r="A177">
        <v>176</v>
      </c>
      <c r="B177" s="2">
        <v>46134.361608796302</v>
      </c>
      <c r="C177" s="2">
        <v>46134.371921296297</v>
      </c>
      <c r="D177" s="1" t="s">
        <v>163</v>
      </c>
      <c r="E177" s="1" t="s">
        <v>164</v>
      </c>
      <c r="G177" s="1"/>
      <c r="H177" s="2"/>
      <c r="I177" s="1" t="s">
        <v>68</v>
      </c>
      <c r="K177" s="1"/>
      <c r="L177" s="1" t="s">
        <v>164</v>
      </c>
      <c r="M177" s="26" t="str">
        <f>CONCATENATE(TablaCalificaciones[[#This Row],[Seleccione su nombre (Evaluador)]],TablaCalificaciones[[#This Row],[Seleccione el nombre del Estudiante]])</f>
        <v>Cristian Paúl Fabara RodríguezUrbina Yunda Santiago Andrés</v>
      </c>
      <c r="N177" s="1"/>
      <c r="O177" s="1" t="s">
        <v>161</v>
      </c>
      <c r="Q177" s="1"/>
      <c r="R177" s="1" t="s">
        <v>44</v>
      </c>
      <c r="S177" s="22">
        <f>VLOOKUP(TablaCalificaciones[[#This Row],[Apertura: problema y objetivo ]],PESOS!A$16:B$20,2,0)</f>
        <v>20</v>
      </c>
      <c r="T177" s="1"/>
      <c r="U177" s="1" t="s">
        <v>44</v>
      </c>
      <c r="V177" s="22">
        <f>VLOOKUP(TablaCalificaciones[[#This Row],[Metodología (nivel adecuado)]],PESOS!A$16:B$20,2,0)</f>
        <v>20</v>
      </c>
      <c r="W177" s="1"/>
      <c r="X177" s="1" t="s">
        <v>44</v>
      </c>
      <c r="Y177" s="22">
        <f>VLOOKUP(TablaCalificaciones[[#This Row],[Resultados y evidencia ]],PESOS!A$16:B$20,2,0)</f>
        <v>20</v>
      </c>
      <c r="Z177" s="1"/>
      <c r="AA177" s="1" t="s">
        <v>45</v>
      </c>
      <c r="AB177" s="22">
        <f>VLOOKUP(TablaCalificaciones[[#This Row],[Coherencia y manejo del tiempo]],PESOS!A$25:B$29,2,0)</f>
        <v>10</v>
      </c>
      <c r="AC177" s="1"/>
      <c r="AD177" s="1" t="s">
        <v>45</v>
      </c>
      <c r="AE177" s="22">
        <f>VLOOKUP(TablaCalificaciones[[#This Row],[Diapositivas como apoyo]],PESOS!A$25:B$29,2,0)</f>
        <v>10</v>
      </c>
      <c r="AF177" s="1"/>
      <c r="AG177" s="1" t="s">
        <v>45</v>
      </c>
      <c r="AH177" s="22">
        <f>VLOOKUP(TablaCalificaciones[[#This Row],[Respuestas a preguntas]],PESOS!A$25:B$29,2,0)</f>
        <v>10</v>
      </c>
      <c r="AI177" s="1"/>
      <c r="AJ177" s="1" t="s">
        <v>45</v>
      </c>
      <c r="AK177" s="22">
        <f>VLOOKUP(TablaCalificaciones[[#This Row],[Cierre: aporte a próximos pasos]],PESOS!A$25:B$29,2,0)</f>
        <v>10</v>
      </c>
      <c r="AL177" s="1"/>
      <c r="AM177" s="1"/>
    </row>
    <row r="178" spans="1:39">
      <c r="A178">
        <v>177</v>
      </c>
      <c r="B178" s="2">
        <v>46134.370798611097</v>
      </c>
      <c r="C178" s="2">
        <v>46134.372199074103</v>
      </c>
      <c r="D178" s="1" t="s">
        <v>87</v>
      </c>
      <c r="E178" s="1" t="s">
        <v>88</v>
      </c>
      <c r="G178" s="1"/>
      <c r="H178" s="2"/>
      <c r="I178" s="1" t="s">
        <v>68</v>
      </c>
      <c r="K178" s="1"/>
      <c r="L178" s="1" t="s">
        <v>88</v>
      </c>
      <c r="M178" s="26" t="str">
        <f>CONCATENATE(TablaCalificaciones[[#This Row],[Seleccione su nombre (Evaluador)]],TablaCalificaciones[[#This Row],[Seleccione el nombre del Estudiante]])</f>
        <v>Ana María Pazmiño DelgadoJapón Lapo Tupak Pachakutik</v>
      </c>
      <c r="N178" s="1"/>
      <c r="O178" s="1" t="s">
        <v>165</v>
      </c>
      <c r="Q178" s="1"/>
      <c r="R178" s="1" t="s">
        <v>44</v>
      </c>
      <c r="S178" s="22">
        <f>VLOOKUP(TablaCalificaciones[[#This Row],[Apertura: problema y objetivo ]],PESOS!A$16:B$20,2,0)</f>
        <v>20</v>
      </c>
      <c r="T178" s="1"/>
      <c r="U178" s="1" t="s">
        <v>44</v>
      </c>
      <c r="V178" s="22">
        <f>VLOOKUP(TablaCalificaciones[[#This Row],[Metodología (nivel adecuado)]],PESOS!A$16:B$20,2,0)</f>
        <v>20</v>
      </c>
      <c r="W178" s="1"/>
      <c r="X178" s="1" t="s">
        <v>44</v>
      </c>
      <c r="Y178" s="22">
        <f>VLOOKUP(TablaCalificaciones[[#This Row],[Resultados y evidencia ]],PESOS!A$16:B$20,2,0)</f>
        <v>20</v>
      </c>
      <c r="Z178" s="1"/>
      <c r="AA178" s="1" t="s">
        <v>45</v>
      </c>
      <c r="AB178" s="22">
        <f>VLOOKUP(TablaCalificaciones[[#This Row],[Coherencia y manejo del tiempo]],PESOS!A$25:B$29,2,0)</f>
        <v>10</v>
      </c>
      <c r="AC178" s="1"/>
      <c r="AD178" s="1" t="s">
        <v>45</v>
      </c>
      <c r="AE178" s="22">
        <f>VLOOKUP(TablaCalificaciones[[#This Row],[Diapositivas como apoyo]],PESOS!A$25:B$29,2,0)</f>
        <v>10</v>
      </c>
      <c r="AF178" s="1"/>
      <c r="AG178" s="1" t="s">
        <v>51</v>
      </c>
      <c r="AH178" s="22">
        <f>VLOOKUP(TablaCalificaciones[[#This Row],[Respuestas a preguntas]],PESOS!A$25:B$29,2,0)</f>
        <v>8</v>
      </c>
      <c r="AI178" s="1"/>
      <c r="AJ178" s="1" t="s">
        <v>51</v>
      </c>
      <c r="AK178" s="22">
        <f>VLOOKUP(TablaCalificaciones[[#This Row],[Cierre: aporte a próximos pasos]],PESOS!A$25:B$29,2,0)</f>
        <v>8</v>
      </c>
      <c r="AL178" s="1"/>
      <c r="AM178" s="1"/>
    </row>
    <row r="179" spans="1:39">
      <c r="A179">
        <v>178</v>
      </c>
      <c r="B179" s="2">
        <v>46134.371979166703</v>
      </c>
      <c r="C179" s="2">
        <v>46134.373587962997</v>
      </c>
      <c r="D179" s="1" t="s">
        <v>163</v>
      </c>
      <c r="E179" s="1" t="s">
        <v>164</v>
      </c>
      <c r="G179" s="1"/>
      <c r="H179" s="2"/>
      <c r="I179" s="1" t="s">
        <v>68</v>
      </c>
      <c r="K179" s="1"/>
      <c r="L179" s="1" t="s">
        <v>164</v>
      </c>
      <c r="M179" s="26" t="str">
        <f>CONCATENATE(TablaCalificaciones[[#This Row],[Seleccione su nombre (Evaluador)]],TablaCalificaciones[[#This Row],[Seleccione el nombre del Estudiante]])</f>
        <v>Cristian Paúl Fabara RodríguezJapón Lapo Tupak Pachakutik</v>
      </c>
      <c r="N179" s="1"/>
      <c r="O179" s="1" t="s">
        <v>165</v>
      </c>
      <c r="Q179" s="1"/>
      <c r="R179" s="1" t="s">
        <v>44</v>
      </c>
      <c r="S179" s="22">
        <f>VLOOKUP(TablaCalificaciones[[#This Row],[Apertura: problema y objetivo ]],PESOS!A$16:B$20,2,0)</f>
        <v>20</v>
      </c>
      <c r="T179" s="1"/>
      <c r="U179" s="1" t="s">
        <v>44</v>
      </c>
      <c r="V179" s="22">
        <f>VLOOKUP(TablaCalificaciones[[#This Row],[Metodología (nivel adecuado)]],PESOS!A$16:B$20,2,0)</f>
        <v>20</v>
      </c>
      <c r="W179" s="1"/>
      <c r="X179" s="1" t="s">
        <v>44</v>
      </c>
      <c r="Y179" s="22">
        <f>VLOOKUP(TablaCalificaciones[[#This Row],[Resultados y evidencia ]],PESOS!A$16:B$20,2,0)</f>
        <v>20</v>
      </c>
      <c r="Z179" s="1"/>
      <c r="AA179" s="1" t="s">
        <v>45</v>
      </c>
      <c r="AB179" s="22">
        <f>VLOOKUP(TablaCalificaciones[[#This Row],[Coherencia y manejo del tiempo]],PESOS!A$25:B$29,2,0)</f>
        <v>10</v>
      </c>
      <c r="AC179" s="1"/>
      <c r="AD179" s="1" t="s">
        <v>45</v>
      </c>
      <c r="AE179" s="22">
        <f>VLOOKUP(TablaCalificaciones[[#This Row],[Diapositivas como apoyo]],PESOS!A$25:B$29,2,0)</f>
        <v>10</v>
      </c>
      <c r="AF179" s="1"/>
      <c r="AG179" s="1" t="s">
        <v>45</v>
      </c>
      <c r="AH179" s="22">
        <f>VLOOKUP(TablaCalificaciones[[#This Row],[Respuestas a preguntas]],PESOS!A$25:B$29,2,0)</f>
        <v>10</v>
      </c>
      <c r="AI179" s="1"/>
      <c r="AJ179" s="1" t="s">
        <v>45</v>
      </c>
      <c r="AK179" s="22">
        <f>VLOOKUP(TablaCalificaciones[[#This Row],[Cierre: aporte a próximos pasos]],PESOS!A$25:B$29,2,0)</f>
        <v>10</v>
      </c>
      <c r="AL179" s="1"/>
      <c r="AM179" s="1"/>
    </row>
    <row r="180" spans="1:39">
      <c r="A180">
        <v>179</v>
      </c>
      <c r="B180" s="2">
        <v>46134.353738425903</v>
      </c>
      <c r="C180" s="2">
        <v>46134.373854166697</v>
      </c>
      <c r="D180" s="1" t="s">
        <v>59</v>
      </c>
      <c r="E180" s="1" t="s">
        <v>60</v>
      </c>
      <c r="G180" s="1"/>
      <c r="H180" s="2"/>
      <c r="I180" s="1" t="s">
        <v>68</v>
      </c>
      <c r="K180" s="1"/>
      <c r="L180" s="1" t="s">
        <v>60</v>
      </c>
      <c r="M180" s="26" t="str">
        <f>CONCATENATE(TablaCalificaciones[[#This Row],[Seleccione su nombre (Evaluador)]],TablaCalificaciones[[#This Row],[Seleccione el nombre del Estudiante]])</f>
        <v>Santiago Leonardo SolórzanoUrbina Yunda Santiago Andrés</v>
      </c>
      <c r="N180" s="1"/>
      <c r="O180" s="1" t="s">
        <v>161</v>
      </c>
      <c r="Q180" s="1"/>
      <c r="R180" s="1" t="s">
        <v>44</v>
      </c>
      <c r="S180" s="22">
        <f>VLOOKUP(TablaCalificaciones[[#This Row],[Apertura: problema y objetivo ]],PESOS!A$16:B$20,2,0)</f>
        <v>20</v>
      </c>
      <c r="T180" s="1"/>
      <c r="U180" s="1" t="s">
        <v>44</v>
      </c>
      <c r="V180" s="22">
        <f>VLOOKUP(TablaCalificaciones[[#This Row],[Metodología (nivel adecuado)]],PESOS!A$16:B$20,2,0)</f>
        <v>20</v>
      </c>
      <c r="W180" s="1"/>
      <c r="X180" s="1" t="s">
        <v>50</v>
      </c>
      <c r="Y180" s="22">
        <f>VLOOKUP(TablaCalificaciones[[#This Row],[Resultados y evidencia ]],PESOS!A$16:B$20,2,0)</f>
        <v>16</v>
      </c>
      <c r="Z180" s="1"/>
      <c r="AA180" s="1" t="s">
        <v>51</v>
      </c>
      <c r="AB180" s="22">
        <f>VLOOKUP(TablaCalificaciones[[#This Row],[Coherencia y manejo del tiempo]],PESOS!A$25:B$29,2,0)</f>
        <v>8</v>
      </c>
      <c r="AC180" s="1"/>
      <c r="AD180" s="1" t="s">
        <v>51</v>
      </c>
      <c r="AE180" s="22">
        <f>VLOOKUP(TablaCalificaciones[[#This Row],[Diapositivas como apoyo]],PESOS!A$25:B$29,2,0)</f>
        <v>8</v>
      </c>
      <c r="AF180" s="1"/>
      <c r="AG180" s="1" t="s">
        <v>45</v>
      </c>
      <c r="AH180" s="22">
        <f>VLOOKUP(TablaCalificaciones[[#This Row],[Respuestas a preguntas]],PESOS!A$25:B$29,2,0)</f>
        <v>10</v>
      </c>
      <c r="AI180" s="1"/>
      <c r="AJ180" s="1" t="s">
        <v>45</v>
      </c>
      <c r="AK180" s="22">
        <f>VLOOKUP(TablaCalificaciones[[#This Row],[Cierre: aporte a próximos pasos]],PESOS!A$25:B$29,2,0)</f>
        <v>10</v>
      </c>
      <c r="AL180" s="1"/>
      <c r="AM180" s="1"/>
    </row>
    <row r="181" spans="1:39">
      <c r="A181">
        <v>180</v>
      </c>
      <c r="B181" s="2">
        <v>46134.3534953704</v>
      </c>
      <c r="C181" s="2">
        <v>46134.373969907399</v>
      </c>
      <c r="D181" s="1" t="s">
        <v>39</v>
      </c>
      <c r="E181" s="1" t="s">
        <v>40</v>
      </c>
      <c r="G181" s="1"/>
      <c r="H181" s="2"/>
      <c r="I181" s="1" t="s">
        <v>68</v>
      </c>
      <c r="K181" s="1"/>
      <c r="L181" s="1" t="s">
        <v>42</v>
      </c>
      <c r="M181" s="26" t="str">
        <f>CONCATENATE(TablaCalificaciones[[#This Row],[Seleccione su nombre (Evaluador)]],TablaCalificaciones[[#This Row],[Seleccione el nombre del Estudiante]])</f>
        <v>Patricio David PonceSalgado Cueva Vicente Antonio</v>
      </c>
      <c r="N181" s="1"/>
      <c r="O181" s="1" t="s">
        <v>159</v>
      </c>
      <c r="Q181" s="1"/>
      <c r="R181" s="1" t="s">
        <v>44</v>
      </c>
      <c r="S181" s="22">
        <f>VLOOKUP(TablaCalificaciones[[#This Row],[Apertura: problema y objetivo ]],PESOS!A$16:B$20,2,0)</f>
        <v>20</v>
      </c>
      <c r="T181" s="1"/>
      <c r="U181" s="1" t="s">
        <v>44</v>
      </c>
      <c r="V181" s="22">
        <f>VLOOKUP(TablaCalificaciones[[#This Row],[Metodología (nivel adecuado)]],PESOS!A$16:B$20,2,0)</f>
        <v>20</v>
      </c>
      <c r="W181" s="1"/>
      <c r="X181" s="1" t="s">
        <v>50</v>
      </c>
      <c r="Y181" s="22">
        <f>VLOOKUP(TablaCalificaciones[[#This Row],[Resultados y evidencia ]],PESOS!A$16:B$20,2,0)</f>
        <v>16</v>
      </c>
      <c r="Z181" s="1"/>
      <c r="AA181" s="1" t="s">
        <v>51</v>
      </c>
      <c r="AB181" s="22">
        <f>VLOOKUP(TablaCalificaciones[[#This Row],[Coherencia y manejo del tiempo]],PESOS!A$25:B$29,2,0)</f>
        <v>8</v>
      </c>
      <c r="AC181" s="1"/>
      <c r="AD181" s="1" t="s">
        <v>51</v>
      </c>
      <c r="AE181" s="22">
        <f>VLOOKUP(TablaCalificaciones[[#This Row],[Diapositivas como apoyo]],PESOS!A$25:B$29,2,0)</f>
        <v>8</v>
      </c>
      <c r="AF181" s="1"/>
      <c r="AG181" s="1" t="s">
        <v>51</v>
      </c>
      <c r="AH181" s="22">
        <f>VLOOKUP(TablaCalificaciones[[#This Row],[Respuestas a preguntas]],PESOS!A$25:B$29,2,0)</f>
        <v>8</v>
      </c>
      <c r="AI181" s="1"/>
      <c r="AJ181" s="1" t="s">
        <v>45</v>
      </c>
      <c r="AK181" s="22">
        <f>VLOOKUP(TablaCalificaciones[[#This Row],[Cierre: aporte a próximos pasos]],PESOS!A$25:B$29,2,0)</f>
        <v>10</v>
      </c>
      <c r="AL181" s="1"/>
      <c r="AM181" s="1"/>
    </row>
    <row r="182" spans="1:39">
      <c r="A182">
        <v>181</v>
      </c>
      <c r="B182" s="2">
        <v>46134.353761574101</v>
      </c>
      <c r="C182" s="2">
        <v>46134.374305555597</v>
      </c>
      <c r="D182" s="1" t="s">
        <v>59</v>
      </c>
      <c r="E182" s="1" t="s">
        <v>60</v>
      </c>
      <c r="G182" s="1"/>
      <c r="H182" s="2"/>
      <c r="I182" s="1" t="s">
        <v>68</v>
      </c>
      <c r="K182" s="1"/>
      <c r="L182" s="1" t="s">
        <v>60</v>
      </c>
      <c r="M182" s="26" t="str">
        <f>CONCATENATE(TablaCalificaciones[[#This Row],[Seleccione su nombre (Evaluador)]],TablaCalificaciones[[#This Row],[Seleccione el nombre del Estudiante]])</f>
        <v>Santiago Leonardo SolórzanoJapón Lapo Tupak Pachakutik</v>
      </c>
      <c r="N182" s="1"/>
      <c r="O182" s="1" t="s">
        <v>165</v>
      </c>
      <c r="Q182" s="1"/>
      <c r="R182" s="1" t="s">
        <v>44</v>
      </c>
      <c r="S182" s="22">
        <f>VLOOKUP(TablaCalificaciones[[#This Row],[Apertura: problema y objetivo ]],PESOS!A$16:B$20,2,0)</f>
        <v>20</v>
      </c>
      <c r="T182" s="1"/>
      <c r="U182" s="1" t="s">
        <v>44</v>
      </c>
      <c r="V182" s="22">
        <f>VLOOKUP(TablaCalificaciones[[#This Row],[Metodología (nivel adecuado)]],PESOS!A$16:B$20,2,0)</f>
        <v>20</v>
      </c>
      <c r="W182" s="1"/>
      <c r="X182" s="1" t="s">
        <v>50</v>
      </c>
      <c r="Y182" s="22">
        <f>VLOOKUP(TablaCalificaciones[[#This Row],[Resultados y evidencia ]],PESOS!A$16:B$20,2,0)</f>
        <v>16</v>
      </c>
      <c r="Z182" s="1"/>
      <c r="AA182" s="1" t="s">
        <v>51</v>
      </c>
      <c r="AB182" s="22">
        <f>VLOOKUP(TablaCalificaciones[[#This Row],[Coherencia y manejo del tiempo]],PESOS!A$25:B$29,2,0)</f>
        <v>8</v>
      </c>
      <c r="AC182" s="1"/>
      <c r="AD182" s="1" t="s">
        <v>51</v>
      </c>
      <c r="AE182" s="22">
        <f>VLOOKUP(TablaCalificaciones[[#This Row],[Diapositivas como apoyo]],PESOS!A$25:B$29,2,0)</f>
        <v>8</v>
      </c>
      <c r="AF182" s="1"/>
      <c r="AG182" s="1" t="s">
        <v>45</v>
      </c>
      <c r="AH182" s="22">
        <f>VLOOKUP(TablaCalificaciones[[#This Row],[Respuestas a preguntas]],PESOS!A$25:B$29,2,0)</f>
        <v>10</v>
      </c>
      <c r="AI182" s="1"/>
      <c r="AJ182" s="1" t="s">
        <v>45</v>
      </c>
      <c r="AK182" s="22">
        <f>VLOOKUP(TablaCalificaciones[[#This Row],[Cierre: aporte a próximos pasos]],PESOS!A$25:B$29,2,0)</f>
        <v>10</v>
      </c>
      <c r="AL182" s="1"/>
      <c r="AM182" s="1"/>
    </row>
    <row r="183" spans="1:39">
      <c r="A183">
        <v>182</v>
      </c>
      <c r="B183" s="2">
        <v>46134.386481481502</v>
      </c>
      <c r="C183" s="2">
        <v>46134.388761574097</v>
      </c>
      <c r="D183" s="1" t="s">
        <v>166</v>
      </c>
      <c r="E183" s="1" t="s">
        <v>167</v>
      </c>
      <c r="G183" s="1"/>
      <c r="H183" s="2"/>
      <c r="I183" s="1" t="s">
        <v>68</v>
      </c>
      <c r="K183" s="1"/>
      <c r="L183" s="1" t="s">
        <v>168</v>
      </c>
      <c r="M183" s="26" t="str">
        <f>CONCATENATE(TablaCalificaciones[[#This Row],[Seleccione su nombre (Evaluador)]],TablaCalificaciones[[#This Row],[Seleccione el nombre del Estudiante]])</f>
        <v>Jorge NájeraGarzón Vega Carlos Andrés</v>
      </c>
      <c r="N183" s="1"/>
      <c r="O183" s="1" t="s">
        <v>156</v>
      </c>
      <c r="Q183" s="1"/>
      <c r="R183" s="1" t="s">
        <v>50</v>
      </c>
      <c r="S183" s="22">
        <f>VLOOKUP(TablaCalificaciones[[#This Row],[Apertura: problema y objetivo ]],PESOS!A$16:B$20,2,0)</f>
        <v>16</v>
      </c>
      <c r="T183" s="1"/>
      <c r="U183" s="1" t="s">
        <v>44</v>
      </c>
      <c r="V183" s="22">
        <f>VLOOKUP(TablaCalificaciones[[#This Row],[Metodología (nivel adecuado)]],PESOS!A$16:B$20,2,0)</f>
        <v>20</v>
      </c>
      <c r="W183" s="1"/>
      <c r="X183" s="1" t="s">
        <v>50</v>
      </c>
      <c r="Y183" s="22">
        <f>VLOOKUP(TablaCalificaciones[[#This Row],[Resultados y evidencia ]],PESOS!A$16:B$20,2,0)</f>
        <v>16</v>
      </c>
      <c r="Z183" s="1"/>
      <c r="AA183" s="1" t="s">
        <v>45</v>
      </c>
      <c r="AB183" s="22">
        <f>VLOOKUP(TablaCalificaciones[[#This Row],[Coherencia y manejo del tiempo]],PESOS!A$25:B$29,2,0)</f>
        <v>10</v>
      </c>
      <c r="AC183" s="1"/>
      <c r="AD183" s="1" t="s">
        <v>45</v>
      </c>
      <c r="AE183" s="22">
        <f>VLOOKUP(TablaCalificaciones[[#This Row],[Diapositivas como apoyo]],PESOS!A$25:B$29,2,0)</f>
        <v>10</v>
      </c>
      <c r="AF183" s="1"/>
      <c r="AG183" s="1" t="s">
        <v>51</v>
      </c>
      <c r="AH183" s="22">
        <f>VLOOKUP(TablaCalificaciones[[#This Row],[Respuestas a preguntas]],PESOS!A$25:B$29,2,0)</f>
        <v>8</v>
      </c>
      <c r="AI183" s="1"/>
      <c r="AJ183" s="1" t="s">
        <v>45</v>
      </c>
      <c r="AK183" s="22">
        <f>VLOOKUP(TablaCalificaciones[[#This Row],[Cierre: aporte a próximos pasos]],PESOS!A$25:B$29,2,0)</f>
        <v>10</v>
      </c>
      <c r="AL183" s="1"/>
      <c r="AM183" s="1"/>
    </row>
    <row r="184" spans="1:39">
      <c r="A184">
        <v>183</v>
      </c>
      <c r="B184" s="2">
        <v>46134.388888888898</v>
      </c>
      <c r="C184" s="2">
        <v>46134.389942129601</v>
      </c>
      <c r="D184" s="1" t="s">
        <v>166</v>
      </c>
      <c r="E184" s="1" t="s">
        <v>167</v>
      </c>
      <c r="G184" s="1"/>
      <c r="H184" s="2"/>
      <c r="I184" s="1" t="s">
        <v>68</v>
      </c>
      <c r="K184" s="1"/>
      <c r="L184" s="1" t="s">
        <v>168</v>
      </c>
      <c r="M184" s="26" t="str">
        <f>CONCATENATE(TablaCalificaciones[[#This Row],[Seleccione su nombre (Evaluador)]],TablaCalificaciones[[#This Row],[Seleccione el nombre del Estudiante]])</f>
        <v>Jorge NájeraRobles Santamaría David Alejandro</v>
      </c>
      <c r="N184" s="1"/>
      <c r="O184" s="1" t="s">
        <v>158</v>
      </c>
      <c r="Q184" s="1"/>
      <c r="R184" s="1" t="s">
        <v>50</v>
      </c>
      <c r="S184" s="22">
        <f>VLOOKUP(TablaCalificaciones[[#This Row],[Apertura: problema y objetivo ]],PESOS!A$16:B$20,2,0)</f>
        <v>16</v>
      </c>
      <c r="T184" s="1"/>
      <c r="U184" s="1" t="s">
        <v>44</v>
      </c>
      <c r="V184" s="22">
        <f>VLOOKUP(TablaCalificaciones[[#This Row],[Metodología (nivel adecuado)]],PESOS!A$16:B$20,2,0)</f>
        <v>20</v>
      </c>
      <c r="W184" s="1"/>
      <c r="X184" s="1" t="s">
        <v>44</v>
      </c>
      <c r="Y184" s="22">
        <f>VLOOKUP(TablaCalificaciones[[#This Row],[Resultados y evidencia ]],PESOS!A$16:B$20,2,0)</f>
        <v>20</v>
      </c>
      <c r="Z184" s="1"/>
      <c r="AA184" s="1" t="s">
        <v>45</v>
      </c>
      <c r="AB184" s="22">
        <f>VLOOKUP(TablaCalificaciones[[#This Row],[Coherencia y manejo del tiempo]],PESOS!A$25:B$29,2,0)</f>
        <v>10</v>
      </c>
      <c r="AC184" s="1"/>
      <c r="AD184" s="1" t="s">
        <v>45</v>
      </c>
      <c r="AE184" s="22">
        <f>VLOOKUP(TablaCalificaciones[[#This Row],[Diapositivas como apoyo]],PESOS!A$25:B$29,2,0)</f>
        <v>10</v>
      </c>
      <c r="AF184" s="1"/>
      <c r="AG184" s="1" t="s">
        <v>45</v>
      </c>
      <c r="AH184" s="22">
        <f>VLOOKUP(TablaCalificaciones[[#This Row],[Respuestas a preguntas]],PESOS!A$25:B$29,2,0)</f>
        <v>10</v>
      </c>
      <c r="AI184" s="1"/>
      <c r="AJ184" s="1" t="s">
        <v>45</v>
      </c>
      <c r="AK184" s="22">
        <f>VLOOKUP(TablaCalificaciones[[#This Row],[Cierre: aporte a próximos pasos]],PESOS!A$25:B$29,2,0)</f>
        <v>10</v>
      </c>
      <c r="AL184" s="1"/>
      <c r="AM184" s="1"/>
    </row>
    <row r="185" spans="1:39">
      <c r="A185">
        <v>184</v>
      </c>
      <c r="B185" s="2">
        <v>46134.374791666698</v>
      </c>
      <c r="C185" s="2">
        <v>46134.391875000001</v>
      </c>
      <c r="D185" s="1" t="s">
        <v>59</v>
      </c>
      <c r="E185" s="1" t="s">
        <v>60</v>
      </c>
      <c r="G185" s="1"/>
      <c r="H185" s="2"/>
      <c r="I185" s="1" t="s">
        <v>68</v>
      </c>
      <c r="K185" s="1"/>
      <c r="L185" s="1" t="s">
        <v>60</v>
      </c>
      <c r="M185" s="26" t="str">
        <f>CONCATENATE(TablaCalificaciones[[#This Row],[Seleccione su nombre (Evaluador)]],TablaCalificaciones[[#This Row],[Seleccione el nombre del Estudiante]])</f>
        <v>Santiago Leonardo SolórzanoEspinosa Ramos Alex Roberto</v>
      </c>
      <c r="N185" s="1"/>
      <c r="O185" s="1" t="s">
        <v>169</v>
      </c>
      <c r="Q185" s="1"/>
      <c r="R185" s="1" t="s">
        <v>44</v>
      </c>
      <c r="S185" s="22">
        <f>VLOOKUP(TablaCalificaciones[[#This Row],[Apertura: problema y objetivo ]],PESOS!A$16:B$20,2,0)</f>
        <v>20</v>
      </c>
      <c r="T185" s="1"/>
      <c r="U185" s="1" t="s">
        <v>44</v>
      </c>
      <c r="V185" s="22">
        <f>VLOOKUP(TablaCalificaciones[[#This Row],[Metodología (nivel adecuado)]],PESOS!A$16:B$20,2,0)</f>
        <v>20</v>
      </c>
      <c r="W185" s="1"/>
      <c r="X185" s="1" t="s">
        <v>50</v>
      </c>
      <c r="Y185" s="22">
        <f>VLOOKUP(TablaCalificaciones[[#This Row],[Resultados y evidencia ]],PESOS!A$16:B$20,2,0)</f>
        <v>16</v>
      </c>
      <c r="Z185" s="1"/>
      <c r="AA185" s="1" t="s">
        <v>51</v>
      </c>
      <c r="AB185" s="22">
        <f>VLOOKUP(TablaCalificaciones[[#This Row],[Coherencia y manejo del tiempo]],PESOS!A$25:B$29,2,0)</f>
        <v>8</v>
      </c>
      <c r="AC185" s="1"/>
      <c r="AD185" s="1" t="s">
        <v>51</v>
      </c>
      <c r="AE185" s="22">
        <f>VLOOKUP(TablaCalificaciones[[#This Row],[Diapositivas como apoyo]],PESOS!A$25:B$29,2,0)</f>
        <v>8</v>
      </c>
      <c r="AF185" s="1"/>
      <c r="AG185" s="1" t="s">
        <v>51</v>
      </c>
      <c r="AH185" s="22">
        <f>VLOOKUP(TablaCalificaciones[[#This Row],[Respuestas a preguntas]],PESOS!A$25:B$29,2,0)</f>
        <v>8</v>
      </c>
      <c r="AI185" s="1"/>
      <c r="AJ185" s="1" t="s">
        <v>45</v>
      </c>
      <c r="AK185" s="22">
        <f>VLOOKUP(TablaCalificaciones[[#This Row],[Cierre: aporte a próximos pasos]],PESOS!A$25:B$29,2,0)</f>
        <v>10</v>
      </c>
      <c r="AL185" s="1"/>
      <c r="AM185" s="1"/>
    </row>
    <row r="186" spans="1:39">
      <c r="A186">
        <v>185</v>
      </c>
      <c r="B186" s="2">
        <v>46134.3753587963</v>
      </c>
      <c r="C186" s="2">
        <v>46134.391898148097</v>
      </c>
      <c r="D186" s="1" t="s">
        <v>59</v>
      </c>
      <c r="E186" s="1" t="s">
        <v>60</v>
      </c>
      <c r="G186" s="1"/>
      <c r="H186" s="2"/>
      <c r="I186" s="1" t="s">
        <v>68</v>
      </c>
      <c r="K186" s="1"/>
      <c r="L186" s="1" t="s">
        <v>60</v>
      </c>
      <c r="M186" s="26" t="str">
        <f>CONCATENATE(TablaCalificaciones[[#This Row],[Seleccione su nombre (Evaluador)]],TablaCalificaciones[[#This Row],[Seleccione el nombre del Estudiante]])</f>
        <v>Santiago Leonardo SolórzanoBenavides Guerrero Santiago Nicolás</v>
      </c>
      <c r="N186" s="1"/>
      <c r="O186" s="1" t="s">
        <v>170</v>
      </c>
      <c r="Q186" s="1"/>
      <c r="R186" s="1" t="s">
        <v>44</v>
      </c>
      <c r="S186" s="22">
        <f>VLOOKUP(TablaCalificaciones[[#This Row],[Apertura: problema y objetivo ]],PESOS!A$16:B$20,2,0)</f>
        <v>20</v>
      </c>
      <c r="T186" s="1"/>
      <c r="U186" s="1" t="s">
        <v>44</v>
      </c>
      <c r="V186" s="22">
        <f>VLOOKUP(TablaCalificaciones[[#This Row],[Metodología (nivel adecuado)]],PESOS!A$16:B$20,2,0)</f>
        <v>20</v>
      </c>
      <c r="W186" s="1"/>
      <c r="X186" s="1" t="s">
        <v>50</v>
      </c>
      <c r="Y186" s="22">
        <f>VLOOKUP(TablaCalificaciones[[#This Row],[Resultados y evidencia ]],PESOS!A$16:B$20,2,0)</f>
        <v>16</v>
      </c>
      <c r="Z186" s="1"/>
      <c r="AA186" s="1" t="s">
        <v>51</v>
      </c>
      <c r="AB186" s="22">
        <f>VLOOKUP(TablaCalificaciones[[#This Row],[Coherencia y manejo del tiempo]],PESOS!A$25:B$29,2,0)</f>
        <v>8</v>
      </c>
      <c r="AC186" s="1"/>
      <c r="AD186" s="1" t="s">
        <v>51</v>
      </c>
      <c r="AE186" s="22">
        <f>VLOOKUP(TablaCalificaciones[[#This Row],[Diapositivas como apoyo]],PESOS!A$25:B$29,2,0)</f>
        <v>8</v>
      </c>
      <c r="AF186" s="1"/>
      <c r="AG186" s="1" t="s">
        <v>51</v>
      </c>
      <c r="AH186" s="22">
        <f>VLOOKUP(TablaCalificaciones[[#This Row],[Respuestas a preguntas]],PESOS!A$25:B$29,2,0)</f>
        <v>8</v>
      </c>
      <c r="AI186" s="1"/>
      <c r="AJ186" s="1" t="s">
        <v>45</v>
      </c>
      <c r="AK186" s="22">
        <f>VLOOKUP(TablaCalificaciones[[#This Row],[Cierre: aporte a próximos pasos]],PESOS!A$25:B$29,2,0)</f>
        <v>10</v>
      </c>
      <c r="AL186" s="1"/>
      <c r="AM186" s="1"/>
    </row>
    <row r="187" spans="1:39">
      <c r="A187">
        <v>186</v>
      </c>
      <c r="B187" s="2">
        <v>46134.374814814801</v>
      </c>
      <c r="C187" s="2">
        <v>46134.3919328704</v>
      </c>
      <c r="D187" s="1" t="s">
        <v>59</v>
      </c>
      <c r="E187" s="1" t="s">
        <v>60</v>
      </c>
      <c r="G187" s="1"/>
      <c r="H187" s="2"/>
      <c r="I187" s="1" t="s">
        <v>68</v>
      </c>
      <c r="K187" s="1"/>
      <c r="L187" s="1" t="s">
        <v>60</v>
      </c>
      <c r="M187" s="26" t="str">
        <f>CONCATENATE(TablaCalificaciones[[#This Row],[Seleccione su nombre (Evaluador)]],TablaCalificaciones[[#This Row],[Seleccione el nombre del Estudiante]])</f>
        <v>Santiago Leonardo SolórzanoEspinosa Ramos Miguel</v>
      </c>
      <c r="N187" s="1"/>
      <c r="O187" s="1" t="s">
        <v>171</v>
      </c>
      <c r="Q187" s="1"/>
      <c r="R187" s="1" t="s">
        <v>44</v>
      </c>
      <c r="S187" s="22">
        <f>VLOOKUP(TablaCalificaciones[[#This Row],[Apertura: problema y objetivo ]],PESOS!A$16:B$20,2,0)</f>
        <v>20</v>
      </c>
      <c r="T187" s="1"/>
      <c r="U187" s="1" t="s">
        <v>44</v>
      </c>
      <c r="V187" s="22">
        <f>VLOOKUP(TablaCalificaciones[[#This Row],[Metodología (nivel adecuado)]],PESOS!A$16:B$20,2,0)</f>
        <v>20</v>
      </c>
      <c r="W187" s="1"/>
      <c r="X187" s="1" t="s">
        <v>50</v>
      </c>
      <c r="Y187" s="22">
        <f>VLOOKUP(TablaCalificaciones[[#This Row],[Resultados y evidencia ]],PESOS!A$16:B$20,2,0)</f>
        <v>16</v>
      </c>
      <c r="Z187" s="1"/>
      <c r="AA187" s="1" t="s">
        <v>51</v>
      </c>
      <c r="AB187" s="22">
        <f>VLOOKUP(TablaCalificaciones[[#This Row],[Coherencia y manejo del tiempo]],PESOS!A$25:B$29,2,0)</f>
        <v>8</v>
      </c>
      <c r="AC187" s="1"/>
      <c r="AD187" s="1" t="s">
        <v>51</v>
      </c>
      <c r="AE187" s="22">
        <f>VLOOKUP(TablaCalificaciones[[#This Row],[Diapositivas como apoyo]],PESOS!A$25:B$29,2,0)</f>
        <v>8</v>
      </c>
      <c r="AF187" s="1"/>
      <c r="AG187" s="1" t="s">
        <v>51</v>
      </c>
      <c r="AH187" s="22">
        <f>VLOOKUP(TablaCalificaciones[[#This Row],[Respuestas a preguntas]],PESOS!A$25:B$29,2,0)</f>
        <v>8</v>
      </c>
      <c r="AI187" s="1"/>
      <c r="AJ187" s="1" t="s">
        <v>45</v>
      </c>
      <c r="AK187" s="22">
        <f>VLOOKUP(TablaCalificaciones[[#This Row],[Cierre: aporte a próximos pasos]],PESOS!A$25:B$29,2,0)</f>
        <v>10</v>
      </c>
      <c r="AL187" s="1"/>
      <c r="AM187" s="1"/>
    </row>
    <row r="188" spans="1:39">
      <c r="A188">
        <v>187</v>
      </c>
      <c r="B188" s="2">
        <v>46134.393460648098</v>
      </c>
      <c r="C188" s="2">
        <v>46134.393587963001</v>
      </c>
      <c r="D188" s="1" t="s">
        <v>54</v>
      </c>
      <c r="E188" s="1" t="s">
        <v>55</v>
      </c>
      <c r="G188" s="1"/>
      <c r="H188" s="2"/>
      <c r="I188" s="1" t="s">
        <v>68</v>
      </c>
      <c r="K188" s="1"/>
      <c r="L188" s="1" t="s">
        <v>56</v>
      </c>
      <c r="M188" s="26" t="str">
        <f>CONCATENATE(TablaCalificaciones[[#This Row],[Seleccione su nombre (Evaluador)]],TablaCalificaciones[[#This Row],[Seleccione el nombre del Estudiante]])</f>
        <v>Marco Antonio Galarza CastilloEspinosa Ramos Alex Roberto</v>
      </c>
      <c r="N188" s="1"/>
      <c r="O188" s="1" t="s">
        <v>169</v>
      </c>
      <c r="Q188" s="1"/>
      <c r="R188" s="1" t="s">
        <v>50</v>
      </c>
      <c r="S188" s="22">
        <f>VLOOKUP(TablaCalificaciones[[#This Row],[Apertura: problema y objetivo ]],PESOS!A$16:B$20,2,0)</f>
        <v>16</v>
      </c>
      <c r="T188" s="1"/>
      <c r="U188" s="1" t="s">
        <v>44</v>
      </c>
      <c r="V188" s="22">
        <f>VLOOKUP(TablaCalificaciones[[#This Row],[Metodología (nivel adecuado)]],PESOS!A$16:B$20,2,0)</f>
        <v>20</v>
      </c>
      <c r="W188" s="1"/>
      <c r="X188" s="1" t="s">
        <v>50</v>
      </c>
      <c r="Y188" s="22">
        <f>VLOOKUP(TablaCalificaciones[[#This Row],[Resultados y evidencia ]],PESOS!A$16:B$20,2,0)</f>
        <v>16</v>
      </c>
      <c r="Z188" s="1"/>
      <c r="AA188" s="1" t="s">
        <v>45</v>
      </c>
      <c r="AB188" s="22">
        <f>VLOOKUP(TablaCalificaciones[[#This Row],[Coherencia y manejo del tiempo]],PESOS!A$25:B$29,2,0)</f>
        <v>10</v>
      </c>
      <c r="AC188" s="1"/>
      <c r="AD188" s="1" t="s">
        <v>51</v>
      </c>
      <c r="AE188" s="22">
        <f>VLOOKUP(TablaCalificaciones[[#This Row],[Diapositivas como apoyo]],PESOS!A$25:B$29,2,0)</f>
        <v>8</v>
      </c>
      <c r="AF188" s="1"/>
      <c r="AG188" s="1" t="s">
        <v>51</v>
      </c>
      <c r="AH188" s="22">
        <f>VLOOKUP(TablaCalificaciones[[#This Row],[Respuestas a preguntas]],PESOS!A$25:B$29,2,0)</f>
        <v>8</v>
      </c>
      <c r="AI188" s="1"/>
      <c r="AJ188" s="1" t="s">
        <v>51</v>
      </c>
      <c r="AK188" s="22">
        <f>VLOOKUP(TablaCalificaciones[[#This Row],[Cierre: aporte a próximos pasos]],PESOS!A$25:B$29,2,0)</f>
        <v>8</v>
      </c>
      <c r="AL188" s="1"/>
      <c r="AM188" s="1"/>
    </row>
    <row r="189" spans="1:39">
      <c r="A189">
        <v>188</v>
      </c>
      <c r="B189" s="2">
        <v>46134.393599536997</v>
      </c>
      <c r="C189" s="2">
        <v>46134.393923611096</v>
      </c>
      <c r="D189" s="1" t="s">
        <v>54</v>
      </c>
      <c r="E189" s="1" t="s">
        <v>55</v>
      </c>
      <c r="G189" s="1"/>
      <c r="H189" s="2"/>
      <c r="I189" s="1" t="s">
        <v>68</v>
      </c>
      <c r="K189" s="1"/>
      <c r="L189" s="1" t="s">
        <v>56</v>
      </c>
      <c r="M189" s="26" t="str">
        <f>CONCATENATE(TablaCalificaciones[[#This Row],[Seleccione su nombre (Evaluador)]],TablaCalificaciones[[#This Row],[Seleccione el nombre del Estudiante]])</f>
        <v>Marco Antonio Galarza CastilloEspinosa Ramos Miguel</v>
      </c>
      <c r="N189" s="1"/>
      <c r="O189" s="1" t="s">
        <v>171</v>
      </c>
      <c r="Q189" s="1"/>
      <c r="R189" s="1" t="s">
        <v>44</v>
      </c>
      <c r="S189" s="22">
        <f>VLOOKUP(TablaCalificaciones[[#This Row],[Apertura: problema y objetivo ]],PESOS!A$16:B$20,2,0)</f>
        <v>20</v>
      </c>
      <c r="T189" s="1"/>
      <c r="U189" s="1" t="s">
        <v>44</v>
      </c>
      <c r="V189" s="22">
        <f>VLOOKUP(TablaCalificaciones[[#This Row],[Metodología (nivel adecuado)]],PESOS!A$16:B$20,2,0)</f>
        <v>20</v>
      </c>
      <c r="W189" s="1"/>
      <c r="X189" s="1" t="s">
        <v>50</v>
      </c>
      <c r="Y189" s="22">
        <f>VLOOKUP(TablaCalificaciones[[#This Row],[Resultados y evidencia ]],PESOS!A$16:B$20,2,0)</f>
        <v>16</v>
      </c>
      <c r="Z189" s="1"/>
      <c r="AA189" s="1" t="s">
        <v>45</v>
      </c>
      <c r="AB189" s="22">
        <f>VLOOKUP(TablaCalificaciones[[#This Row],[Coherencia y manejo del tiempo]],PESOS!A$25:B$29,2,0)</f>
        <v>10</v>
      </c>
      <c r="AC189" s="1"/>
      <c r="AD189" s="1" t="s">
        <v>51</v>
      </c>
      <c r="AE189" s="22">
        <f>VLOOKUP(TablaCalificaciones[[#This Row],[Diapositivas como apoyo]],PESOS!A$25:B$29,2,0)</f>
        <v>8</v>
      </c>
      <c r="AF189" s="1"/>
      <c r="AG189" s="1" t="s">
        <v>51</v>
      </c>
      <c r="AH189" s="22">
        <f>VLOOKUP(TablaCalificaciones[[#This Row],[Respuestas a preguntas]],PESOS!A$25:B$29,2,0)</f>
        <v>8</v>
      </c>
      <c r="AI189" s="1"/>
      <c r="AJ189" s="1" t="s">
        <v>51</v>
      </c>
      <c r="AK189" s="22">
        <f>VLOOKUP(TablaCalificaciones[[#This Row],[Cierre: aporte a próximos pasos]],PESOS!A$25:B$29,2,0)</f>
        <v>8</v>
      </c>
      <c r="AL189" s="1"/>
      <c r="AM189" s="1"/>
    </row>
    <row r="190" spans="1:39">
      <c r="A190">
        <v>189</v>
      </c>
      <c r="B190" s="2">
        <v>46134.393935185202</v>
      </c>
      <c r="C190" s="2">
        <v>46134.394236111097</v>
      </c>
      <c r="D190" s="1" t="s">
        <v>54</v>
      </c>
      <c r="E190" s="1" t="s">
        <v>55</v>
      </c>
      <c r="G190" s="1"/>
      <c r="H190" s="2"/>
      <c r="I190" s="1" t="s">
        <v>68</v>
      </c>
      <c r="K190" s="1"/>
      <c r="L190" s="1" t="s">
        <v>56</v>
      </c>
      <c r="M190" s="26" t="str">
        <f>CONCATENATE(TablaCalificaciones[[#This Row],[Seleccione su nombre (Evaluador)]],TablaCalificaciones[[#This Row],[Seleccione el nombre del Estudiante]])</f>
        <v>Marco Antonio Galarza CastilloBenavides Guerrero Santiago Nicolás</v>
      </c>
      <c r="N190" s="1"/>
      <c r="O190" s="1" t="s">
        <v>170</v>
      </c>
      <c r="Q190" s="1"/>
      <c r="R190" s="1" t="s">
        <v>50</v>
      </c>
      <c r="S190" s="22">
        <f>VLOOKUP(TablaCalificaciones[[#This Row],[Apertura: problema y objetivo ]],PESOS!A$16:B$20,2,0)</f>
        <v>16</v>
      </c>
      <c r="T190" s="1"/>
      <c r="U190" s="1" t="s">
        <v>44</v>
      </c>
      <c r="V190" s="22">
        <f>VLOOKUP(TablaCalificaciones[[#This Row],[Metodología (nivel adecuado)]],PESOS!A$16:B$20,2,0)</f>
        <v>20</v>
      </c>
      <c r="W190" s="1"/>
      <c r="X190" s="1" t="s">
        <v>50</v>
      </c>
      <c r="Y190" s="22">
        <f>VLOOKUP(TablaCalificaciones[[#This Row],[Resultados y evidencia ]],PESOS!A$16:B$20,2,0)</f>
        <v>16</v>
      </c>
      <c r="Z190" s="1"/>
      <c r="AA190" s="1" t="s">
        <v>45</v>
      </c>
      <c r="AB190" s="22">
        <f>VLOOKUP(TablaCalificaciones[[#This Row],[Coherencia y manejo del tiempo]],PESOS!A$25:B$29,2,0)</f>
        <v>10</v>
      </c>
      <c r="AC190" s="1"/>
      <c r="AD190" s="1" t="s">
        <v>51</v>
      </c>
      <c r="AE190" s="22">
        <f>VLOOKUP(TablaCalificaciones[[#This Row],[Diapositivas como apoyo]],PESOS!A$25:B$29,2,0)</f>
        <v>8</v>
      </c>
      <c r="AF190" s="1"/>
      <c r="AG190" s="1" t="s">
        <v>51</v>
      </c>
      <c r="AH190" s="22">
        <f>VLOOKUP(TablaCalificaciones[[#This Row],[Respuestas a preguntas]],PESOS!A$25:B$29,2,0)</f>
        <v>8</v>
      </c>
      <c r="AI190" s="1"/>
      <c r="AJ190" s="1" t="s">
        <v>51</v>
      </c>
      <c r="AK190" s="22">
        <f>VLOOKUP(TablaCalificaciones[[#This Row],[Cierre: aporte a próximos pasos]],PESOS!A$25:B$29,2,0)</f>
        <v>8</v>
      </c>
      <c r="AL190" s="1"/>
      <c r="AM190" s="1"/>
    </row>
    <row r="191" spans="1:39">
      <c r="A191">
        <v>190</v>
      </c>
      <c r="B191" s="2">
        <v>46134.372314814798</v>
      </c>
      <c r="C191" s="2">
        <v>46134.395254629599</v>
      </c>
      <c r="D191" s="1" t="s">
        <v>97</v>
      </c>
      <c r="E191" s="1" t="s">
        <v>98</v>
      </c>
      <c r="G191" s="1"/>
      <c r="H191" s="2"/>
      <c r="I191" s="1" t="s">
        <v>68</v>
      </c>
      <c r="K191" s="1"/>
      <c r="L191" s="1" t="s">
        <v>99</v>
      </c>
      <c r="M191" s="26" t="str">
        <f>CONCATENATE(TablaCalificaciones[[#This Row],[Seleccione su nombre (Evaluador)]],TablaCalificaciones[[#This Row],[Seleccione el nombre del Estudiante]])</f>
        <v>Víctor Javier Gómez RegaladoDonoso Márquez Renato Fabricio</v>
      </c>
      <c r="N191" s="1"/>
      <c r="O191" s="1" t="s">
        <v>172</v>
      </c>
      <c r="Q191" s="1"/>
      <c r="R191" s="1" t="s">
        <v>44</v>
      </c>
      <c r="S191" s="22">
        <f>VLOOKUP(TablaCalificaciones[[#This Row],[Apertura: problema y objetivo ]],PESOS!A$16:B$20,2,0)</f>
        <v>20</v>
      </c>
      <c r="T191" s="1"/>
      <c r="U191" s="1" t="s">
        <v>44</v>
      </c>
      <c r="V191" s="22">
        <f>VLOOKUP(TablaCalificaciones[[#This Row],[Metodología (nivel adecuado)]],PESOS!A$16:B$20,2,0)</f>
        <v>20</v>
      </c>
      <c r="W191" s="1"/>
      <c r="X191" s="1" t="s">
        <v>44</v>
      </c>
      <c r="Y191" s="22">
        <f>VLOOKUP(TablaCalificaciones[[#This Row],[Resultados y evidencia ]],PESOS!A$16:B$20,2,0)</f>
        <v>20</v>
      </c>
      <c r="Z191" s="1"/>
      <c r="AA191" s="1" t="s">
        <v>45</v>
      </c>
      <c r="AB191" s="22">
        <f>VLOOKUP(TablaCalificaciones[[#This Row],[Coherencia y manejo del tiempo]],PESOS!A$25:B$29,2,0)</f>
        <v>10</v>
      </c>
      <c r="AC191" s="1"/>
      <c r="AD191" s="1" t="s">
        <v>45</v>
      </c>
      <c r="AE191" s="22">
        <f>VLOOKUP(TablaCalificaciones[[#This Row],[Diapositivas como apoyo]],PESOS!A$25:B$29,2,0)</f>
        <v>10</v>
      </c>
      <c r="AF191" s="1"/>
      <c r="AG191" s="1" t="s">
        <v>45</v>
      </c>
      <c r="AH191" s="22">
        <f>VLOOKUP(TablaCalificaciones[[#This Row],[Respuestas a preguntas]],PESOS!A$25:B$29,2,0)</f>
        <v>10</v>
      </c>
      <c r="AI191" s="1"/>
      <c r="AJ191" s="1" t="s">
        <v>45</v>
      </c>
      <c r="AK191" s="22">
        <f>VLOOKUP(TablaCalificaciones[[#This Row],[Cierre: aporte a próximos pasos]],PESOS!A$25:B$29,2,0)</f>
        <v>10</v>
      </c>
      <c r="AL191" s="1"/>
      <c r="AM191" s="1"/>
    </row>
    <row r="192" spans="1:39">
      <c r="A192">
        <v>191</v>
      </c>
      <c r="B192" s="2">
        <v>46133.877500000002</v>
      </c>
      <c r="C192" s="2">
        <v>46134.395358796297</v>
      </c>
      <c r="D192" s="1" t="s">
        <v>152</v>
      </c>
      <c r="E192" s="1" t="s">
        <v>153</v>
      </c>
      <c r="G192" s="1"/>
      <c r="H192" s="2"/>
      <c r="I192" s="1" t="s">
        <v>68</v>
      </c>
      <c r="K192" s="1"/>
      <c r="L192" s="1" t="s">
        <v>153</v>
      </c>
      <c r="M192" s="26" t="str">
        <f>CONCATENATE(TablaCalificaciones[[#This Row],[Seleccione su nombre (Evaluador)]],TablaCalificaciones[[#This Row],[Seleccione el nombre del Estudiante]])</f>
        <v>Cesar Andres Ron CusmeEspinosa Ramos Miguel</v>
      </c>
      <c r="N192" s="1"/>
      <c r="O192" s="1" t="s">
        <v>171</v>
      </c>
      <c r="Q192" s="1"/>
      <c r="R192" s="1" t="s">
        <v>50</v>
      </c>
      <c r="S192" s="22">
        <f>VLOOKUP(TablaCalificaciones[[#This Row],[Apertura: problema y objetivo ]],PESOS!A$16:B$20,2,0)</f>
        <v>16</v>
      </c>
      <c r="T192" s="1"/>
      <c r="U192" s="1" t="s">
        <v>50</v>
      </c>
      <c r="V192" s="22">
        <f>VLOOKUP(TablaCalificaciones[[#This Row],[Metodología (nivel adecuado)]],PESOS!A$16:B$20,2,0)</f>
        <v>16</v>
      </c>
      <c r="W192" s="1"/>
      <c r="X192" s="1" t="s">
        <v>50</v>
      </c>
      <c r="Y192" s="22">
        <f>VLOOKUP(TablaCalificaciones[[#This Row],[Resultados y evidencia ]],PESOS!A$16:B$20,2,0)</f>
        <v>16</v>
      </c>
      <c r="Z192" s="1"/>
      <c r="AA192" s="1" t="s">
        <v>45</v>
      </c>
      <c r="AB192" s="22">
        <f>VLOOKUP(TablaCalificaciones[[#This Row],[Coherencia y manejo del tiempo]],PESOS!A$25:B$29,2,0)</f>
        <v>10</v>
      </c>
      <c r="AC192" s="1"/>
      <c r="AD192" s="1" t="s">
        <v>51</v>
      </c>
      <c r="AE192" s="22">
        <f>VLOOKUP(TablaCalificaciones[[#This Row],[Diapositivas como apoyo]],PESOS!A$25:B$29,2,0)</f>
        <v>8</v>
      </c>
      <c r="AF192" s="1"/>
      <c r="AG192" s="1" t="s">
        <v>83</v>
      </c>
      <c r="AH192" s="22">
        <f>VLOOKUP(TablaCalificaciones[[#This Row],[Respuestas a preguntas]],PESOS!A$25:B$29,2,0)</f>
        <v>6</v>
      </c>
      <c r="AI192" s="1"/>
      <c r="AJ192" s="1" t="s">
        <v>45</v>
      </c>
      <c r="AK192" s="22">
        <f>VLOOKUP(TablaCalificaciones[[#This Row],[Cierre: aporte a próximos pasos]],PESOS!A$25:B$29,2,0)</f>
        <v>10</v>
      </c>
      <c r="AL192" s="1"/>
      <c r="AM192" s="1"/>
    </row>
    <row r="193" spans="1:39">
      <c r="A193">
        <v>192</v>
      </c>
      <c r="B193" s="2">
        <v>46133.877453703702</v>
      </c>
      <c r="C193" s="2">
        <v>46134.3953819444</v>
      </c>
      <c r="D193" s="1" t="s">
        <v>152</v>
      </c>
      <c r="E193" s="1" t="s">
        <v>153</v>
      </c>
      <c r="G193" s="1"/>
      <c r="H193" s="2"/>
      <c r="I193" s="1" t="s">
        <v>68</v>
      </c>
      <c r="K193" s="1"/>
      <c r="L193" s="1" t="s">
        <v>153</v>
      </c>
      <c r="M193" s="26" t="str">
        <f>CONCATENATE(TablaCalificaciones[[#This Row],[Seleccione su nombre (Evaluador)]],TablaCalificaciones[[#This Row],[Seleccione el nombre del Estudiante]])</f>
        <v>Cesar Andres Ron CusmeEspinosa Ramos Alex Roberto</v>
      </c>
      <c r="N193" s="1"/>
      <c r="O193" s="1" t="s">
        <v>169</v>
      </c>
      <c r="Q193" s="1"/>
      <c r="R193" s="1" t="s">
        <v>50</v>
      </c>
      <c r="S193" s="22">
        <f>VLOOKUP(TablaCalificaciones[[#This Row],[Apertura: problema y objetivo ]],PESOS!A$16:B$20,2,0)</f>
        <v>16</v>
      </c>
      <c r="T193" s="1"/>
      <c r="U193" s="1" t="s">
        <v>50</v>
      </c>
      <c r="V193" s="22">
        <f>VLOOKUP(TablaCalificaciones[[#This Row],[Metodología (nivel adecuado)]],PESOS!A$16:B$20,2,0)</f>
        <v>16</v>
      </c>
      <c r="W193" s="1"/>
      <c r="X193" s="1" t="s">
        <v>50</v>
      </c>
      <c r="Y193" s="22">
        <f>VLOOKUP(TablaCalificaciones[[#This Row],[Resultados y evidencia ]],PESOS!A$16:B$20,2,0)</f>
        <v>16</v>
      </c>
      <c r="Z193" s="1"/>
      <c r="AA193" s="1" t="s">
        <v>45</v>
      </c>
      <c r="AB193" s="22">
        <f>VLOOKUP(TablaCalificaciones[[#This Row],[Coherencia y manejo del tiempo]],PESOS!A$25:B$29,2,0)</f>
        <v>10</v>
      </c>
      <c r="AC193" s="1"/>
      <c r="AD193" s="1" t="s">
        <v>51</v>
      </c>
      <c r="AE193" s="22">
        <f>VLOOKUP(TablaCalificaciones[[#This Row],[Diapositivas como apoyo]],PESOS!A$25:B$29,2,0)</f>
        <v>8</v>
      </c>
      <c r="AF193" s="1"/>
      <c r="AG193" s="1" t="s">
        <v>83</v>
      </c>
      <c r="AH193" s="22">
        <f>VLOOKUP(TablaCalificaciones[[#This Row],[Respuestas a preguntas]],PESOS!A$25:B$29,2,0)</f>
        <v>6</v>
      </c>
      <c r="AI193" s="1"/>
      <c r="AJ193" s="1" t="s">
        <v>45</v>
      </c>
      <c r="AK193" s="22">
        <f>VLOOKUP(TablaCalificaciones[[#This Row],[Cierre: aporte a próximos pasos]],PESOS!A$25:B$29,2,0)</f>
        <v>10</v>
      </c>
      <c r="AL193" s="1"/>
      <c r="AM193" s="1"/>
    </row>
    <row r="194" spans="1:39">
      <c r="A194">
        <v>193</v>
      </c>
      <c r="B194" s="2">
        <v>46133.877418981501</v>
      </c>
      <c r="C194" s="2">
        <v>46134.395462963003</v>
      </c>
      <c r="D194" s="1" t="s">
        <v>152</v>
      </c>
      <c r="E194" s="1" t="s">
        <v>153</v>
      </c>
      <c r="G194" s="1"/>
      <c r="H194" s="2"/>
      <c r="I194" s="1" t="s">
        <v>68</v>
      </c>
      <c r="K194" s="1"/>
      <c r="L194" s="1" t="s">
        <v>153</v>
      </c>
      <c r="M194" s="26" t="str">
        <f>CONCATENATE(TablaCalificaciones[[#This Row],[Seleccione su nombre (Evaluador)]],TablaCalificaciones[[#This Row],[Seleccione el nombre del Estudiante]])</f>
        <v>Cesar Andres Ron CusmeBenavides Guerrero Santiago Nicolás</v>
      </c>
      <c r="N194" s="1"/>
      <c r="O194" s="1" t="s">
        <v>170</v>
      </c>
      <c r="Q194" s="1"/>
      <c r="R194" s="1" t="s">
        <v>50</v>
      </c>
      <c r="S194" s="22">
        <f>VLOOKUP(TablaCalificaciones[[#This Row],[Apertura: problema y objetivo ]],PESOS!A$16:B$20,2,0)</f>
        <v>16</v>
      </c>
      <c r="T194" s="1"/>
      <c r="U194" s="1" t="s">
        <v>50</v>
      </c>
      <c r="V194" s="22">
        <f>VLOOKUP(TablaCalificaciones[[#This Row],[Metodología (nivel adecuado)]],PESOS!A$16:B$20,2,0)</f>
        <v>16</v>
      </c>
      <c r="W194" s="1"/>
      <c r="X194" s="1" t="s">
        <v>50</v>
      </c>
      <c r="Y194" s="22">
        <f>VLOOKUP(TablaCalificaciones[[#This Row],[Resultados y evidencia ]],PESOS!A$16:B$20,2,0)</f>
        <v>16</v>
      </c>
      <c r="Z194" s="1"/>
      <c r="AA194" s="1" t="s">
        <v>45</v>
      </c>
      <c r="AB194" s="22">
        <f>VLOOKUP(TablaCalificaciones[[#This Row],[Coherencia y manejo del tiempo]],PESOS!A$25:B$29,2,0)</f>
        <v>10</v>
      </c>
      <c r="AC194" s="1"/>
      <c r="AD194" s="1" t="s">
        <v>51</v>
      </c>
      <c r="AE194" s="22">
        <f>VLOOKUP(TablaCalificaciones[[#This Row],[Diapositivas como apoyo]],PESOS!A$25:B$29,2,0)</f>
        <v>8</v>
      </c>
      <c r="AF194" s="1"/>
      <c r="AG194" s="1" t="s">
        <v>83</v>
      </c>
      <c r="AH194" s="22">
        <f>VLOOKUP(TablaCalificaciones[[#This Row],[Respuestas a preguntas]],PESOS!A$25:B$29,2,0)</f>
        <v>6</v>
      </c>
      <c r="AI194" s="1"/>
      <c r="AJ194" s="1" t="s">
        <v>45</v>
      </c>
      <c r="AK194" s="22">
        <f>VLOOKUP(TablaCalificaciones[[#This Row],[Cierre: aporte a próximos pasos]],PESOS!A$25:B$29,2,0)</f>
        <v>10</v>
      </c>
      <c r="AL194" s="1"/>
      <c r="AM194" s="1"/>
    </row>
    <row r="195" spans="1:39">
      <c r="A195">
        <v>194</v>
      </c>
      <c r="B195" s="2">
        <v>46134.393437500003</v>
      </c>
      <c r="C195" s="2">
        <v>46134.396574074097</v>
      </c>
      <c r="D195" s="1" t="s">
        <v>173</v>
      </c>
      <c r="E195" s="1" t="s">
        <v>174</v>
      </c>
      <c r="G195" s="1"/>
      <c r="H195" s="2"/>
      <c r="I195" s="1" t="s">
        <v>68</v>
      </c>
      <c r="K195" s="1"/>
      <c r="L195" s="1" t="s">
        <v>174</v>
      </c>
      <c r="M195" s="26" t="str">
        <f>CONCATENATE(TablaCalificaciones[[#This Row],[Seleccione su nombre (Evaluador)]],TablaCalificaciones[[#This Row],[Seleccione el nombre del Estudiante]])</f>
        <v>Pavlova SigchaDonoso Márquez Renato Fabricio</v>
      </c>
      <c r="N195" s="1"/>
      <c r="O195" s="1" t="s">
        <v>172</v>
      </c>
      <c r="Q195" s="1"/>
      <c r="R195" s="1" t="s">
        <v>44</v>
      </c>
      <c r="S195" s="22">
        <f>VLOOKUP(TablaCalificaciones[[#This Row],[Apertura: problema y objetivo ]],PESOS!A$16:B$20,2,0)</f>
        <v>20</v>
      </c>
      <c r="T195" s="1"/>
      <c r="U195" s="1" t="s">
        <v>44</v>
      </c>
      <c r="V195" s="22">
        <f>VLOOKUP(TablaCalificaciones[[#This Row],[Metodología (nivel adecuado)]],PESOS!A$16:B$20,2,0)</f>
        <v>20</v>
      </c>
      <c r="W195" s="1"/>
      <c r="X195" s="1" t="s">
        <v>44</v>
      </c>
      <c r="Y195" s="22">
        <f>VLOOKUP(TablaCalificaciones[[#This Row],[Resultados y evidencia ]],PESOS!A$16:B$20,2,0)</f>
        <v>20</v>
      </c>
      <c r="Z195" s="1"/>
      <c r="AA195" s="1" t="s">
        <v>45</v>
      </c>
      <c r="AB195" s="22">
        <f>VLOOKUP(TablaCalificaciones[[#This Row],[Coherencia y manejo del tiempo]],PESOS!A$25:B$29,2,0)</f>
        <v>10</v>
      </c>
      <c r="AC195" s="1"/>
      <c r="AD195" s="1" t="s">
        <v>45</v>
      </c>
      <c r="AE195" s="22">
        <f>VLOOKUP(TablaCalificaciones[[#This Row],[Diapositivas como apoyo]],PESOS!A$25:B$29,2,0)</f>
        <v>10</v>
      </c>
      <c r="AF195" s="1"/>
      <c r="AG195" s="1" t="s">
        <v>45</v>
      </c>
      <c r="AH195" s="22">
        <f>VLOOKUP(TablaCalificaciones[[#This Row],[Respuestas a preguntas]],PESOS!A$25:B$29,2,0)</f>
        <v>10</v>
      </c>
      <c r="AI195" s="1"/>
      <c r="AJ195" s="1" t="s">
        <v>45</v>
      </c>
      <c r="AK195" s="22">
        <f>VLOOKUP(TablaCalificaciones[[#This Row],[Cierre: aporte a próximos pasos]],PESOS!A$25:B$29,2,0)</f>
        <v>10</v>
      </c>
      <c r="AL195" s="1"/>
      <c r="AM195" s="1"/>
    </row>
    <row r="196" spans="1:39">
      <c r="A196">
        <v>195</v>
      </c>
      <c r="B196" s="2">
        <v>46134.3953819444</v>
      </c>
      <c r="C196" s="2">
        <v>46134.396979166697</v>
      </c>
      <c r="D196" s="1" t="s">
        <v>97</v>
      </c>
      <c r="E196" s="1" t="s">
        <v>98</v>
      </c>
      <c r="G196" s="1"/>
      <c r="H196" s="2"/>
      <c r="I196" s="1" t="s">
        <v>68</v>
      </c>
      <c r="K196" s="1"/>
      <c r="L196" s="1" t="s">
        <v>99</v>
      </c>
      <c r="M196" s="26" t="str">
        <f>CONCATENATE(TablaCalificaciones[[#This Row],[Seleccione su nombre (Evaluador)]],TablaCalificaciones[[#This Row],[Seleccione el nombre del Estudiante]])</f>
        <v>Víctor Javier Gómez RegaladoGuevara Zambrano Vivian Salomé</v>
      </c>
      <c r="N196" s="1"/>
      <c r="O196" s="1" t="s">
        <v>175</v>
      </c>
      <c r="Q196" s="1"/>
      <c r="R196" s="1" t="s">
        <v>44</v>
      </c>
      <c r="S196" s="22">
        <f>VLOOKUP(TablaCalificaciones[[#This Row],[Apertura: problema y objetivo ]],PESOS!A$16:B$20,2,0)</f>
        <v>20</v>
      </c>
      <c r="T196" s="1"/>
      <c r="U196" s="1" t="s">
        <v>44</v>
      </c>
      <c r="V196" s="22">
        <f>VLOOKUP(TablaCalificaciones[[#This Row],[Metodología (nivel adecuado)]],PESOS!A$16:B$20,2,0)</f>
        <v>20</v>
      </c>
      <c r="W196" s="1"/>
      <c r="X196" s="1" t="s">
        <v>44</v>
      </c>
      <c r="Y196" s="22">
        <f>VLOOKUP(TablaCalificaciones[[#This Row],[Resultados y evidencia ]],PESOS!A$16:B$20,2,0)</f>
        <v>20</v>
      </c>
      <c r="Z196" s="1"/>
      <c r="AA196" s="1" t="s">
        <v>45</v>
      </c>
      <c r="AB196" s="22">
        <f>VLOOKUP(TablaCalificaciones[[#This Row],[Coherencia y manejo del tiempo]],PESOS!A$25:B$29,2,0)</f>
        <v>10</v>
      </c>
      <c r="AC196" s="1"/>
      <c r="AD196" s="1" t="s">
        <v>45</v>
      </c>
      <c r="AE196" s="22">
        <f>VLOOKUP(TablaCalificaciones[[#This Row],[Diapositivas como apoyo]],PESOS!A$25:B$29,2,0)</f>
        <v>10</v>
      </c>
      <c r="AF196" s="1"/>
      <c r="AG196" s="1" t="s">
        <v>45</v>
      </c>
      <c r="AH196" s="22">
        <f>VLOOKUP(TablaCalificaciones[[#This Row],[Respuestas a preguntas]],PESOS!A$25:B$29,2,0)</f>
        <v>10</v>
      </c>
      <c r="AI196" s="1"/>
      <c r="AJ196" s="1" t="s">
        <v>45</v>
      </c>
      <c r="AK196" s="22">
        <f>VLOOKUP(TablaCalificaciones[[#This Row],[Cierre: aporte a próximos pasos]],PESOS!A$25:B$29,2,0)</f>
        <v>10</v>
      </c>
      <c r="AL196" s="1"/>
      <c r="AM196" s="1"/>
    </row>
    <row r="197" spans="1:39">
      <c r="A197">
        <v>196</v>
      </c>
      <c r="B197" s="2">
        <v>46134.396597222199</v>
      </c>
      <c r="C197" s="2">
        <v>46134.397210648203</v>
      </c>
      <c r="D197" s="1" t="s">
        <v>173</v>
      </c>
      <c r="E197" s="1" t="s">
        <v>174</v>
      </c>
      <c r="G197" s="1"/>
      <c r="H197" s="2"/>
      <c r="I197" s="1" t="s">
        <v>68</v>
      </c>
      <c r="K197" s="1"/>
      <c r="L197" s="1" t="s">
        <v>174</v>
      </c>
      <c r="M197" s="26" t="str">
        <f>CONCATENATE(TablaCalificaciones[[#This Row],[Seleccione su nombre (Evaluador)]],TablaCalificaciones[[#This Row],[Seleccione el nombre del Estudiante]])</f>
        <v>Pavlova SigchaGuevara Zambrano Vivian Salomé</v>
      </c>
      <c r="N197" s="1"/>
      <c r="O197" s="1" t="s">
        <v>175</v>
      </c>
      <c r="Q197" s="1"/>
      <c r="R197" s="1" t="s">
        <v>44</v>
      </c>
      <c r="S197" s="22">
        <f>VLOOKUP(TablaCalificaciones[[#This Row],[Apertura: problema y objetivo ]],PESOS!A$16:B$20,2,0)</f>
        <v>20</v>
      </c>
      <c r="T197" s="1"/>
      <c r="U197" s="1" t="s">
        <v>44</v>
      </c>
      <c r="V197" s="22">
        <f>VLOOKUP(TablaCalificaciones[[#This Row],[Metodología (nivel adecuado)]],PESOS!A$16:B$20,2,0)</f>
        <v>20</v>
      </c>
      <c r="W197" s="1"/>
      <c r="X197" s="1" t="s">
        <v>50</v>
      </c>
      <c r="Y197" s="22">
        <f>VLOOKUP(TablaCalificaciones[[#This Row],[Resultados y evidencia ]],PESOS!A$16:B$20,2,0)</f>
        <v>16</v>
      </c>
      <c r="Z197" s="1"/>
      <c r="AA197" s="1" t="s">
        <v>45</v>
      </c>
      <c r="AB197" s="22">
        <f>VLOOKUP(TablaCalificaciones[[#This Row],[Coherencia y manejo del tiempo]],PESOS!A$25:B$29,2,0)</f>
        <v>10</v>
      </c>
      <c r="AC197" s="1"/>
      <c r="AD197" s="1" t="s">
        <v>51</v>
      </c>
      <c r="AE197" s="22">
        <f>VLOOKUP(TablaCalificaciones[[#This Row],[Diapositivas como apoyo]],PESOS!A$25:B$29,2,0)</f>
        <v>8</v>
      </c>
      <c r="AF197" s="1"/>
      <c r="AG197" s="1" t="s">
        <v>51</v>
      </c>
      <c r="AH197" s="22">
        <f>VLOOKUP(TablaCalificaciones[[#This Row],[Respuestas a preguntas]],PESOS!A$25:B$29,2,0)</f>
        <v>8</v>
      </c>
      <c r="AI197" s="1"/>
      <c r="AJ197" s="1" t="s">
        <v>45</v>
      </c>
      <c r="AK197" s="22">
        <f>VLOOKUP(TablaCalificaciones[[#This Row],[Cierre: aporte a próximos pasos]],PESOS!A$25:B$29,2,0)</f>
        <v>10</v>
      </c>
      <c r="AL197" s="1"/>
      <c r="AM197" s="1"/>
    </row>
    <row r="198" spans="1:39">
      <c r="A198">
        <v>197</v>
      </c>
      <c r="B198" s="2">
        <v>46134.397233796299</v>
      </c>
      <c r="C198" s="2">
        <v>46134.3976736111</v>
      </c>
      <c r="D198" s="1" t="s">
        <v>173</v>
      </c>
      <c r="E198" s="1" t="s">
        <v>174</v>
      </c>
      <c r="G198" s="1"/>
      <c r="H198" s="2"/>
      <c r="I198" s="1" t="s">
        <v>68</v>
      </c>
      <c r="K198" s="1"/>
      <c r="L198" s="1" t="s">
        <v>174</v>
      </c>
      <c r="M198" s="26" t="str">
        <f>CONCATENATE(TablaCalificaciones[[#This Row],[Seleccione su nombre (Evaluador)]],TablaCalificaciones[[#This Row],[Seleccione el nombre del Estudiante]])</f>
        <v>Pavlova SigchaRomero Lozano Michelle Stephanie</v>
      </c>
      <c r="N198" s="1"/>
      <c r="O198" s="1" t="s">
        <v>176</v>
      </c>
      <c r="Q198" s="1"/>
      <c r="R198" s="1" t="s">
        <v>50</v>
      </c>
      <c r="S198" s="22">
        <f>VLOOKUP(TablaCalificaciones[[#This Row],[Apertura: problema y objetivo ]],PESOS!A$16:B$20,2,0)</f>
        <v>16</v>
      </c>
      <c r="T198" s="1"/>
      <c r="U198" s="1" t="s">
        <v>50</v>
      </c>
      <c r="V198" s="22">
        <f>VLOOKUP(TablaCalificaciones[[#This Row],[Metodología (nivel adecuado)]],PESOS!A$16:B$20,2,0)</f>
        <v>16</v>
      </c>
      <c r="W198" s="1"/>
      <c r="X198" s="1" t="s">
        <v>50</v>
      </c>
      <c r="Y198" s="22">
        <f>VLOOKUP(TablaCalificaciones[[#This Row],[Resultados y evidencia ]],PESOS!A$16:B$20,2,0)</f>
        <v>16</v>
      </c>
      <c r="Z198" s="1"/>
      <c r="AA198" s="1" t="s">
        <v>51</v>
      </c>
      <c r="AB198" s="22">
        <f>VLOOKUP(TablaCalificaciones[[#This Row],[Coherencia y manejo del tiempo]],PESOS!A$25:B$29,2,0)</f>
        <v>8</v>
      </c>
      <c r="AC198" s="1"/>
      <c r="AD198" s="1" t="s">
        <v>51</v>
      </c>
      <c r="AE198" s="22">
        <f>VLOOKUP(TablaCalificaciones[[#This Row],[Diapositivas como apoyo]],PESOS!A$25:B$29,2,0)</f>
        <v>8</v>
      </c>
      <c r="AF198" s="1"/>
      <c r="AG198" s="1" t="s">
        <v>83</v>
      </c>
      <c r="AH198" s="22">
        <f>VLOOKUP(TablaCalificaciones[[#This Row],[Respuestas a preguntas]],PESOS!A$25:B$29,2,0)</f>
        <v>6</v>
      </c>
      <c r="AI198" s="1"/>
      <c r="AJ198" s="1" t="s">
        <v>51</v>
      </c>
      <c r="AK198" s="22">
        <f>VLOOKUP(TablaCalificaciones[[#This Row],[Cierre: aporte a próximos pasos]],PESOS!A$25:B$29,2,0)</f>
        <v>8</v>
      </c>
      <c r="AL198" s="1"/>
      <c r="AM198" s="1"/>
    </row>
    <row r="199" spans="1:39">
      <c r="A199">
        <v>198</v>
      </c>
      <c r="B199" s="2">
        <v>46134.397094907399</v>
      </c>
      <c r="C199" s="2">
        <v>46134.3979398148</v>
      </c>
      <c r="D199" s="1" t="s">
        <v>97</v>
      </c>
      <c r="E199" s="1" t="s">
        <v>98</v>
      </c>
      <c r="G199" s="1"/>
      <c r="H199" s="2"/>
      <c r="I199" s="1" t="s">
        <v>68</v>
      </c>
      <c r="K199" s="1"/>
      <c r="L199" s="1" t="s">
        <v>99</v>
      </c>
      <c r="M199" s="26" t="str">
        <f>CONCATENATE(TablaCalificaciones[[#This Row],[Seleccione su nombre (Evaluador)]],TablaCalificaciones[[#This Row],[Seleccione el nombre del Estudiante]])</f>
        <v>Víctor Javier Gómez RegaladoRomero Lozano Michelle Stephanie</v>
      </c>
      <c r="N199" s="1"/>
      <c r="O199" s="1" t="s">
        <v>176</v>
      </c>
      <c r="Q199" s="1"/>
      <c r="R199" s="1" t="s">
        <v>50</v>
      </c>
      <c r="S199" s="22">
        <f>VLOOKUP(TablaCalificaciones[[#This Row],[Apertura: problema y objetivo ]],PESOS!A$16:B$20,2,0)</f>
        <v>16</v>
      </c>
      <c r="T199" s="1"/>
      <c r="U199" s="1" t="s">
        <v>50</v>
      </c>
      <c r="V199" s="22">
        <f>VLOOKUP(TablaCalificaciones[[#This Row],[Metodología (nivel adecuado)]],PESOS!A$16:B$20,2,0)</f>
        <v>16</v>
      </c>
      <c r="W199" s="1"/>
      <c r="X199" s="1" t="s">
        <v>50</v>
      </c>
      <c r="Y199" s="22">
        <f>VLOOKUP(TablaCalificaciones[[#This Row],[Resultados y evidencia ]],PESOS!A$16:B$20,2,0)</f>
        <v>16</v>
      </c>
      <c r="Z199" s="1"/>
      <c r="AA199" s="1" t="s">
        <v>51</v>
      </c>
      <c r="AB199" s="22">
        <f>VLOOKUP(TablaCalificaciones[[#This Row],[Coherencia y manejo del tiempo]],PESOS!A$25:B$29,2,0)</f>
        <v>8</v>
      </c>
      <c r="AC199" s="1"/>
      <c r="AD199" s="1" t="s">
        <v>51</v>
      </c>
      <c r="AE199" s="22">
        <f>VLOOKUP(TablaCalificaciones[[#This Row],[Diapositivas como apoyo]],PESOS!A$25:B$29,2,0)</f>
        <v>8</v>
      </c>
      <c r="AF199" s="1"/>
      <c r="AG199" s="1" t="s">
        <v>51</v>
      </c>
      <c r="AH199" s="22">
        <f>VLOOKUP(TablaCalificaciones[[#This Row],[Respuestas a preguntas]],PESOS!A$25:B$29,2,0)</f>
        <v>8</v>
      </c>
      <c r="AI199" s="1"/>
      <c r="AJ199" s="1" t="s">
        <v>51</v>
      </c>
      <c r="AK199" s="22">
        <f>VLOOKUP(TablaCalificaciones[[#This Row],[Cierre: aporte a próximos pasos]],PESOS!A$25:B$29,2,0)</f>
        <v>8</v>
      </c>
      <c r="AL199" s="1"/>
      <c r="AM199" s="1"/>
    </row>
    <row r="200" spans="1:39">
      <c r="A200">
        <v>199</v>
      </c>
      <c r="B200" s="2">
        <v>46134.369201388901</v>
      </c>
      <c r="C200" s="2">
        <v>46134.408576388902</v>
      </c>
      <c r="D200" s="1" t="s">
        <v>69</v>
      </c>
      <c r="E200" s="1" t="s">
        <v>70</v>
      </c>
      <c r="G200" s="1"/>
      <c r="H200" s="2"/>
      <c r="I200" s="1" t="s">
        <v>68</v>
      </c>
      <c r="K200" s="1"/>
      <c r="L200" s="1" t="s">
        <v>71</v>
      </c>
      <c r="M200" s="26" t="str">
        <f>CONCATENATE(TablaCalificaciones[[#This Row],[Seleccione su nombre (Evaluador)]],TablaCalificaciones[[#This Row],[Seleccione el nombre del Estudiante]])</f>
        <v>Ana Belén Tulcanaza PrietoCarrillo Viera Ariel Fernando</v>
      </c>
      <c r="N200" s="1"/>
      <c r="O200" s="1" t="s">
        <v>177</v>
      </c>
      <c r="Q200" s="1"/>
      <c r="R200" s="1" t="s">
        <v>44</v>
      </c>
      <c r="S200" s="22">
        <f>VLOOKUP(TablaCalificaciones[[#This Row],[Apertura: problema y objetivo ]],PESOS!A$16:B$20,2,0)</f>
        <v>20</v>
      </c>
      <c r="T200" s="1"/>
      <c r="U200" s="1" t="s">
        <v>44</v>
      </c>
      <c r="V200" s="22">
        <f>VLOOKUP(TablaCalificaciones[[#This Row],[Metodología (nivel adecuado)]],PESOS!A$16:B$20,2,0)</f>
        <v>20</v>
      </c>
      <c r="W200" s="1"/>
      <c r="X200" s="1" t="s">
        <v>44</v>
      </c>
      <c r="Y200" s="22">
        <f>VLOOKUP(TablaCalificaciones[[#This Row],[Resultados y evidencia ]],PESOS!A$16:B$20,2,0)</f>
        <v>20</v>
      </c>
      <c r="Z200" s="1"/>
      <c r="AA200" s="1" t="s">
        <v>45</v>
      </c>
      <c r="AB200" s="22">
        <f>VLOOKUP(TablaCalificaciones[[#This Row],[Coherencia y manejo del tiempo]],PESOS!A$25:B$29,2,0)</f>
        <v>10</v>
      </c>
      <c r="AC200" s="1"/>
      <c r="AD200" s="1" t="s">
        <v>45</v>
      </c>
      <c r="AE200" s="22">
        <f>VLOOKUP(TablaCalificaciones[[#This Row],[Diapositivas como apoyo]],PESOS!A$25:B$29,2,0)</f>
        <v>10</v>
      </c>
      <c r="AF200" s="1"/>
      <c r="AG200" s="1" t="s">
        <v>45</v>
      </c>
      <c r="AH200" s="22">
        <f>VLOOKUP(TablaCalificaciones[[#This Row],[Respuestas a preguntas]],PESOS!A$25:B$29,2,0)</f>
        <v>10</v>
      </c>
      <c r="AI200" s="1"/>
      <c r="AJ200" s="1" t="s">
        <v>45</v>
      </c>
      <c r="AK200" s="22">
        <f>VLOOKUP(TablaCalificaciones[[#This Row],[Cierre: aporte a próximos pasos]],PESOS!A$25:B$29,2,0)</f>
        <v>10</v>
      </c>
      <c r="AL200" s="1"/>
      <c r="AM200" s="1"/>
    </row>
    <row r="201" spans="1:39">
      <c r="A201">
        <v>200</v>
      </c>
      <c r="B201" s="2">
        <v>46134.3979861111</v>
      </c>
      <c r="C201" s="2">
        <v>46134.412025463003</v>
      </c>
      <c r="D201" s="1" t="s">
        <v>97</v>
      </c>
      <c r="E201" s="1" t="s">
        <v>98</v>
      </c>
      <c r="G201" s="1"/>
      <c r="H201" s="2"/>
      <c r="I201" s="1" t="s">
        <v>68</v>
      </c>
      <c r="K201" s="1"/>
      <c r="L201" s="1" t="s">
        <v>99</v>
      </c>
      <c r="M201" s="26" t="str">
        <f>CONCATENATE(TablaCalificaciones[[#This Row],[Seleccione su nombre (Evaluador)]],TablaCalificaciones[[#This Row],[Seleccione el nombre del Estudiante]])</f>
        <v>Víctor Javier Gómez RegaladoTerán Aguilar Julio Alejandro</v>
      </c>
      <c r="N201" s="1"/>
      <c r="O201" s="1" t="s">
        <v>178</v>
      </c>
      <c r="Q201" s="1"/>
      <c r="R201" s="1" t="s">
        <v>44</v>
      </c>
      <c r="S201" s="22">
        <f>VLOOKUP(TablaCalificaciones[[#This Row],[Apertura: problema y objetivo ]],PESOS!A$16:B$20,2,0)</f>
        <v>20</v>
      </c>
      <c r="T201" s="1"/>
      <c r="U201" s="1" t="s">
        <v>44</v>
      </c>
      <c r="V201" s="22">
        <f>VLOOKUP(TablaCalificaciones[[#This Row],[Metodología (nivel adecuado)]],PESOS!A$16:B$20,2,0)</f>
        <v>20</v>
      </c>
      <c r="W201" s="1"/>
      <c r="X201" s="1" t="s">
        <v>44</v>
      </c>
      <c r="Y201" s="22">
        <f>VLOOKUP(TablaCalificaciones[[#This Row],[Resultados y evidencia ]],PESOS!A$16:B$20,2,0)</f>
        <v>20</v>
      </c>
      <c r="Z201" s="1"/>
      <c r="AA201" s="1" t="s">
        <v>45</v>
      </c>
      <c r="AB201" s="22">
        <f>VLOOKUP(TablaCalificaciones[[#This Row],[Coherencia y manejo del tiempo]],PESOS!A$25:B$29,2,0)</f>
        <v>10</v>
      </c>
      <c r="AC201" s="1"/>
      <c r="AD201" s="1" t="s">
        <v>45</v>
      </c>
      <c r="AE201" s="22">
        <f>VLOOKUP(TablaCalificaciones[[#This Row],[Diapositivas como apoyo]],PESOS!A$25:B$29,2,0)</f>
        <v>10</v>
      </c>
      <c r="AF201" s="1"/>
      <c r="AG201" s="1" t="s">
        <v>45</v>
      </c>
      <c r="AH201" s="22">
        <f>VLOOKUP(TablaCalificaciones[[#This Row],[Respuestas a preguntas]],PESOS!A$25:B$29,2,0)</f>
        <v>10</v>
      </c>
      <c r="AI201" s="1"/>
      <c r="AJ201" s="1" t="s">
        <v>45</v>
      </c>
      <c r="AK201" s="22">
        <f>VLOOKUP(TablaCalificaciones[[#This Row],[Cierre: aporte a próximos pasos]],PESOS!A$25:B$29,2,0)</f>
        <v>10</v>
      </c>
      <c r="AL201" s="1"/>
      <c r="AM201" s="1"/>
    </row>
    <row r="202" spans="1:39">
      <c r="A202">
        <v>201</v>
      </c>
      <c r="B202" s="2">
        <v>46134.394259259301</v>
      </c>
      <c r="C202" s="2">
        <v>46134.413622685199</v>
      </c>
      <c r="D202" s="1" t="s">
        <v>54</v>
      </c>
      <c r="E202" s="1" t="s">
        <v>55</v>
      </c>
      <c r="G202" s="1"/>
      <c r="H202" s="2"/>
      <c r="I202" s="1" t="s">
        <v>68</v>
      </c>
      <c r="K202" s="1"/>
      <c r="L202" s="1" t="s">
        <v>56</v>
      </c>
      <c r="M202" s="26" t="str">
        <f>CONCATENATE(TablaCalificaciones[[#This Row],[Seleccione su nombre (Evaluador)]],TablaCalificaciones[[#This Row],[Seleccione el nombre del Estudiante]])</f>
        <v>Marco Antonio Galarza CastilloGarrido Mejía Luis Alejandro</v>
      </c>
      <c r="N202" s="1"/>
      <c r="O202" s="1" t="s">
        <v>179</v>
      </c>
      <c r="Q202" s="1"/>
      <c r="R202" s="1" t="s">
        <v>44</v>
      </c>
      <c r="S202" s="22">
        <f>VLOOKUP(TablaCalificaciones[[#This Row],[Apertura: problema y objetivo ]],PESOS!A$16:B$20,2,0)</f>
        <v>20</v>
      </c>
      <c r="T202" s="1"/>
      <c r="U202" s="1" t="s">
        <v>44</v>
      </c>
      <c r="V202" s="22">
        <f>VLOOKUP(TablaCalificaciones[[#This Row],[Metodología (nivel adecuado)]],PESOS!A$16:B$20,2,0)</f>
        <v>20</v>
      </c>
      <c r="W202" s="1"/>
      <c r="X202" s="1" t="s">
        <v>44</v>
      </c>
      <c r="Y202" s="22">
        <f>VLOOKUP(TablaCalificaciones[[#This Row],[Resultados y evidencia ]],PESOS!A$16:B$20,2,0)</f>
        <v>20</v>
      </c>
      <c r="Z202" s="1"/>
      <c r="AA202" s="1" t="s">
        <v>51</v>
      </c>
      <c r="AB202" s="22">
        <f>VLOOKUP(TablaCalificaciones[[#This Row],[Coherencia y manejo del tiempo]],PESOS!A$25:B$29,2,0)</f>
        <v>8</v>
      </c>
      <c r="AC202" s="1"/>
      <c r="AD202" s="1" t="s">
        <v>45</v>
      </c>
      <c r="AE202" s="22">
        <f>VLOOKUP(TablaCalificaciones[[#This Row],[Diapositivas como apoyo]],PESOS!A$25:B$29,2,0)</f>
        <v>10</v>
      </c>
      <c r="AF202" s="1"/>
      <c r="AG202" s="1" t="s">
        <v>45</v>
      </c>
      <c r="AH202" s="22">
        <f>VLOOKUP(TablaCalificaciones[[#This Row],[Respuestas a preguntas]],PESOS!A$25:B$29,2,0)</f>
        <v>10</v>
      </c>
      <c r="AI202" s="1"/>
      <c r="AJ202" s="1" t="s">
        <v>45</v>
      </c>
      <c r="AK202" s="22">
        <f>VLOOKUP(TablaCalificaciones[[#This Row],[Cierre: aporte a próximos pasos]],PESOS!A$25:B$29,2,0)</f>
        <v>10</v>
      </c>
      <c r="AL202" s="1"/>
      <c r="AM202" s="1"/>
    </row>
    <row r="203" spans="1:39">
      <c r="A203">
        <v>202</v>
      </c>
      <c r="B203" s="2">
        <v>46134.412060185197</v>
      </c>
      <c r="C203" s="2">
        <v>46134.413912037002</v>
      </c>
      <c r="D203" s="1" t="s">
        <v>97</v>
      </c>
      <c r="E203" s="1" t="s">
        <v>98</v>
      </c>
      <c r="G203" s="1"/>
      <c r="H203" s="2"/>
      <c r="I203" s="1" t="s">
        <v>68</v>
      </c>
      <c r="K203" s="1"/>
      <c r="L203" s="1" t="s">
        <v>99</v>
      </c>
      <c r="M203" s="26" t="str">
        <f>CONCATENATE(TablaCalificaciones[[#This Row],[Seleccione su nombre (Evaluador)]],TablaCalificaciones[[#This Row],[Seleccione el nombre del Estudiante]])</f>
        <v>Víctor Javier Gómez RegaladoGarrido Mejía Luis Alejandro</v>
      </c>
      <c r="N203" s="1"/>
      <c r="O203" s="1" t="s">
        <v>179</v>
      </c>
      <c r="Q203" s="1"/>
      <c r="R203" s="1" t="s">
        <v>44</v>
      </c>
      <c r="S203" s="22">
        <f>VLOOKUP(TablaCalificaciones[[#This Row],[Apertura: problema y objetivo ]],PESOS!A$16:B$20,2,0)</f>
        <v>20</v>
      </c>
      <c r="T203" s="1"/>
      <c r="U203" s="1" t="s">
        <v>44</v>
      </c>
      <c r="V203" s="22">
        <f>VLOOKUP(TablaCalificaciones[[#This Row],[Metodología (nivel adecuado)]],PESOS!A$16:B$20,2,0)</f>
        <v>20</v>
      </c>
      <c r="W203" s="1"/>
      <c r="X203" s="1" t="s">
        <v>44</v>
      </c>
      <c r="Y203" s="22">
        <f>VLOOKUP(TablaCalificaciones[[#This Row],[Resultados y evidencia ]],PESOS!A$16:B$20,2,0)</f>
        <v>20</v>
      </c>
      <c r="Z203" s="1"/>
      <c r="AA203" s="1" t="s">
        <v>45</v>
      </c>
      <c r="AB203" s="22">
        <f>VLOOKUP(TablaCalificaciones[[#This Row],[Coherencia y manejo del tiempo]],PESOS!A$25:B$29,2,0)</f>
        <v>10</v>
      </c>
      <c r="AC203" s="1"/>
      <c r="AD203" s="1" t="s">
        <v>45</v>
      </c>
      <c r="AE203" s="22">
        <f>VLOOKUP(TablaCalificaciones[[#This Row],[Diapositivas como apoyo]],PESOS!A$25:B$29,2,0)</f>
        <v>10</v>
      </c>
      <c r="AF203" s="1"/>
      <c r="AG203" s="1" t="s">
        <v>45</v>
      </c>
      <c r="AH203" s="22">
        <f>VLOOKUP(TablaCalificaciones[[#This Row],[Respuestas a preguntas]],PESOS!A$25:B$29,2,0)</f>
        <v>10</v>
      </c>
      <c r="AI203" s="1"/>
      <c r="AJ203" s="1" t="s">
        <v>45</v>
      </c>
      <c r="AK203" s="22">
        <f>VLOOKUP(TablaCalificaciones[[#This Row],[Cierre: aporte a próximos pasos]],PESOS!A$25:B$29,2,0)</f>
        <v>10</v>
      </c>
      <c r="AL203" s="1"/>
      <c r="AM203" s="1"/>
    </row>
    <row r="204" spans="1:39">
      <c r="A204">
        <v>203</v>
      </c>
      <c r="B204" s="2">
        <v>46134.413645833301</v>
      </c>
      <c r="C204" s="2">
        <v>46134.414097222201</v>
      </c>
      <c r="D204" s="1" t="s">
        <v>54</v>
      </c>
      <c r="E204" s="1" t="s">
        <v>55</v>
      </c>
      <c r="G204" s="1"/>
      <c r="H204" s="2"/>
      <c r="I204" s="1" t="s">
        <v>68</v>
      </c>
      <c r="K204" s="1"/>
      <c r="L204" s="1" t="s">
        <v>56</v>
      </c>
      <c r="M204" s="26" t="str">
        <f>CONCATENATE(TablaCalificaciones[[#This Row],[Seleccione su nombre (Evaluador)]],TablaCalificaciones[[#This Row],[Seleccione el nombre del Estudiante]])</f>
        <v>Marco Antonio Galarza CastilloTerán Aguilar Julio Alejandro</v>
      </c>
      <c r="N204" s="1"/>
      <c r="O204" s="1" t="s">
        <v>178</v>
      </c>
      <c r="Q204" s="1"/>
      <c r="R204" s="1" t="s">
        <v>44</v>
      </c>
      <c r="S204" s="22">
        <f>VLOOKUP(TablaCalificaciones[[#This Row],[Apertura: problema y objetivo ]],PESOS!A$16:B$20,2,0)</f>
        <v>20</v>
      </c>
      <c r="T204" s="1"/>
      <c r="U204" s="1" t="s">
        <v>44</v>
      </c>
      <c r="V204" s="22">
        <f>VLOOKUP(TablaCalificaciones[[#This Row],[Metodología (nivel adecuado)]],PESOS!A$16:B$20,2,0)</f>
        <v>20</v>
      </c>
      <c r="W204" s="1"/>
      <c r="X204" s="1" t="s">
        <v>44</v>
      </c>
      <c r="Y204" s="22">
        <f>VLOOKUP(TablaCalificaciones[[#This Row],[Resultados y evidencia ]],PESOS!A$16:B$20,2,0)</f>
        <v>20</v>
      </c>
      <c r="Z204" s="1"/>
      <c r="AA204" s="1" t="s">
        <v>51</v>
      </c>
      <c r="AB204" s="22">
        <f>VLOOKUP(TablaCalificaciones[[#This Row],[Coherencia y manejo del tiempo]],PESOS!A$25:B$29,2,0)</f>
        <v>8</v>
      </c>
      <c r="AC204" s="1"/>
      <c r="AD204" s="1" t="s">
        <v>45</v>
      </c>
      <c r="AE204" s="22">
        <f>VLOOKUP(TablaCalificaciones[[#This Row],[Diapositivas como apoyo]],PESOS!A$25:B$29,2,0)</f>
        <v>10</v>
      </c>
      <c r="AF204" s="1"/>
      <c r="AG204" s="1" t="s">
        <v>45</v>
      </c>
      <c r="AH204" s="22">
        <f>VLOOKUP(TablaCalificaciones[[#This Row],[Respuestas a preguntas]],PESOS!A$25:B$29,2,0)</f>
        <v>10</v>
      </c>
      <c r="AI204" s="1"/>
      <c r="AJ204" s="1" t="s">
        <v>45</v>
      </c>
      <c r="AK204" s="22">
        <f>VLOOKUP(TablaCalificaciones[[#This Row],[Cierre: aporte a próximos pasos]],PESOS!A$25:B$29,2,0)</f>
        <v>10</v>
      </c>
      <c r="AL204" s="1"/>
      <c r="AM204" s="1"/>
    </row>
    <row r="205" spans="1:39">
      <c r="A205">
        <v>204</v>
      </c>
      <c r="B205" s="2">
        <v>46134.4144212963</v>
      </c>
      <c r="C205" s="2">
        <v>46134.418645833299</v>
      </c>
      <c r="D205" s="1" t="s">
        <v>180</v>
      </c>
      <c r="E205" s="1" t="s">
        <v>181</v>
      </c>
      <c r="G205" s="1"/>
      <c r="H205" s="2"/>
      <c r="I205" s="1" t="s">
        <v>68</v>
      </c>
      <c r="K205" s="1"/>
      <c r="L205" s="1" t="s">
        <v>181</v>
      </c>
      <c r="M205" s="26" t="str">
        <f>CONCATENATE(TablaCalificaciones[[#This Row],[Seleccione su nombre (Evaluador)]],TablaCalificaciones[[#This Row],[Seleccione el nombre del Estudiante]])</f>
        <v>Eddy Mauricio ArmasCarrillo Viera Ariel Fernando</v>
      </c>
      <c r="N205" s="1"/>
      <c r="O205" s="1" t="s">
        <v>177</v>
      </c>
      <c r="Q205" s="1"/>
      <c r="R205" s="1" t="s">
        <v>44</v>
      </c>
      <c r="S205" s="22">
        <f>VLOOKUP(TablaCalificaciones[[#This Row],[Apertura: problema y objetivo ]],PESOS!A$16:B$20,2,0)</f>
        <v>20</v>
      </c>
      <c r="T205" s="1"/>
      <c r="U205" s="1" t="s">
        <v>50</v>
      </c>
      <c r="V205" s="22">
        <f>VLOOKUP(TablaCalificaciones[[#This Row],[Metodología (nivel adecuado)]],PESOS!A$16:B$20,2,0)</f>
        <v>16</v>
      </c>
      <c r="W205" s="1"/>
      <c r="X205" s="1" t="s">
        <v>50</v>
      </c>
      <c r="Y205" s="22">
        <f>VLOOKUP(TablaCalificaciones[[#This Row],[Resultados y evidencia ]],PESOS!A$16:B$20,2,0)</f>
        <v>16</v>
      </c>
      <c r="Z205" s="1"/>
      <c r="AA205" s="1" t="s">
        <v>45</v>
      </c>
      <c r="AB205" s="22">
        <f>VLOOKUP(TablaCalificaciones[[#This Row],[Coherencia y manejo del tiempo]],PESOS!A$25:B$29,2,0)</f>
        <v>10</v>
      </c>
      <c r="AC205" s="1"/>
      <c r="AD205" s="1" t="s">
        <v>45</v>
      </c>
      <c r="AE205" s="22">
        <f>VLOOKUP(TablaCalificaciones[[#This Row],[Diapositivas como apoyo]],PESOS!A$25:B$29,2,0)</f>
        <v>10</v>
      </c>
      <c r="AF205" s="1"/>
      <c r="AG205" s="1" t="s">
        <v>51</v>
      </c>
      <c r="AH205" s="22">
        <f>VLOOKUP(TablaCalificaciones[[#This Row],[Respuestas a preguntas]],PESOS!A$25:B$29,2,0)</f>
        <v>8</v>
      </c>
      <c r="AI205" s="1"/>
      <c r="AJ205" s="1" t="s">
        <v>51</v>
      </c>
      <c r="AK205" s="22">
        <f>VLOOKUP(TablaCalificaciones[[#This Row],[Cierre: aporte a próximos pasos]],PESOS!A$25:B$29,2,0)</f>
        <v>8</v>
      </c>
      <c r="AL205" s="1"/>
      <c r="AM205" s="1"/>
    </row>
    <row r="206" spans="1:39">
      <c r="A206">
        <v>205</v>
      </c>
      <c r="B206" s="2">
        <v>46134.422060185199</v>
      </c>
      <c r="C206" s="2">
        <v>46134.434293981503</v>
      </c>
      <c r="D206" s="1" t="s">
        <v>93</v>
      </c>
      <c r="E206" s="1" t="s">
        <v>94</v>
      </c>
      <c r="G206" s="1"/>
      <c r="H206" s="2"/>
      <c r="I206" s="1" t="s">
        <v>68</v>
      </c>
      <c r="K206" s="1"/>
      <c r="L206" s="1" t="s">
        <v>95</v>
      </c>
      <c r="M206" s="26" t="str">
        <f>CONCATENATE(TablaCalificaciones[[#This Row],[Seleccione su nombre (Evaluador)]],TablaCalificaciones[[#This Row],[Seleccione el nombre del Estudiante]])</f>
        <v>Nelly Patricia Acosta VargasOrtiz Esquivel Luz Eidy</v>
      </c>
      <c r="N206" s="1"/>
      <c r="O206" s="1" t="s">
        <v>182</v>
      </c>
      <c r="Q206" s="1"/>
      <c r="R206" s="1" t="s">
        <v>44</v>
      </c>
      <c r="S206" s="22">
        <f>VLOOKUP(TablaCalificaciones[[#This Row],[Apertura: problema y objetivo ]],PESOS!A$16:B$20,2,0)</f>
        <v>20</v>
      </c>
      <c r="T206" s="1"/>
      <c r="U206" s="1" t="s">
        <v>44</v>
      </c>
      <c r="V206" s="22">
        <f>VLOOKUP(TablaCalificaciones[[#This Row],[Metodología (nivel adecuado)]],PESOS!A$16:B$20,2,0)</f>
        <v>20</v>
      </c>
      <c r="W206" s="1"/>
      <c r="X206" s="1" t="s">
        <v>44</v>
      </c>
      <c r="Y206" s="22">
        <f>VLOOKUP(TablaCalificaciones[[#This Row],[Resultados y evidencia ]],PESOS!A$16:B$20,2,0)</f>
        <v>20</v>
      </c>
      <c r="Z206" s="1"/>
      <c r="AA206" s="1" t="s">
        <v>45</v>
      </c>
      <c r="AB206" s="22">
        <f>VLOOKUP(TablaCalificaciones[[#This Row],[Coherencia y manejo del tiempo]],PESOS!A$25:B$29,2,0)</f>
        <v>10</v>
      </c>
      <c r="AC206" s="1"/>
      <c r="AD206" s="1" t="s">
        <v>45</v>
      </c>
      <c r="AE206" s="22">
        <f>VLOOKUP(TablaCalificaciones[[#This Row],[Diapositivas como apoyo]],PESOS!A$25:B$29,2,0)</f>
        <v>10</v>
      </c>
      <c r="AF206" s="1"/>
      <c r="AG206" s="1" t="s">
        <v>45</v>
      </c>
      <c r="AH206" s="22">
        <f>VLOOKUP(TablaCalificaciones[[#This Row],[Respuestas a preguntas]],PESOS!A$25:B$29,2,0)</f>
        <v>10</v>
      </c>
      <c r="AI206" s="1"/>
      <c r="AJ206" s="1" t="s">
        <v>45</v>
      </c>
      <c r="AK206" s="22">
        <f>VLOOKUP(TablaCalificaciones[[#This Row],[Cierre: aporte a próximos pasos]],PESOS!A$25:B$29,2,0)</f>
        <v>10</v>
      </c>
      <c r="AL206" s="1"/>
      <c r="AM206" s="1"/>
    </row>
    <row r="207" spans="1:39">
      <c r="A207">
        <v>206</v>
      </c>
      <c r="B207" s="2">
        <v>46134.434479166703</v>
      </c>
      <c r="C207" s="2">
        <v>46134.4353819444</v>
      </c>
      <c r="D207" s="1" t="s">
        <v>93</v>
      </c>
      <c r="E207" s="1" t="s">
        <v>94</v>
      </c>
      <c r="G207" s="1"/>
      <c r="H207" s="2"/>
      <c r="I207" s="1" t="s">
        <v>68</v>
      </c>
      <c r="K207" s="1"/>
      <c r="L207" s="1" t="s">
        <v>95</v>
      </c>
      <c r="M207" s="26" t="str">
        <f>CONCATENATE(TablaCalificaciones[[#This Row],[Seleccione su nombre (Evaluador)]],TablaCalificaciones[[#This Row],[Seleccione el nombre del Estudiante]])</f>
        <v>Nelly Patricia Acosta VargasArévalo Yépez Lucio Plácido</v>
      </c>
      <c r="N207" s="1"/>
      <c r="O207" s="1" t="s">
        <v>183</v>
      </c>
      <c r="Q207" s="1"/>
      <c r="R207" s="1" t="s">
        <v>44</v>
      </c>
      <c r="S207" s="22">
        <f>VLOOKUP(TablaCalificaciones[[#This Row],[Apertura: problema y objetivo ]],PESOS!A$16:B$20,2,0)</f>
        <v>20</v>
      </c>
      <c r="T207" s="1"/>
      <c r="U207" s="1" t="s">
        <v>44</v>
      </c>
      <c r="V207" s="22">
        <f>VLOOKUP(TablaCalificaciones[[#This Row],[Metodología (nivel adecuado)]],PESOS!A$16:B$20,2,0)</f>
        <v>20</v>
      </c>
      <c r="W207" s="1"/>
      <c r="X207" s="1" t="s">
        <v>44</v>
      </c>
      <c r="Y207" s="22">
        <f>VLOOKUP(TablaCalificaciones[[#This Row],[Resultados y evidencia ]],PESOS!A$16:B$20,2,0)</f>
        <v>20</v>
      </c>
      <c r="Z207" s="1"/>
      <c r="AA207" s="1" t="s">
        <v>45</v>
      </c>
      <c r="AB207" s="22">
        <f>VLOOKUP(TablaCalificaciones[[#This Row],[Coherencia y manejo del tiempo]],PESOS!A$25:B$29,2,0)</f>
        <v>10</v>
      </c>
      <c r="AC207" s="1"/>
      <c r="AD207" s="1" t="s">
        <v>45</v>
      </c>
      <c r="AE207" s="22">
        <f>VLOOKUP(TablaCalificaciones[[#This Row],[Diapositivas como apoyo]],PESOS!A$25:B$29,2,0)</f>
        <v>10</v>
      </c>
      <c r="AF207" s="1"/>
      <c r="AG207" s="1" t="s">
        <v>45</v>
      </c>
      <c r="AH207" s="22">
        <f>VLOOKUP(TablaCalificaciones[[#This Row],[Respuestas a preguntas]],PESOS!A$25:B$29,2,0)</f>
        <v>10</v>
      </c>
      <c r="AI207" s="1"/>
      <c r="AJ207" s="1" t="s">
        <v>45</v>
      </c>
      <c r="AK207" s="22">
        <f>VLOOKUP(TablaCalificaciones[[#This Row],[Cierre: aporte a próximos pasos]],PESOS!A$25:B$29,2,0)</f>
        <v>10</v>
      </c>
      <c r="AL207" s="1"/>
      <c r="AM207" s="1"/>
    </row>
    <row r="208" spans="1:39">
      <c r="A208">
        <v>207</v>
      </c>
      <c r="B208" s="2">
        <v>46134.4159490741</v>
      </c>
      <c r="C208" s="2">
        <v>46134.435856481497</v>
      </c>
      <c r="D208" s="1" t="s">
        <v>59</v>
      </c>
      <c r="E208" s="1" t="s">
        <v>60</v>
      </c>
      <c r="G208" s="1"/>
      <c r="H208" s="2"/>
      <c r="I208" s="1" t="s">
        <v>68</v>
      </c>
      <c r="K208" s="1"/>
      <c r="L208" s="1" t="s">
        <v>60</v>
      </c>
      <c r="M208" s="26" t="str">
        <f>CONCATENATE(TablaCalificaciones[[#This Row],[Seleccione su nombre (Evaluador)]],TablaCalificaciones[[#This Row],[Seleccione el nombre del Estudiante]])</f>
        <v>Santiago Leonardo SolórzanoZurita Landázuri Diego Alejandro</v>
      </c>
      <c r="N208" s="1"/>
      <c r="O208" s="1" t="s">
        <v>184</v>
      </c>
      <c r="Q208" s="1"/>
      <c r="R208" s="1" t="s">
        <v>50</v>
      </c>
      <c r="S208" s="22">
        <f>VLOOKUP(TablaCalificaciones[[#This Row],[Apertura: problema y objetivo ]],PESOS!A$16:B$20,2,0)</f>
        <v>16</v>
      </c>
      <c r="T208" s="1"/>
      <c r="U208" s="1" t="s">
        <v>50</v>
      </c>
      <c r="V208" s="22">
        <f>VLOOKUP(TablaCalificaciones[[#This Row],[Metodología (nivel adecuado)]],PESOS!A$16:B$20,2,0)</f>
        <v>16</v>
      </c>
      <c r="W208" s="1"/>
      <c r="X208" s="1" t="s">
        <v>50</v>
      </c>
      <c r="Y208" s="22">
        <f>VLOOKUP(TablaCalificaciones[[#This Row],[Resultados y evidencia ]],PESOS!A$16:B$20,2,0)</f>
        <v>16</v>
      </c>
      <c r="Z208" s="1"/>
      <c r="AA208" s="1" t="s">
        <v>83</v>
      </c>
      <c r="AB208" s="22">
        <f>VLOOKUP(TablaCalificaciones[[#This Row],[Coherencia y manejo del tiempo]],PESOS!A$25:B$29,2,0)</f>
        <v>6</v>
      </c>
      <c r="AC208" s="1"/>
      <c r="AD208" s="1" t="s">
        <v>51</v>
      </c>
      <c r="AE208" s="22">
        <f>VLOOKUP(TablaCalificaciones[[#This Row],[Diapositivas como apoyo]],PESOS!A$25:B$29,2,0)</f>
        <v>8</v>
      </c>
      <c r="AF208" s="1"/>
      <c r="AG208" s="1" t="s">
        <v>83</v>
      </c>
      <c r="AH208" s="22">
        <f>VLOOKUP(TablaCalificaciones[[#This Row],[Respuestas a preguntas]],PESOS!A$25:B$29,2,0)</f>
        <v>6</v>
      </c>
      <c r="AI208" s="1"/>
      <c r="AJ208" s="1" t="s">
        <v>51</v>
      </c>
      <c r="AK208" s="22">
        <f>VLOOKUP(TablaCalificaciones[[#This Row],[Cierre: aporte a próximos pasos]],PESOS!A$25:B$29,2,0)</f>
        <v>8</v>
      </c>
      <c r="AL208" s="1"/>
      <c r="AM208" s="1"/>
    </row>
    <row r="209" spans="1:39">
      <c r="A209">
        <v>208</v>
      </c>
      <c r="B209" s="2">
        <v>46134.415937500002</v>
      </c>
      <c r="C209" s="2">
        <v>46134.435937499999</v>
      </c>
      <c r="D209" s="1" t="s">
        <v>59</v>
      </c>
      <c r="E209" s="1" t="s">
        <v>60</v>
      </c>
      <c r="G209" s="1"/>
      <c r="H209" s="2"/>
      <c r="I209" s="1" t="s">
        <v>68</v>
      </c>
      <c r="K209" s="1"/>
      <c r="L209" s="1" t="s">
        <v>60</v>
      </c>
      <c r="M209" s="26" t="str">
        <f>CONCATENATE(TablaCalificaciones[[#This Row],[Seleccione su nombre (Evaluador)]],TablaCalificaciones[[#This Row],[Seleccione el nombre del Estudiante]])</f>
        <v>Santiago Leonardo SolórzanoRuano Flores Rubén Alexander</v>
      </c>
      <c r="N209" s="1"/>
      <c r="O209" s="1" t="s">
        <v>185</v>
      </c>
      <c r="Q209" s="1"/>
      <c r="R209" s="1" t="s">
        <v>50</v>
      </c>
      <c r="S209" s="22">
        <f>VLOOKUP(TablaCalificaciones[[#This Row],[Apertura: problema y objetivo ]],PESOS!A$16:B$20,2,0)</f>
        <v>16</v>
      </c>
      <c r="T209" s="1"/>
      <c r="U209" s="1" t="s">
        <v>50</v>
      </c>
      <c r="V209" s="22">
        <f>VLOOKUP(TablaCalificaciones[[#This Row],[Metodología (nivel adecuado)]],PESOS!A$16:B$20,2,0)</f>
        <v>16</v>
      </c>
      <c r="W209" s="1"/>
      <c r="X209" s="1" t="s">
        <v>50</v>
      </c>
      <c r="Y209" s="22">
        <f>VLOOKUP(TablaCalificaciones[[#This Row],[Resultados y evidencia ]],PESOS!A$16:B$20,2,0)</f>
        <v>16</v>
      </c>
      <c r="Z209" s="1"/>
      <c r="AA209" s="1" t="s">
        <v>83</v>
      </c>
      <c r="AB209" s="22">
        <f>VLOOKUP(TablaCalificaciones[[#This Row],[Coherencia y manejo del tiempo]],PESOS!A$25:B$29,2,0)</f>
        <v>6</v>
      </c>
      <c r="AC209" s="1"/>
      <c r="AD209" s="1" t="s">
        <v>51</v>
      </c>
      <c r="AE209" s="22">
        <f>VLOOKUP(TablaCalificaciones[[#This Row],[Diapositivas como apoyo]],PESOS!A$25:B$29,2,0)</f>
        <v>8</v>
      </c>
      <c r="AF209" s="1"/>
      <c r="AG209" s="1" t="s">
        <v>83</v>
      </c>
      <c r="AH209" s="22">
        <f>VLOOKUP(TablaCalificaciones[[#This Row],[Respuestas a preguntas]],PESOS!A$25:B$29,2,0)</f>
        <v>6</v>
      </c>
      <c r="AI209" s="1"/>
      <c r="AJ209" s="1" t="s">
        <v>51</v>
      </c>
      <c r="AK209" s="22">
        <f>VLOOKUP(TablaCalificaciones[[#This Row],[Cierre: aporte a próximos pasos]],PESOS!A$25:B$29,2,0)</f>
        <v>8</v>
      </c>
      <c r="AL209" s="1"/>
      <c r="AM209" s="1"/>
    </row>
    <row r="210" spans="1:39">
      <c r="A210">
        <v>209</v>
      </c>
      <c r="B210" s="2">
        <v>46134.435451388897</v>
      </c>
      <c r="C210" s="2">
        <v>46134.4365972222</v>
      </c>
      <c r="D210" s="1" t="s">
        <v>93</v>
      </c>
      <c r="E210" s="1" t="s">
        <v>94</v>
      </c>
      <c r="G210" s="1"/>
      <c r="H210" s="2"/>
      <c r="I210" s="1" t="s">
        <v>68</v>
      </c>
      <c r="K210" s="1"/>
      <c r="L210" s="1" t="s">
        <v>95</v>
      </c>
      <c r="M210" s="26" t="str">
        <f>CONCATENATE(TablaCalificaciones[[#This Row],[Seleccione su nombre (Evaluador)]],TablaCalificaciones[[#This Row],[Seleccione el nombre del Estudiante]])</f>
        <v>Nelly Patricia Acosta VargasChimbo Naranjo Christian Leonardo</v>
      </c>
      <c r="N210" s="1"/>
      <c r="O210" s="1" t="s">
        <v>186</v>
      </c>
      <c r="Q210" s="1"/>
      <c r="R210" s="1" t="s">
        <v>44</v>
      </c>
      <c r="S210" s="22">
        <f>VLOOKUP(TablaCalificaciones[[#This Row],[Apertura: problema y objetivo ]],PESOS!A$16:B$20,2,0)</f>
        <v>20</v>
      </c>
      <c r="T210" s="1"/>
      <c r="U210" s="1" t="s">
        <v>44</v>
      </c>
      <c r="V210" s="22">
        <f>VLOOKUP(TablaCalificaciones[[#This Row],[Metodología (nivel adecuado)]],PESOS!A$16:B$20,2,0)</f>
        <v>20</v>
      </c>
      <c r="W210" s="1"/>
      <c r="X210" s="1" t="s">
        <v>44</v>
      </c>
      <c r="Y210" s="22">
        <f>VLOOKUP(TablaCalificaciones[[#This Row],[Resultados y evidencia ]],PESOS!A$16:B$20,2,0)</f>
        <v>20</v>
      </c>
      <c r="Z210" s="1"/>
      <c r="AA210" s="1" t="s">
        <v>45</v>
      </c>
      <c r="AB210" s="22">
        <f>VLOOKUP(TablaCalificaciones[[#This Row],[Coherencia y manejo del tiempo]],PESOS!A$25:B$29,2,0)</f>
        <v>10</v>
      </c>
      <c r="AC210" s="1"/>
      <c r="AD210" s="1" t="s">
        <v>45</v>
      </c>
      <c r="AE210" s="22">
        <f>VLOOKUP(TablaCalificaciones[[#This Row],[Diapositivas como apoyo]],PESOS!A$25:B$29,2,0)</f>
        <v>10</v>
      </c>
      <c r="AF210" s="1"/>
      <c r="AG210" s="1" t="s">
        <v>45</v>
      </c>
      <c r="AH210" s="22">
        <f>VLOOKUP(TablaCalificaciones[[#This Row],[Respuestas a preguntas]],PESOS!A$25:B$29,2,0)</f>
        <v>10</v>
      </c>
      <c r="AI210" s="1"/>
      <c r="AJ210" s="1" t="s">
        <v>45</v>
      </c>
      <c r="AK210" s="22">
        <f>VLOOKUP(TablaCalificaciones[[#This Row],[Cierre: aporte a próximos pasos]],PESOS!A$25:B$29,2,0)</f>
        <v>10</v>
      </c>
      <c r="AL210" s="1"/>
      <c r="AM210" s="1"/>
    </row>
    <row r="211" spans="1:39">
      <c r="A211">
        <v>210</v>
      </c>
      <c r="B211" s="2">
        <v>46134.414120370398</v>
      </c>
      <c r="C211" s="2">
        <v>46134.437800925902</v>
      </c>
      <c r="D211" s="1" t="s">
        <v>97</v>
      </c>
      <c r="E211" s="1" t="s">
        <v>98</v>
      </c>
      <c r="G211" s="1"/>
      <c r="H211" s="2"/>
      <c r="I211" s="1" t="s">
        <v>68</v>
      </c>
      <c r="K211" s="1"/>
      <c r="L211" s="1" t="s">
        <v>99</v>
      </c>
      <c r="M211" s="26" t="str">
        <f>CONCATENATE(TablaCalificaciones[[#This Row],[Seleccione su nombre (Evaluador)]],TablaCalificaciones[[#This Row],[Seleccione el nombre del Estudiante]])</f>
        <v>Víctor Javier Gómez RegaladoRuano Flores Rubén Alexander</v>
      </c>
      <c r="N211" s="1"/>
      <c r="O211" s="1" t="s">
        <v>185</v>
      </c>
      <c r="Q211" s="1"/>
      <c r="R211" s="1" t="s">
        <v>50</v>
      </c>
      <c r="S211" s="22">
        <f>VLOOKUP(TablaCalificaciones[[#This Row],[Apertura: problema y objetivo ]],PESOS!A$16:B$20,2,0)</f>
        <v>16</v>
      </c>
      <c r="T211" s="1"/>
      <c r="U211" s="1" t="s">
        <v>44</v>
      </c>
      <c r="V211" s="22">
        <f>VLOOKUP(TablaCalificaciones[[#This Row],[Metodología (nivel adecuado)]],PESOS!A$16:B$20,2,0)</f>
        <v>20</v>
      </c>
      <c r="W211" s="1"/>
      <c r="X211" s="1" t="s">
        <v>44</v>
      </c>
      <c r="Y211" s="22">
        <f>VLOOKUP(TablaCalificaciones[[#This Row],[Resultados y evidencia ]],PESOS!A$16:B$20,2,0)</f>
        <v>20</v>
      </c>
      <c r="Z211" s="1"/>
      <c r="AA211" s="1" t="s">
        <v>45</v>
      </c>
      <c r="AB211" s="22">
        <f>VLOOKUP(TablaCalificaciones[[#This Row],[Coherencia y manejo del tiempo]],PESOS!A$25:B$29,2,0)</f>
        <v>10</v>
      </c>
      <c r="AC211" s="1"/>
      <c r="AD211" s="1" t="s">
        <v>45</v>
      </c>
      <c r="AE211" s="22">
        <f>VLOOKUP(TablaCalificaciones[[#This Row],[Diapositivas como apoyo]],PESOS!A$25:B$29,2,0)</f>
        <v>10</v>
      </c>
      <c r="AF211" s="1"/>
      <c r="AG211" s="1" t="s">
        <v>83</v>
      </c>
      <c r="AH211" s="22">
        <f>VLOOKUP(TablaCalificaciones[[#This Row],[Respuestas a preguntas]],PESOS!A$25:B$29,2,0)</f>
        <v>6</v>
      </c>
      <c r="AI211" s="1"/>
      <c r="AJ211" s="1" t="s">
        <v>51</v>
      </c>
      <c r="AK211" s="22">
        <f>VLOOKUP(TablaCalificaciones[[#This Row],[Cierre: aporte a próximos pasos]],PESOS!A$25:B$29,2,0)</f>
        <v>8</v>
      </c>
      <c r="AL211" s="1"/>
      <c r="AM211" s="1"/>
    </row>
    <row r="212" spans="1:39">
      <c r="A212">
        <v>211</v>
      </c>
      <c r="B212" s="2">
        <v>46134.4379050926</v>
      </c>
      <c r="C212" s="2">
        <v>46134.438460648104</v>
      </c>
      <c r="D212" s="1" t="s">
        <v>97</v>
      </c>
      <c r="E212" s="1" t="s">
        <v>98</v>
      </c>
      <c r="G212" s="1"/>
      <c r="H212" s="2"/>
      <c r="I212" s="1" t="s">
        <v>68</v>
      </c>
      <c r="K212" s="1"/>
      <c r="L212" s="1" t="s">
        <v>99</v>
      </c>
      <c r="M212" s="26" t="str">
        <f>CONCATENATE(TablaCalificaciones[[#This Row],[Seleccione su nombre (Evaluador)]],TablaCalificaciones[[#This Row],[Seleccione el nombre del Estudiante]])</f>
        <v>Víctor Javier Gómez RegaladoZurita Landázuri Diego Alejandro</v>
      </c>
      <c r="N212" s="1"/>
      <c r="O212" s="1" t="s">
        <v>184</v>
      </c>
      <c r="Q212" s="1"/>
      <c r="R212" s="1" t="s">
        <v>50</v>
      </c>
      <c r="S212" s="22">
        <f>VLOOKUP(TablaCalificaciones[[#This Row],[Apertura: problema y objetivo ]],PESOS!A$16:B$20,2,0)</f>
        <v>16</v>
      </c>
      <c r="T212" s="1"/>
      <c r="U212" s="1" t="s">
        <v>44</v>
      </c>
      <c r="V212" s="22">
        <f>VLOOKUP(TablaCalificaciones[[#This Row],[Metodología (nivel adecuado)]],PESOS!A$16:B$20,2,0)</f>
        <v>20</v>
      </c>
      <c r="W212" s="1"/>
      <c r="X212" s="1" t="s">
        <v>44</v>
      </c>
      <c r="Y212" s="22">
        <f>VLOOKUP(TablaCalificaciones[[#This Row],[Resultados y evidencia ]],PESOS!A$16:B$20,2,0)</f>
        <v>20</v>
      </c>
      <c r="Z212" s="1"/>
      <c r="AA212" s="1" t="s">
        <v>45</v>
      </c>
      <c r="AB212" s="22">
        <f>VLOOKUP(TablaCalificaciones[[#This Row],[Coherencia y manejo del tiempo]],PESOS!A$25:B$29,2,0)</f>
        <v>10</v>
      </c>
      <c r="AC212" s="1"/>
      <c r="AD212" s="1" t="s">
        <v>51</v>
      </c>
      <c r="AE212" s="22">
        <f>VLOOKUP(TablaCalificaciones[[#This Row],[Diapositivas como apoyo]],PESOS!A$25:B$29,2,0)</f>
        <v>8</v>
      </c>
      <c r="AF212" s="1"/>
      <c r="AG212" s="1" t="s">
        <v>83</v>
      </c>
      <c r="AH212" s="22">
        <f>VLOOKUP(TablaCalificaciones[[#This Row],[Respuestas a preguntas]],PESOS!A$25:B$29,2,0)</f>
        <v>6</v>
      </c>
      <c r="AI212" s="1"/>
      <c r="AJ212" s="1" t="s">
        <v>51</v>
      </c>
      <c r="AK212" s="22">
        <f>VLOOKUP(TablaCalificaciones[[#This Row],[Cierre: aporte a próximos pasos]],PESOS!A$25:B$29,2,0)</f>
        <v>8</v>
      </c>
      <c r="AL212" s="1"/>
      <c r="AM212" s="1"/>
    </row>
    <row r="213" spans="1:39">
      <c r="A213">
        <v>212</v>
      </c>
      <c r="B213" s="2">
        <v>46134.439270833303</v>
      </c>
      <c r="C213" s="2">
        <v>46134.4396180556</v>
      </c>
      <c r="D213" s="1" t="s">
        <v>54</v>
      </c>
      <c r="E213" s="1" t="s">
        <v>55</v>
      </c>
      <c r="G213" s="1"/>
      <c r="H213" s="2"/>
      <c r="I213" s="1" t="s">
        <v>68</v>
      </c>
      <c r="K213" s="1"/>
      <c r="L213" s="1" t="s">
        <v>56</v>
      </c>
      <c r="M213" s="26" t="str">
        <f>CONCATENATE(TablaCalificaciones[[#This Row],[Seleccione su nombre (Evaluador)]],TablaCalificaciones[[#This Row],[Seleccione el nombre del Estudiante]])</f>
        <v>Marco Antonio Galarza CastilloArévalo Yépez Lucio Plácido</v>
      </c>
      <c r="N213" s="1"/>
      <c r="O213" s="1" t="s">
        <v>183</v>
      </c>
      <c r="Q213" s="1"/>
      <c r="R213" s="1" t="s">
        <v>44</v>
      </c>
      <c r="S213" s="22">
        <f>VLOOKUP(TablaCalificaciones[[#This Row],[Apertura: problema y objetivo ]],PESOS!A$16:B$20,2,0)</f>
        <v>20</v>
      </c>
      <c r="T213" s="1"/>
      <c r="U213" s="1" t="s">
        <v>44</v>
      </c>
      <c r="V213" s="22">
        <f>VLOOKUP(TablaCalificaciones[[#This Row],[Metodología (nivel adecuado)]],PESOS!A$16:B$20,2,0)</f>
        <v>20</v>
      </c>
      <c r="W213" s="1"/>
      <c r="X213" s="1" t="s">
        <v>44</v>
      </c>
      <c r="Y213" s="22">
        <f>VLOOKUP(TablaCalificaciones[[#This Row],[Resultados y evidencia ]],PESOS!A$16:B$20,2,0)</f>
        <v>20</v>
      </c>
      <c r="Z213" s="1"/>
      <c r="AA213" s="1" t="s">
        <v>45</v>
      </c>
      <c r="AB213" s="22">
        <f>VLOOKUP(TablaCalificaciones[[#This Row],[Coherencia y manejo del tiempo]],PESOS!A$25:B$29,2,0)</f>
        <v>10</v>
      </c>
      <c r="AC213" s="1"/>
      <c r="AD213" s="1" t="s">
        <v>45</v>
      </c>
      <c r="AE213" s="22">
        <f>VLOOKUP(TablaCalificaciones[[#This Row],[Diapositivas como apoyo]],PESOS!A$25:B$29,2,0)</f>
        <v>10</v>
      </c>
      <c r="AF213" s="1"/>
      <c r="AG213" s="1" t="s">
        <v>51</v>
      </c>
      <c r="AH213" s="22">
        <f>VLOOKUP(TablaCalificaciones[[#This Row],[Respuestas a preguntas]],PESOS!A$25:B$29,2,0)</f>
        <v>8</v>
      </c>
      <c r="AI213" s="1"/>
      <c r="AJ213" s="1" t="s">
        <v>45</v>
      </c>
      <c r="AK213" s="22">
        <f>VLOOKUP(TablaCalificaciones[[#This Row],[Cierre: aporte a próximos pasos]],PESOS!A$25:B$29,2,0)</f>
        <v>10</v>
      </c>
      <c r="AL213" s="1"/>
      <c r="AM213" s="1"/>
    </row>
    <row r="214" spans="1:39">
      <c r="A214">
        <v>213</v>
      </c>
      <c r="B214" s="2">
        <v>46134.439641203702</v>
      </c>
      <c r="C214" s="2">
        <v>46134.439942129597</v>
      </c>
      <c r="D214" s="1" t="s">
        <v>54</v>
      </c>
      <c r="E214" s="1" t="s">
        <v>55</v>
      </c>
      <c r="G214" s="1"/>
      <c r="H214" s="2"/>
      <c r="I214" s="1" t="s">
        <v>68</v>
      </c>
      <c r="K214" s="1"/>
      <c r="L214" s="1" t="s">
        <v>56</v>
      </c>
      <c r="M214" s="26" t="str">
        <f>CONCATENATE(TablaCalificaciones[[#This Row],[Seleccione su nombre (Evaluador)]],TablaCalificaciones[[#This Row],[Seleccione el nombre del Estudiante]])</f>
        <v>Marco Antonio Galarza CastilloChimbo Naranjo Christian Leonardo</v>
      </c>
      <c r="N214" s="1"/>
      <c r="O214" s="1" t="s">
        <v>186</v>
      </c>
      <c r="Q214" s="1"/>
      <c r="R214" s="1" t="s">
        <v>44</v>
      </c>
      <c r="S214" s="22">
        <f>VLOOKUP(TablaCalificaciones[[#This Row],[Apertura: problema y objetivo ]],PESOS!A$16:B$20,2,0)</f>
        <v>20</v>
      </c>
      <c r="T214" s="1"/>
      <c r="U214" s="1" t="s">
        <v>44</v>
      </c>
      <c r="V214" s="22">
        <f>VLOOKUP(TablaCalificaciones[[#This Row],[Metodología (nivel adecuado)]],PESOS!A$16:B$20,2,0)</f>
        <v>20</v>
      </c>
      <c r="W214" s="1"/>
      <c r="X214" s="1" t="s">
        <v>44</v>
      </c>
      <c r="Y214" s="22">
        <f>VLOOKUP(TablaCalificaciones[[#This Row],[Resultados y evidencia ]],PESOS!A$16:B$20,2,0)</f>
        <v>20</v>
      </c>
      <c r="Z214" s="1"/>
      <c r="AA214" s="1" t="s">
        <v>45</v>
      </c>
      <c r="AB214" s="22">
        <f>VLOOKUP(TablaCalificaciones[[#This Row],[Coherencia y manejo del tiempo]],PESOS!A$25:B$29,2,0)</f>
        <v>10</v>
      </c>
      <c r="AC214" s="1"/>
      <c r="AD214" s="1" t="s">
        <v>45</v>
      </c>
      <c r="AE214" s="22">
        <f>VLOOKUP(TablaCalificaciones[[#This Row],[Diapositivas como apoyo]],PESOS!A$25:B$29,2,0)</f>
        <v>10</v>
      </c>
      <c r="AF214" s="1"/>
      <c r="AG214" s="1" t="s">
        <v>45</v>
      </c>
      <c r="AH214" s="22">
        <f>VLOOKUP(TablaCalificaciones[[#This Row],[Respuestas a preguntas]],PESOS!A$25:B$29,2,0)</f>
        <v>10</v>
      </c>
      <c r="AI214" s="1"/>
      <c r="AJ214" s="1" t="s">
        <v>45</v>
      </c>
      <c r="AK214" s="22">
        <f>VLOOKUP(TablaCalificaciones[[#This Row],[Cierre: aporte a próximos pasos]],PESOS!A$25:B$29,2,0)</f>
        <v>10</v>
      </c>
      <c r="AL214" s="1"/>
      <c r="AM214" s="1"/>
    </row>
    <row r="215" spans="1:39">
      <c r="A215">
        <v>214</v>
      </c>
      <c r="B215" s="2">
        <v>46134.439965277801</v>
      </c>
      <c r="C215" s="2">
        <v>46134.440312500003</v>
      </c>
      <c r="D215" s="1" t="s">
        <v>54</v>
      </c>
      <c r="E215" s="1" t="s">
        <v>55</v>
      </c>
      <c r="G215" s="1"/>
      <c r="H215" s="2"/>
      <c r="I215" s="1" t="s">
        <v>68</v>
      </c>
      <c r="K215" s="1"/>
      <c r="L215" s="1" t="s">
        <v>56</v>
      </c>
      <c r="M215" s="26" t="str">
        <f>CONCATENATE(TablaCalificaciones[[#This Row],[Seleccione su nombre (Evaluador)]],TablaCalificaciones[[#This Row],[Seleccione el nombre del Estudiante]])</f>
        <v>Marco Antonio Galarza CastilloOrtiz Esquivel Luz Eidy</v>
      </c>
      <c r="N215" s="1"/>
      <c r="O215" s="1" t="s">
        <v>182</v>
      </c>
      <c r="Q215" s="1"/>
      <c r="R215" s="1" t="s">
        <v>44</v>
      </c>
      <c r="S215" s="22">
        <f>VLOOKUP(TablaCalificaciones[[#This Row],[Apertura: problema y objetivo ]],PESOS!A$16:B$20,2,0)</f>
        <v>20</v>
      </c>
      <c r="T215" s="1"/>
      <c r="U215" s="1" t="s">
        <v>44</v>
      </c>
      <c r="V215" s="22">
        <f>VLOOKUP(TablaCalificaciones[[#This Row],[Metodología (nivel adecuado)]],PESOS!A$16:B$20,2,0)</f>
        <v>20</v>
      </c>
      <c r="W215" s="1"/>
      <c r="X215" s="1" t="s">
        <v>44</v>
      </c>
      <c r="Y215" s="22">
        <f>VLOOKUP(TablaCalificaciones[[#This Row],[Resultados y evidencia ]],PESOS!A$16:B$20,2,0)</f>
        <v>20</v>
      </c>
      <c r="Z215" s="1"/>
      <c r="AA215" s="1" t="s">
        <v>45</v>
      </c>
      <c r="AB215" s="22">
        <f>VLOOKUP(TablaCalificaciones[[#This Row],[Coherencia y manejo del tiempo]],PESOS!A$25:B$29,2,0)</f>
        <v>10</v>
      </c>
      <c r="AC215" s="1"/>
      <c r="AD215" s="1" t="s">
        <v>45</v>
      </c>
      <c r="AE215" s="22">
        <f>VLOOKUP(TablaCalificaciones[[#This Row],[Diapositivas como apoyo]],PESOS!A$25:B$29,2,0)</f>
        <v>10</v>
      </c>
      <c r="AF215" s="1"/>
      <c r="AG215" s="1" t="s">
        <v>45</v>
      </c>
      <c r="AH215" s="22">
        <f>VLOOKUP(TablaCalificaciones[[#This Row],[Respuestas a preguntas]],PESOS!A$25:B$29,2,0)</f>
        <v>10</v>
      </c>
      <c r="AI215" s="1"/>
      <c r="AJ215" s="1" t="s">
        <v>45</v>
      </c>
      <c r="AK215" s="22">
        <f>VLOOKUP(TablaCalificaciones[[#This Row],[Cierre: aporte a próximos pasos]],PESOS!A$25:B$29,2,0)</f>
        <v>10</v>
      </c>
      <c r="AL215" s="1"/>
      <c r="AM215" s="1"/>
    </row>
    <row r="216" spans="1:39">
      <c r="A216">
        <v>215</v>
      </c>
      <c r="B216" s="2">
        <v>46134.394756944399</v>
      </c>
      <c r="C216" s="2">
        <v>46134.441111111097</v>
      </c>
      <c r="D216" s="1" t="s">
        <v>74</v>
      </c>
      <c r="E216" s="1" t="s">
        <v>75</v>
      </c>
      <c r="G216" s="1"/>
      <c r="H216" s="2"/>
      <c r="I216" s="1" t="s">
        <v>68</v>
      </c>
      <c r="K216" s="1"/>
      <c r="L216" s="1" t="s">
        <v>76</v>
      </c>
      <c r="M216" s="26" t="str">
        <f>CONCATENATE(TablaCalificaciones[[#This Row],[Seleccione su nombre (Evaluador)]],TablaCalificaciones[[#This Row],[Seleccione el nombre del Estudiante]])</f>
        <v>Edwin García AucatomaGarrido Mejía Luis Alejandro</v>
      </c>
      <c r="N216" s="1"/>
      <c r="O216" s="1" t="s">
        <v>179</v>
      </c>
      <c r="Q216" s="1"/>
      <c r="R216" s="1" t="s">
        <v>44</v>
      </c>
      <c r="S216" s="22">
        <f>VLOOKUP(TablaCalificaciones[[#This Row],[Apertura: problema y objetivo ]],PESOS!A$16:B$20,2,0)</f>
        <v>20</v>
      </c>
      <c r="T216" s="1"/>
      <c r="U216" s="1" t="s">
        <v>50</v>
      </c>
      <c r="V216" s="22">
        <f>VLOOKUP(TablaCalificaciones[[#This Row],[Metodología (nivel adecuado)]],PESOS!A$16:B$20,2,0)</f>
        <v>16</v>
      </c>
      <c r="W216" s="1"/>
      <c r="X216" s="1" t="s">
        <v>44</v>
      </c>
      <c r="Y216" s="22">
        <f>VLOOKUP(TablaCalificaciones[[#This Row],[Resultados y evidencia ]],PESOS!A$16:B$20,2,0)</f>
        <v>20</v>
      </c>
      <c r="Z216" s="1"/>
      <c r="AA216" s="1" t="s">
        <v>83</v>
      </c>
      <c r="AB216" s="22">
        <f>VLOOKUP(TablaCalificaciones[[#This Row],[Coherencia y manejo del tiempo]],PESOS!A$25:B$29,2,0)</f>
        <v>6</v>
      </c>
      <c r="AC216" s="1"/>
      <c r="AD216" s="1" t="s">
        <v>45</v>
      </c>
      <c r="AE216" s="22">
        <f>VLOOKUP(TablaCalificaciones[[#This Row],[Diapositivas como apoyo]],PESOS!A$25:B$29,2,0)</f>
        <v>10</v>
      </c>
      <c r="AF216" s="1"/>
      <c r="AG216" s="1" t="s">
        <v>45</v>
      </c>
      <c r="AH216" s="22">
        <f>VLOOKUP(TablaCalificaciones[[#This Row],[Respuestas a preguntas]],PESOS!A$25:B$29,2,0)</f>
        <v>10</v>
      </c>
      <c r="AI216" s="1"/>
      <c r="AJ216" s="1" t="s">
        <v>45</v>
      </c>
      <c r="AK216" s="22">
        <f>VLOOKUP(TablaCalificaciones[[#This Row],[Cierre: aporte a próximos pasos]],PESOS!A$25:B$29,2,0)</f>
        <v>10</v>
      </c>
      <c r="AL216" s="1"/>
      <c r="AM216" s="1"/>
    </row>
    <row r="217" spans="1:39">
      <c r="A217">
        <v>216</v>
      </c>
      <c r="B217" s="2">
        <v>46134.399710648097</v>
      </c>
      <c r="C217" s="2">
        <v>46134.441840277803</v>
      </c>
      <c r="D217" s="1" t="s">
        <v>74</v>
      </c>
      <c r="E217" s="1" t="s">
        <v>75</v>
      </c>
      <c r="G217" s="1"/>
      <c r="H217" s="2"/>
      <c r="I217" s="1" t="s">
        <v>68</v>
      </c>
      <c r="K217" s="1"/>
      <c r="L217" s="1" t="s">
        <v>76</v>
      </c>
      <c r="M217" s="26" t="str">
        <f>CONCATENATE(TablaCalificaciones[[#This Row],[Seleccione su nombre (Evaluador)]],TablaCalificaciones[[#This Row],[Seleccione el nombre del Estudiante]])</f>
        <v>Edwin García AucatomaTerán Aguilar Julio Alejandro</v>
      </c>
      <c r="N217" s="1"/>
      <c r="O217" s="1" t="s">
        <v>178</v>
      </c>
      <c r="Q217" s="1"/>
      <c r="R217" s="1" t="s">
        <v>44</v>
      </c>
      <c r="S217" s="22">
        <f>VLOOKUP(TablaCalificaciones[[#This Row],[Apertura: problema y objetivo ]],PESOS!A$16:B$20,2,0)</f>
        <v>20</v>
      </c>
      <c r="T217" s="1"/>
      <c r="U217" s="1" t="s">
        <v>50</v>
      </c>
      <c r="V217" s="22">
        <f>VLOOKUP(TablaCalificaciones[[#This Row],[Metodología (nivel adecuado)]],PESOS!A$16:B$20,2,0)</f>
        <v>16</v>
      </c>
      <c r="W217" s="1"/>
      <c r="X217" s="1" t="s">
        <v>44</v>
      </c>
      <c r="Y217" s="22">
        <f>VLOOKUP(TablaCalificaciones[[#This Row],[Resultados y evidencia ]],PESOS!A$16:B$20,2,0)</f>
        <v>20</v>
      </c>
      <c r="Z217" s="1"/>
      <c r="AA217" s="1" t="s">
        <v>83</v>
      </c>
      <c r="AB217" s="22">
        <f>VLOOKUP(TablaCalificaciones[[#This Row],[Coherencia y manejo del tiempo]],PESOS!A$25:B$29,2,0)</f>
        <v>6</v>
      </c>
      <c r="AC217" s="1"/>
      <c r="AD217" s="1" t="s">
        <v>45</v>
      </c>
      <c r="AE217" s="22">
        <f>VLOOKUP(TablaCalificaciones[[#This Row],[Diapositivas como apoyo]],PESOS!A$25:B$29,2,0)</f>
        <v>10</v>
      </c>
      <c r="AF217" s="1"/>
      <c r="AG217" s="1" t="s">
        <v>45</v>
      </c>
      <c r="AH217" s="22">
        <f>VLOOKUP(TablaCalificaciones[[#This Row],[Respuestas a preguntas]],PESOS!A$25:B$29,2,0)</f>
        <v>10</v>
      </c>
      <c r="AI217" s="1"/>
      <c r="AJ217" s="1" t="s">
        <v>45</v>
      </c>
      <c r="AK217" s="22">
        <f>VLOOKUP(TablaCalificaciones[[#This Row],[Cierre: aporte a próximos pasos]],PESOS!A$25:B$29,2,0)</f>
        <v>10</v>
      </c>
      <c r="AL217" s="1"/>
      <c r="AM217" s="1"/>
    </row>
    <row r="218" spans="1:39">
      <c r="A218">
        <v>217</v>
      </c>
      <c r="B218" s="2">
        <v>46134.437465277799</v>
      </c>
      <c r="C218" s="2">
        <v>46134.445659722202</v>
      </c>
      <c r="D218" s="1" t="s">
        <v>46</v>
      </c>
      <c r="E218" s="1" t="s">
        <v>47</v>
      </c>
      <c r="G218" s="1"/>
      <c r="H218" s="2"/>
      <c r="I218" s="1" t="s">
        <v>68</v>
      </c>
      <c r="K218" s="1"/>
      <c r="L218" s="1" t="s">
        <v>48</v>
      </c>
      <c r="M218" s="26" t="str">
        <f>CONCATENATE(TablaCalificaciones[[#This Row],[Seleccione su nombre (Evaluador)]],TablaCalificaciones[[#This Row],[Seleccione el nombre del Estudiante]])</f>
        <v>Bernarda Sandoval RomoZurita Landázuri Diego Alejandro</v>
      </c>
      <c r="N218" s="1"/>
      <c r="O218" s="1" t="s">
        <v>184</v>
      </c>
      <c r="Q218" s="1"/>
      <c r="R218" s="1" t="s">
        <v>50</v>
      </c>
      <c r="S218" s="22">
        <f>VLOOKUP(TablaCalificaciones[[#This Row],[Apertura: problema y objetivo ]],PESOS!A$16:B$20,2,0)</f>
        <v>16</v>
      </c>
      <c r="T218" s="1"/>
      <c r="U218" s="1" t="s">
        <v>105</v>
      </c>
      <c r="V218" s="22">
        <f>VLOOKUP(TablaCalificaciones[[#This Row],[Metodología (nivel adecuado)]],PESOS!A$16:B$20,2,0)</f>
        <v>12</v>
      </c>
      <c r="W218" s="1"/>
      <c r="X218" s="1" t="s">
        <v>105</v>
      </c>
      <c r="Y218" s="22">
        <f>VLOOKUP(TablaCalificaciones[[#This Row],[Resultados y evidencia ]],PESOS!A$16:B$20,2,0)</f>
        <v>12</v>
      </c>
      <c r="Z218" s="1"/>
      <c r="AA218" s="1" t="s">
        <v>86</v>
      </c>
      <c r="AB218" s="22">
        <f>VLOOKUP(TablaCalificaciones[[#This Row],[Coherencia y manejo del tiempo]],PESOS!A$25:B$29,2,0)</f>
        <v>2</v>
      </c>
      <c r="AC218" s="1"/>
      <c r="AD218" s="1" t="s">
        <v>51</v>
      </c>
      <c r="AE218" s="22">
        <f>VLOOKUP(TablaCalificaciones[[#This Row],[Diapositivas como apoyo]],PESOS!A$25:B$29,2,0)</f>
        <v>8</v>
      </c>
      <c r="AF218" s="1"/>
      <c r="AG218" s="1" t="s">
        <v>83</v>
      </c>
      <c r="AH218" s="22">
        <f>VLOOKUP(TablaCalificaciones[[#This Row],[Respuestas a preguntas]],PESOS!A$25:B$29,2,0)</f>
        <v>6</v>
      </c>
      <c r="AI218" s="1"/>
      <c r="AJ218" s="1" t="s">
        <v>86</v>
      </c>
      <c r="AK218" s="22">
        <f>VLOOKUP(TablaCalificaciones[[#This Row],[Cierre: aporte a próximos pasos]],PESOS!A$25:B$29,2,0)</f>
        <v>2</v>
      </c>
      <c r="AL218" s="1"/>
      <c r="AM218" s="1"/>
    </row>
    <row r="219" spans="1:39">
      <c r="A219">
        <v>218</v>
      </c>
      <c r="B219" s="2">
        <v>46134.445694444403</v>
      </c>
      <c r="C219" s="2">
        <v>46134.4476967593</v>
      </c>
      <c r="D219" s="1" t="s">
        <v>46</v>
      </c>
      <c r="E219" s="1" t="s">
        <v>47</v>
      </c>
      <c r="G219" s="1"/>
      <c r="H219" s="2"/>
      <c r="I219" s="1" t="s">
        <v>68</v>
      </c>
      <c r="K219" s="1"/>
      <c r="L219" s="1" t="s">
        <v>48</v>
      </c>
      <c r="M219" s="26" t="str">
        <f>CONCATENATE(TablaCalificaciones[[#This Row],[Seleccione su nombre (Evaluador)]],TablaCalificaciones[[#This Row],[Seleccione el nombre del Estudiante]])</f>
        <v>Bernarda Sandoval RomoRuano Flores Rubén Alexander</v>
      </c>
      <c r="N219" s="1"/>
      <c r="O219" s="1" t="s">
        <v>185</v>
      </c>
      <c r="Q219" s="1"/>
      <c r="R219" s="1" t="s">
        <v>44</v>
      </c>
      <c r="S219" s="22">
        <f>VLOOKUP(TablaCalificaciones[[#This Row],[Apertura: problema y objetivo ]],PESOS!A$16:B$20,2,0)</f>
        <v>20</v>
      </c>
      <c r="T219" s="1"/>
      <c r="U219" s="1" t="s">
        <v>50</v>
      </c>
      <c r="V219" s="22">
        <f>VLOOKUP(TablaCalificaciones[[#This Row],[Metodología (nivel adecuado)]],PESOS!A$16:B$20,2,0)</f>
        <v>16</v>
      </c>
      <c r="W219" s="1"/>
      <c r="X219" s="1" t="s">
        <v>105</v>
      </c>
      <c r="Y219" s="22">
        <f>VLOOKUP(TablaCalificaciones[[#This Row],[Resultados y evidencia ]],PESOS!A$16:B$20,2,0)</f>
        <v>12</v>
      </c>
      <c r="Z219" s="1"/>
      <c r="AA219" s="1" t="s">
        <v>83</v>
      </c>
      <c r="AB219" s="22">
        <f>VLOOKUP(TablaCalificaciones[[#This Row],[Coherencia y manejo del tiempo]],PESOS!A$25:B$29,2,0)</f>
        <v>6</v>
      </c>
      <c r="AC219" s="1"/>
      <c r="AD219" s="1" t="s">
        <v>51</v>
      </c>
      <c r="AE219" s="22">
        <f>VLOOKUP(TablaCalificaciones[[#This Row],[Diapositivas como apoyo]],PESOS!A$25:B$29,2,0)</f>
        <v>8</v>
      </c>
      <c r="AF219" s="1"/>
      <c r="AG219" s="1" t="s">
        <v>83</v>
      </c>
      <c r="AH219" s="22">
        <f>VLOOKUP(TablaCalificaciones[[#This Row],[Respuestas a preguntas]],PESOS!A$25:B$29,2,0)</f>
        <v>6</v>
      </c>
      <c r="AI219" s="1"/>
      <c r="AJ219" s="1" t="s">
        <v>86</v>
      </c>
      <c r="AK219" s="22">
        <f>VLOOKUP(TablaCalificaciones[[#This Row],[Cierre: aporte a próximos pasos]],PESOS!A$25:B$29,2,0)</f>
        <v>2</v>
      </c>
      <c r="AL219" s="1"/>
      <c r="AM219" s="1"/>
    </row>
    <row r="220" spans="1:39">
      <c r="A220">
        <v>219</v>
      </c>
      <c r="B220" s="2">
        <v>46134.439803240697</v>
      </c>
      <c r="C220" s="2">
        <v>46134.451435185198</v>
      </c>
      <c r="D220" s="1" t="s">
        <v>69</v>
      </c>
      <c r="E220" s="1" t="s">
        <v>70</v>
      </c>
      <c r="G220" s="1"/>
      <c r="H220" s="2"/>
      <c r="I220" s="1" t="s">
        <v>68</v>
      </c>
      <c r="K220" s="1"/>
      <c r="L220" s="1" t="s">
        <v>71</v>
      </c>
      <c r="M220" s="26" t="str">
        <f>CONCATENATE(TablaCalificaciones[[#This Row],[Seleccione su nombre (Evaluador)]],TablaCalificaciones[[#This Row],[Seleccione el nombre del Estudiante]])</f>
        <v>Ana Belén Tulcanaza PrietoJácome Macías Anne</v>
      </c>
      <c r="N220" s="1"/>
      <c r="O220" s="1" t="s">
        <v>187</v>
      </c>
      <c r="Q220" s="1"/>
      <c r="R220" s="1" t="s">
        <v>44</v>
      </c>
      <c r="S220" s="22">
        <f>VLOOKUP(TablaCalificaciones[[#This Row],[Apertura: problema y objetivo ]],PESOS!A$16:B$20,2,0)</f>
        <v>20</v>
      </c>
      <c r="T220" s="1"/>
      <c r="U220" s="1" t="s">
        <v>44</v>
      </c>
      <c r="V220" s="22">
        <f>VLOOKUP(TablaCalificaciones[[#This Row],[Metodología (nivel adecuado)]],PESOS!A$16:B$20,2,0)</f>
        <v>20</v>
      </c>
      <c r="W220" s="1"/>
      <c r="X220" s="1" t="s">
        <v>44</v>
      </c>
      <c r="Y220" s="22">
        <f>VLOOKUP(TablaCalificaciones[[#This Row],[Resultados y evidencia ]],PESOS!A$16:B$20,2,0)</f>
        <v>20</v>
      </c>
      <c r="Z220" s="1"/>
      <c r="AA220" s="1" t="s">
        <v>45</v>
      </c>
      <c r="AB220" s="22">
        <f>VLOOKUP(TablaCalificaciones[[#This Row],[Coherencia y manejo del tiempo]],PESOS!A$25:B$29,2,0)</f>
        <v>10</v>
      </c>
      <c r="AC220" s="1"/>
      <c r="AD220" s="1" t="s">
        <v>45</v>
      </c>
      <c r="AE220" s="22">
        <f>VLOOKUP(TablaCalificaciones[[#This Row],[Diapositivas como apoyo]],PESOS!A$25:B$29,2,0)</f>
        <v>10</v>
      </c>
      <c r="AF220" s="1"/>
      <c r="AG220" s="1" t="s">
        <v>45</v>
      </c>
      <c r="AH220" s="22">
        <f>VLOOKUP(TablaCalificaciones[[#This Row],[Respuestas a preguntas]],PESOS!A$25:B$29,2,0)</f>
        <v>10</v>
      </c>
      <c r="AI220" s="1"/>
      <c r="AJ220" s="1" t="s">
        <v>45</v>
      </c>
      <c r="AK220" s="22">
        <f>VLOOKUP(TablaCalificaciones[[#This Row],[Cierre: aporte a próximos pasos]],PESOS!A$25:B$29,2,0)</f>
        <v>10</v>
      </c>
      <c r="AL220" s="1"/>
      <c r="AM220" s="1"/>
    </row>
    <row r="221" spans="1:39">
      <c r="A221">
        <v>221</v>
      </c>
      <c r="B221" s="2">
        <v>46134.454004629602</v>
      </c>
      <c r="C221" s="2">
        <v>46134.456111111103</v>
      </c>
      <c r="D221" s="1" t="s">
        <v>87</v>
      </c>
      <c r="E221" s="1" t="s">
        <v>88</v>
      </c>
      <c r="G221" s="1"/>
      <c r="H221" s="2"/>
      <c r="I221" s="1" t="s">
        <v>68</v>
      </c>
      <c r="K221" s="1"/>
      <c r="L221" s="1" t="s">
        <v>88</v>
      </c>
      <c r="M221" s="26" t="str">
        <f>CONCATENATE(TablaCalificaciones[[#This Row],[Seleccione su nombre (Evaluador)]],TablaCalificaciones[[#This Row],[Seleccione el nombre del Estudiante]])</f>
        <v>Ana María Pazmiño DelgadoPulupa Quishpe Francisco Miguel</v>
      </c>
      <c r="N221" s="1"/>
      <c r="O221" s="1" t="s">
        <v>188</v>
      </c>
      <c r="Q221" s="1"/>
      <c r="R221" s="1" t="s">
        <v>44</v>
      </c>
      <c r="S221" s="22">
        <f>VLOOKUP(TablaCalificaciones[[#This Row],[Apertura: problema y objetivo ]],PESOS!A$16:B$20,2,0)</f>
        <v>20</v>
      </c>
      <c r="T221" s="1"/>
      <c r="U221" s="1" t="s">
        <v>44</v>
      </c>
      <c r="V221" s="22">
        <f>VLOOKUP(TablaCalificaciones[[#This Row],[Metodología (nivel adecuado)]],PESOS!A$16:B$20,2,0)</f>
        <v>20</v>
      </c>
      <c r="W221" s="1"/>
      <c r="X221" s="1" t="s">
        <v>44</v>
      </c>
      <c r="Y221" s="22">
        <f>VLOOKUP(TablaCalificaciones[[#This Row],[Resultados y evidencia ]],PESOS!A$16:B$20,2,0)</f>
        <v>20</v>
      </c>
      <c r="Z221" s="1"/>
      <c r="AA221" s="1" t="s">
        <v>45</v>
      </c>
      <c r="AB221" s="22">
        <f>VLOOKUP(TablaCalificaciones[[#This Row],[Coherencia y manejo del tiempo]],PESOS!A$25:B$29,2,0)</f>
        <v>10</v>
      </c>
      <c r="AC221" s="1"/>
      <c r="AD221" s="1" t="s">
        <v>45</v>
      </c>
      <c r="AE221" s="22">
        <f>VLOOKUP(TablaCalificaciones[[#This Row],[Diapositivas como apoyo]],PESOS!A$25:B$29,2,0)</f>
        <v>10</v>
      </c>
      <c r="AF221" s="1"/>
      <c r="AG221" s="1" t="s">
        <v>45</v>
      </c>
      <c r="AH221" s="22">
        <f>VLOOKUP(TablaCalificaciones[[#This Row],[Respuestas a preguntas]],PESOS!A$25:B$29,2,0)</f>
        <v>10</v>
      </c>
      <c r="AI221" s="1"/>
      <c r="AJ221" s="1" t="s">
        <v>45</v>
      </c>
      <c r="AK221" s="22">
        <f>VLOOKUP(TablaCalificaciones[[#This Row],[Cierre: aporte a próximos pasos]],PESOS!A$25:B$29,2,0)</f>
        <v>10</v>
      </c>
      <c r="AL221" s="1"/>
      <c r="AM221" s="1"/>
    </row>
    <row r="222" spans="1:39">
      <c r="A222">
        <v>222</v>
      </c>
      <c r="B222" s="2">
        <v>46134.440335648098</v>
      </c>
      <c r="C222" s="2">
        <v>46134.456250000003</v>
      </c>
      <c r="D222" s="1" t="s">
        <v>54</v>
      </c>
      <c r="E222" s="1" t="s">
        <v>55</v>
      </c>
      <c r="G222" s="1"/>
      <c r="H222" s="2"/>
      <c r="I222" s="1" t="s">
        <v>68</v>
      </c>
      <c r="K222" s="1"/>
      <c r="L222" s="1" t="s">
        <v>56</v>
      </c>
      <c r="M222" s="26" t="str">
        <f>CONCATENATE(TablaCalificaciones[[#This Row],[Seleccione su nombre (Evaluador)]],TablaCalificaciones[[#This Row],[Seleccione el nombre del Estudiante]])</f>
        <v>Marco Antonio Galarza CastilloCastro Suasnavas Diego Fernando</v>
      </c>
      <c r="N222" s="1"/>
      <c r="O222" s="1" t="s">
        <v>189</v>
      </c>
      <c r="Q222" s="1"/>
      <c r="R222" s="1" t="s">
        <v>44</v>
      </c>
      <c r="S222" s="22">
        <f>VLOOKUP(TablaCalificaciones[[#This Row],[Apertura: problema y objetivo ]],PESOS!A$16:B$20,2,0)</f>
        <v>20</v>
      </c>
      <c r="T222" s="1"/>
      <c r="U222" s="1" t="s">
        <v>44</v>
      </c>
      <c r="V222" s="22">
        <f>VLOOKUP(TablaCalificaciones[[#This Row],[Metodología (nivel adecuado)]],PESOS!A$16:B$20,2,0)</f>
        <v>20</v>
      </c>
      <c r="W222" s="1"/>
      <c r="X222" s="1" t="s">
        <v>44</v>
      </c>
      <c r="Y222" s="22">
        <f>VLOOKUP(TablaCalificaciones[[#This Row],[Resultados y evidencia ]],PESOS!A$16:B$20,2,0)</f>
        <v>20</v>
      </c>
      <c r="Z222" s="1"/>
      <c r="AA222" s="1" t="s">
        <v>51</v>
      </c>
      <c r="AB222" s="22">
        <f>VLOOKUP(TablaCalificaciones[[#This Row],[Coherencia y manejo del tiempo]],PESOS!A$25:B$29,2,0)</f>
        <v>8</v>
      </c>
      <c r="AC222" s="1"/>
      <c r="AD222" s="1" t="s">
        <v>45</v>
      </c>
      <c r="AE222" s="22">
        <f>VLOOKUP(TablaCalificaciones[[#This Row],[Diapositivas como apoyo]],PESOS!A$25:B$29,2,0)</f>
        <v>10</v>
      </c>
      <c r="AF222" s="1"/>
      <c r="AG222" s="1" t="s">
        <v>45</v>
      </c>
      <c r="AH222" s="22">
        <f>VLOOKUP(TablaCalificaciones[[#This Row],[Respuestas a preguntas]],PESOS!A$25:B$29,2,0)</f>
        <v>10</v>
      </c>
      <c r="AI222" s="1"/>
      <c r="AJ222" s="1" t="s">
        <v>45</v>
      </c>
      <c r="AK222" s="22">
        <f>VLOOKUP(TablaCalificaciones[[#This Row],[Cierre: aporte a próximos pasos]],PESOS!A$25:B$29,2,0)</f>
        <v>10</v>
      </c>
      <c r="AL222" s="1"/>
      <c r="AM222" s="1"/>
    </row>
    <row r="223" spans="1:39">
      <c r="A223">
        <v>223</v>
      </c>
      <c r="B223" s="2">
        <v>46134.439837963</v>
      </c>
      <c r="C223" s="2">
        <v>46134.456481481502</v>
      </c>
      <c r="D223" s="1" t="s">
        <v>59</v>
      </c>
      <c r="E223" s="1" t="s">
        <v>60</v>
      </c>
      <c r="G223" s="1"/>
      <c r="H223" s="2"/>
      <c r="I223" s="1" t="s">
        <v>68</v>
      </c>
      <c r="K223" s="1"/>
      <c r="L223" s="1" t="s">
        <v>60</v>
      </c>
      <c r="M223" s="26" t="str">
        <f>CONCATENATE(TablaCalificaciones[[#This Row],[Seleccione su nombre (Evaluador)]],TablaCalificaciones[[#This Row],[Seleccione el nombre del Estudiante]])</f>
        <v>Santiago Leonardo SolórzanoRosero Guevara Ariana Micaela</v>
      </c>
      <c r="N223" s="1"/>
      <c r="O223" s="1" t="s">
        <v>190</v>
      </c>
      <c r="Q223" s="1"/>
      <c r="R223" s="1" t="s">
        <v>44</v>
      </c>
      <c r="S223" s="22">
        <f>VLOOKUP(TablaCalificaciones[[#This Row],[Apertura: problema y objetivo ]],PESOS!A$16:B$20,2,0)</f>
        <v>20</v>
      </c>
      <c r="T223" s="1"/>
      <c r="U223" s="1" t="s">
        <v>44</v>
      </c>
      <c r="V223" s="22">
        <f>VLOOKUP(TablaCalificaciones[[#This Row],[Metodología (nivel adecuado)]],PESOS!A$16:B$20,2,0)</f>
        <v>20</v>
      </c>
      <c r="W223" s="1"/>
      <c r="X223" s="1" t="s">
        <v>50</v>
      </c>
      <c r="Y223" s="22">
        <f>VLOOKUP(TablaCalificaciones[[#This Row],[Resultados y evidencia ]],PESOS!A$16:B$20,2,0)</f>
        <v>16</v>
      </c>
      <c r="Z223" s="1"/>
      <c r="AA223" s="1" t="s">
        <v>45</v>
      </c>
      <c r="AB223" s="22">
        <f>VLOOKUP(TablaCalificaciones[[#This Row],[Coherencia y manejo del tiempo]],PESOS!A$25:B$29,2,0)</f>
        <v>10</v>
      </c>
      <c r="AC223" s="1"/>
      <c r="AD223" s="1" t="s">
        <v>51</v>
      </c>
      <c r="AE223" s="22">
        <f>VLOOKUP(TablaCalificaciones[[#This Row],[Diapositivas como apoyo]],PESOS!A$25:B$29,2,0)</f>
        <v>8</v>
      </c>
      <c r="AF223" s="1"/>
      <c r="AG223" s="1" t="s">
        <v>45</v>
      </c>
      <c r="AH223" s="22">
        <f>VLOOKUP(TablaCalificaciones[[#This Row],[Respuestas a preguntas]],PESOS!A$25:B$29,2,0)</f>
        <v>10</v>
      </c>
      <c r="AI223" s="1"/>
      <c r="AJ223" s="1" t="s">
        <v>45</v>
      </c>
      <c r="AK223" s="22">
        <f>VLOOKUP(TablaCalificaciones[[#This Row],[Cierre: aporte a próximos pasos]],PESOS!A$25:B$29,2,0)</f>
        <v>10</v>
      </c>
      <c r="AL223" s="1"/>
      <c r="AM223" s="1"/>
    </row>
    <row r="224" spans="1:39">
      <c r="A224">
        <v>224</v>
      </c>
      <c r="B224" s="2">
        <v>46134.456273148098</v>
      </c>
      <c r="C224" s="2">
        <v>46134.456643518497</v>
      </c>
      <c r="D224" s="1" t="s">
        <v>54</v>
      </c>
      <c r="E224" s="1" t="s">
        <v>55</v>
      </c>
      <c r="G224" s="1"/>
      <c r="H224" s="2"/>
      <c r="I224" s="1" t="s">
        <v>68</v>
      </c>
      <c r="K224" s="1"/>
      <c r="L224" s="1" t="s">
        <v>56</v>
      </c>
      <c r="M224" s="26" t="str">
        <f>CONCATENATE(TablaCalificaciones[[#This Row],[Seleccione su nombre (Evaluador)]],TablaCalificaciones[[#This Row],[Seleccione el nombre del Estudiante]])</f>
        <v>Marco Antonio Galarza CastilloFlores Garzón Edwin Patricio</v>
      </c>
      <c r="N224" s="1"/>
      <c r="O224" s="1" t="s">
        <v>191</v>
      </c>
      <c r="Q224" s="1"/>
      <c r="R224" s="1" t="s">
        <v>44</v>
      </c>
      <c r="S224" s="22">
        <f>VLOOKUP(TablaCalificaciones[[#This Row],[Apertura: problema y objetivo ]],PESOS!A$16:B$20,2,0)</f>
        <v>20</v>
      </c>
      <c r="T224" s="1"/>
      <c r="U224" s="1" t="s">
        <v>44</v>
      </c>
      <c r="V224" s="22">
        <f>VLOOKUP(TablaCalificaciones[[#This Row],[Metodología (nivel adecuado)]],PESOS!A$16:B$20,2,0)</f>
        <v>20</v>
      </c>
      <c r="W224" s="1"/>
      <c r="X224" s="1" t="s">
        <v>44</v>
      </c>
      <c r="Y224" s="22">
        <f>VLOOKUP(TablaCalificaciones[[#This Row],[Resultados y evidencia ]],PESOS!A$16:B$20,2,0)</f>
        <v>20</v>
      </c>
      <c r="Z224" s="1"/>
      <c r="AA224" s="1" t="s">
        <v>51</v>
      </c>
      <c r="AB224" s="22">
        <f>VLOOKUP(TablaCalificaciones[[#This Row],[Coherencia y manejo del tiempo]],PESOS!A$25:B$29,2,0)</f>
        <v>8</v>
      </c>
      <c r="AC224" s="1"/>
      <c r="AD224" s="1" t="s">
        <v>45</v>
      </c>
      <c r="AE224" s="22">
        <f>VLOOKUP(TablaCalificaciones[[#This Row],[Diapositivas como apoyo]],PESOS!A$25:B$29,2,0)</f>
        <v>10</v>
      </c>
      <c r="AF224" s="1"/>
      <c r="AG224" s="1" t="s">
        <v>45</v>
      </c>
      <c r="AH224" s="22">
        <f>VLOOKUP(TablaCalificaciones[[#This Row],[Respuestas a preguntas]],PESOS!A$25:B$29,2,0)</f>
        <v>10</v>
      </c>
      <c r="AI224" s="1"/>
      <c r="AJ224" s="1" t="s">
        <v>45</v>
      </c>
      <c r="AK224" s="22">
        <f>VLOOKUP(TablaCalificaciones[[#This Row],[Cierre: aporte a próximos pasos]],PESOS!A$25:B$29,2,0)</f>
        <v>10</v>
      </c>
      <c r="AL224" s="1"/>
      <c r="AM224" s="1"/>
    </row>
    <row r="225" spans="1:39">
      <c r="A225">
        <v>225</v>
      </c>
      <c r="B225" s="2">
        <v>46134.439861111103</v>
      </c>
      <c r="C225" s="2">
        <v>46134.456655092603</v>
      </c>
      <c r="D225" s="1" t="s">
        <v>59</v>
      </c>
      <c r="E225" s="1" t="s">
        <v>60</v>
      </c>
      <c r="G225" s="1"/>
      <c r="H225" s="2"/>
      <c r="I225" s="1" t="s">
        <v>68</v>
      </c>
      <c r="K225" s="1"/>
      <c r="L225" s="1" t="s">
        <v>60</v>
      </c>
      <c r="M225" s="26" t="str">
        <f>CONCATENATE(TablaCalificaciones[[#This Row],[Seleccione su nombre (Evaluador)]],TablaCalificaciones[[#This Row],[Seleccione el nombre del Estudiante]])</f>
        <v>Santiago Leonardo SolórzanoPáez Cevallos Santiago Alejandro</v>
      </c>
      <c r="N225" s="1"/>
      <c r="O225" s="1" t="s">
        <v>192</v>
      </c>
      <c r="Q225" s="1"/>
      <c r="R225" s="1" t="s">
        <v>44</v>
      </c>
      <c r="S225" s="22">
        <f>VLOOKUP(TablaCalificaciones[[#This Row],[Apertura: problema y objetivo ]],PESOS!A$16:B$20,2,0)</f>
        <v>20</v>
      </c>
      <c r="T225" s="1"/>
      <c r="U225" s="1" t="s">
        <v>44</v>
      </c>
      <c r="V225" s="22">
        <f>VLOOKUP(TablaCalificaciones[[#This Row],[Metodología (nivel adecuado)]],PESOS!A$16:B$20,2,0)</f>
        <v>20</v>
      </c>
      <c r="W225" s="1"/>
      <c r="X225" s="1" t="s">
        <v>50</v>
      </c>
      <c r="Y225" s="22">
        <f>VLOOKUP(TablaCalificaciones[[#This Row],[Resultados y evidencia ]],PESOS!A$16:B$20,2,0)</f>
        <v>16</v>
      </c>
      <c r="Z225" s="1"/>
      <c r="AA225" s="1" t="s">
        <v>45</v>
      </c>
      <c r="AB225" s="22">
        <f>VLOOKUP(TablaCalificaciones[[#This Row],[Coherencia y manejo del tiempo]],PESOS!A$25:B$29,2,0)</f>
        <v>10</v>
      </c>
      <c r="AC225" s="1"/>
      <c r="AD225" s="1" t="s">
        <v>51</v>
      </c>
      <c r="AE225" s="22">
        <f>VLOOKUP(TablaCalificaciones[[#This Row],[Diapositivas como apoyo]],PESOS!A$25:B$29,2,0)</f>
        <v>8</v>
      </c>
      <c r="AF225" s="1"/>
      <c r="AG225" s="1" t="s">
        <v>45</v>
      </c>
      <c r="AH225" s="22">
        <f>VLOOKUP(TablaCalificaciones[[#This Row],[Respuestas a preguntas]],PESOS!A$25:B$29,2,0)</f>
        <v>10</v>
      </c>
      <c r="AI225" s="1"/>
      <c r="AJ225" s="1" t="s">
        <v>45</v>
      </c>
      <c r="AK225" s="22">
        <f>VLOOKUP(TablaCalificaciones[[#This Row],[Cierre: aporte a próximos pasos]],PESOS!A$25:B$29,2,0)</f>
        <v>10</v>
      </c>
      <c r="AL225" s="1"/>
      <c r="AM225" s="1"/>
    </row>
    <row r="226" spans="1:39">
      <c r="A226">
        <v>226</v>
      </c>
      <c r="B226" s="2">
        <v>46134.415879629603</v>
      </c>
      <c r="C226" s="2">
        <v>46134.456886574102</v>
      </c>
      <c r="D226" s="1" t="s">
        <v>59</v>
      </c>
      <c r="E226" s="1" t="s">
        <v>60</v>
      </c>
      <c r="G226" s="1"/>
      <c r="H226" s="2"/>
      <c r="I226" s="1" t="s">
        <v>68</v>
      </c>
      <c r="K226" s="1"/>
      <c r="L226" s="1" t="s">
        <v>60</v>
      </c>
      <c r="M226" s="26" t="str">
        <f>CONCATENATE(TablaCalificaciones[[#This Row],[Seleccione su nombre (Evaluador)]],TablaCalificaciones[[#This Row],[Seleccione el nombre del Estudiante]])</f>
        <v>Santiago Leonardo SolórzanoUsiña Esteban Wladimir</v>
      </c>
      <c r="N226" s="1"/>
      <c r="O226" s="1" t="s">
        <v>193</v>
      </c>
      <c r="Q226" s="1"/>
      <c r="R226" s="1" t="s">
        <v>44</v>
      </c>
      <c r="S226" s="22">
        <f>VLOOKUP(TablaCalificaciones[[#This Row],[Apertura: problema y objetivo ]],PESOS!A$16:B$20,2,0)</f>
        <v>20</v>
      </c>
      <c r="T226" s="1"/>
      <c r="U226" s="1" t="s">
        <v>44</v>
      </c>
      <c r="V226" s="22">
        <f>VLOOKUP(TablaCalificaciones[[#This Row],[Metodología (nivel adecuado)]],PESOS!A$16:B$20,2,0)</f>
        <v>20</v>
      </c>
      <c r="W226" s="1"/>
      <c r="X226" s="1" t="s">
        <v>50</v>
      </c>
      <c r="Y226" s="22">
        <f>VLOOKUP(TablaCalificaciones[[#This Row],[Resultados y evidencia ]],PESOS!A$16:B$20,2,0)</f>
        <v>16</v>
      </c>
      <c r="Z226" s="1"/>
      <c r="AA226" s="1" t="s">
        <v>45</v>
      </c>
      <c r="AB226" s="22">
        <f>VLOOKUP(TablaCalificaciones[[#This Row],[Coherencia y manejo del tiempo]],PESOS!A$25:B$29,2,0)</f>
        <v>10</v>
      </c>
      <c r="AC226" s="1"/>
      <c r="AD226" s="1" t="s">
        <v>51</v>
      </c>
      <c r="AE226" s="22">
        <f>VLOOKUP(TablaCalificaciones[[#This Row],[Diapositivas como apoyo]],PESOS!A$25:B$29,2,0)</f>
        <v>8</v>
      </c>
      <c r="AF226" s="1"/>
      <c r="AG226" s="1" t="s">
        <v>45</v>
      </c>
      <c r="AH226" s="22">
        <f>VLOOKUP(TablaCalificaciones[[#This Row],[Respuestas a preguntas]],PESOS!A$25:B$29,2,0)</f>
        <v>10</v>
      </c>
      <c r="AI226" s="1"/>
      <c r="AJ226" s="1" t="s">
        <v>45</v>
      </c>
      <c r="AK226" s="22">
        <f>VLOOKUP(TablaCalificaciones[[#This Row],[Cierre: aporte a próximos pasos]],PESOS!A$25:B$29,2,0)</f>
        <v>10</v>
      </c>
      <c r="AL226" s="1"/>
      <c r="AM226" s="1"/>
    </row>
    <row r="227" spans="1:39">
      <c r="A227">
        <v>227</v>
      </c>
      <c r="B227" s="2">
        <v>46134.456666666701</v>
      </c>
      <c r="C227" s="2">
        <v>46134.457141203697</v>
      </c>
      <c r="D227" s="1" t="s">
        <v>54</v>
      </c>
      <c r="E227" s="1" t="s">
        <v>55</v>
      </c>
      <c r="G227" s="1"/>
      <c r="H227" s="2"/>
      <c r="I227" s="1" t="s">
        <v>68</v>
      </c>
      <c r="K227" s="1"/>
      <c r="L227" s="1" t="s">
        <v>56</v>
      </c>
      <c r="M227" s="26" t="str">
        <f>CONCATENATE(TablaCalificaciones[[#This Row],[Seleccione su nombre (Evaluador)]],TablaCalificaciones[[#This Row],[Seleccione el nombre del Estudiante]])</f>
        <v>Marco Antonio Galarza CastilloPulupa Quishpe Francisco Miguel</v>
      </c>
      <c r="N227" s="1"/>
      <c r="O227" s="1" t="s">
        <v>188</v>
      </c>
      <c r="Q227" s="1"/>
      <c r="R227" s="1" t="s">
        <v>44</v>
      </c>
      <c r="S227" s="22">
        <f>VLOOKUP(TablaCalificaciones[[#This Row],[Apertura: problema y objetivo ]],PESOS!A$16:B$20,2,0)</f>
        <v>20</v>
      </c>
      <c r="T227" s="1"/>
      <c r="U227" s="1" t="s">
        <v>44</v>
      </c>
      <c r="V227" s="22">
        <f>VLOOKUP(TablaCalificaciones[[#This Row],[Metodología (nivel adecuado)]],PESOS!A$16:B$20,2,0)</f>
        <v>20</v>
      </c>
      <c r="W227" s="1"/>
      <c r="X227" s="1" t="s">
        <v>44</v>
      </c>
      <c r="Y227" s="22">
        <f>VLOOKUP(TablaCalificaciones[[#This Row],[Resultados y evidencia ]],PESOS!A$16:B$20,2,0)</f>
        <v>20</v>
      </c>
      <c r="Z227" s="1"/>
      <c r="AA227" s="1" t="s">
        <v>51</v>
      </c>
      <c r="AB227" s="22">
        <f>VLOOKUP(TablaCalificaciones[[#This Row],[Coherencia y manejo del tiempo]],PESOS!A$25:B$29,2,0)</f>
        <v>8</v>
      </c>
      <c r="AC227" s="1"/>
      <c r="AD227" s="1" t="s">
        <v>45</v>
      </c>
      <c r="AE227" s="22">
        <f>VLOOKUP(TablaCalificaciones[[#This Row],[Diapositivas como apoyo]],PESOS!A$25:B$29,2,0)</f>
        <v>10</v>
      </c>
      <c r="AF227" s="1"/>
      <c r="AG227" s="1" t="s">
        <v>45</v>
      </c>
      <c r="AH227" s="22">
        <f>VLOOKUP(TablaCalificaciones[[#This Row],[Respuestas a preguntas]],PESOS!A$25:B$29,2,0)</f>
        <v>10</v>
      </c>
      <c r="AI227" s="1"/>
      <c r="AJ227" s="1" t="s">
        <v>45</v>
      </c>
      <c r="AK227" s="22">
        <f>VLOOKUP(TablaCalificaciones[[#This Row],[Cierre: aporte a próximos pasos]],PESOS!A$25:B$29,2,0)</f>
        <v>10</v>
      </c>
      <c r="AL227" s="1"/>
      <c r="AM227" s="1"/>
    </row>
    <row r="228" spans="1:39">
      <c r="A228">
        <v>228</v>
      </c>
      <c r="B228" s="2">
        <v>46134.457557870403</v>
      </c>
      <c r="C228" s="2">
        <v>46134.457893518498</v>
      </c>
      <c r="D228" s="1" t="s">
        <v>87</v>
      </c>
      <c r="E228" s="1" t="s">
        <v>88</v>
      </c>
      <c r="G228" s="1"/>
      <c r="H228" s="2"/>
      <c r="I228" s="1" t="s">
        <v>68</v>
      </c>
      <c r="K228" s="1"/>
      <c r="L228" s="1" t="s">
        <v>88</v>
      </c>
      <c r="M228" s="26" t="str">
        <f>CONCATENATE(TablaCalificaciones[[#This Row],[Seleccione su nombre (Evaluador)]],TablaCalificaciones[[#This Row],[Seleccione el nombre del Estudiante]])</f>
        <v>Ana María Pazmiño DelgadoCastro Suasnavas Diego Fernando</v>
      </c>
      <c r="N228" s="1"/>
      <c r="O228" s="1" t="s">
        <v>189</v>
      </c>
      <c r="Q228" s="1"/>
      <c r="R228" s="1" t="s">
        <v>44</v>
      </c>
      <c r="S228" s="22">
        <f>VLOOKUP(TablaCalificaciones[[#This Row],[Apertura: problema y objetivo ]],PESOS!A$16:B$20,2,0)</f>
        <v>20</v>
      </c>
      <c r="T228" s="1"/>
      <c r="U228" s="1" t="s">
        <v>44</v>
      </c>
      <c r="V228" s="22">
        <f>VLOOKUP(TablaCalificaciones[[#This Row],[Metodología (nivel adecuado)]],PESOS!A$16:B$20,2,0)</f>
        <v>20</v>
      </c>
      <c r="W228" s="1"/>
      <c r="X228" s="1" t="s">
        <v>44</v>
      </c>
      <c r="Y228" s="22">
        <f>VLOOKUP(TablaCalificaciones[[#This Row],[Resultados y evidencia ]],PESOS!A$16:B$20,2,0)</f>
        <v>20</v>
      </c>
      <c r="Z228" s="1"/>
      <c r="AA228" s="1" t="s">
        <v>45</v>
      </c>
      <c r="AB228" s="22">
        <f>VLOOKUP(TablaCalificaciones[[#This Row],[Coherencia y manejo del tiempo]],PESOS!A$25:B$29,2,0)</f>
        <v>10</v>
      </c>
      <c r="AC228" s="1"/>
      <c r="AD228" s="1" t="s">
        <v>45</v>
      </c>
      <c r="AE228" s="22">
        <f>VLOOKUP(TablaCalificaciones[[#This Row],[Diapositivas como apoyo]],PESOS!A$25:B$29,2,0)</f>
        <v>10</v>
      </c>
      <c r="AF228" s="1"/>
      <c r="AG228" s="1" t="s">
        <v>45</v>
      </c>
      <c r="AH228" s="22">
        <f>VLOOKUP(TablaCalificaciones[[#This Row],[Respuestas a preguntas]],PESOS!A$25:B$29,2,0)</f>
        <v>10</v>
      </c>
      <c r="AI228" s="1"/>
      <c r="AJ228" s="1" t="s">
        <v>45</v>
      </c>
      <c r="AK228" s="22">
        <f>VLOOKUP(TablaCalificaciones[[#This Row],[Cierre: aporte a próximos pasos]],PESOS!A$25:B$29,2,0)</f>
        <v>10</v>
      </c>
      <c r="AL228" s="1"/>
      <c r="AM228" s="1"/>
    </row>
    <row r="229" spans="1:39">
      <c r="A229">
        <v>229</v>
      </c>
      <c r="B229" s="2">
        <v>46134.419247685197</v>
      </c>
      <c r="C229" s="2">
        <v>46134.458310185197</v>
      </c>
      <c r="D229" s="1" t="s">
        <v>194</v>
      </c>
      <c r="E229" s="1" t="s">
        <v>195</v>
      </c>
      <c r="G229" s="1"/>
      <c r="H229" s="2"/>
      <c r="I229" s="1" t="s">
        <v>68</v>
      </c>
      <c r="K229" s="1"/>
      <c r="L229" s="1" t="s">
        <v>195</v>
      </c>
      <c r="M229" s="26" t="str">
        <f>CONCATENATE(TablaCalificaciones[[#This Row],[Seleccione su nombre (Evaluador)]],TablaCalificaciones[[#This Row],[Seleccione el nombre del Estudiante]])</f>
        <v>Aracely Ines Yandun TorresPulupa Quishpe Francisco Miguel</v>
      </c>
      <c r="N229" s="1"/>
      <c r="O229" s="1" t="s">
        <v>188</v>
      </c>
      <c r="Q229" s="1"/>
      <c r="R229" s="1" t="s">
        <v>44</v>
      </c>
      <c r="S229" s="22">
        <f>VLOOKUP(TablaCalificaciones[[#This Row],[Apertura: problema y objetivo ]],PESOS!A$16:B$20,2,0)</f>
        <v>20</v>
      </c>
      <c r="T229" s="1"/>
      <c r="U229" s="1" t="s">
        <v>50</v>
      </c>
      <c r="V229" s="22">
        <f>VLOOKUP(TablaCalificaciones[[#This Row],[Metodología (nivel adecuado)]],PESOS!A$16:B$20,2,0)</f>
        <v>16</v>
      </c>
      <c r="W229" s="1"/>
      <c r="X229" s="1" t="s">
        <v>44</v>
      </c>
      <c r="Y229" s="22">
        <f>VLOOKUP(TablaCalificaciones[[#This Row],[Resultados y evidencia ]],PESOS!A$16:B$20,2,0)</f>
        <v>20</v>
      </c>
      <c r="Z229" s="1"/>
      <c r="AA229" s="1" t="s">
        <v>45</v>
      </c>
      <c r="AB229" s="22">
        <f>VLOOKUP(TablaCalificaciones[[#This Row],[Coherencia y manejo del tiempo]],PESOS!A$25:B$29,2,0)</f>
        <v>10</v>
      </c>
      <c r="AC229" s="1"/>
      <c r="AD229" s="1" t="s">
        <v>45</v>
      </c>
      <c r="AE229" s="22">
        <f>VLOOKUP(TablaCalificaciones[[#This Row],[Diapositivas como apoyo]],PESOS!A$25:B$29,2,0)</f>
        <v>10</v>
      </c>
      <c r="AF229" s="1"/>
      <c r="AG229" s="1" t="s">
        <v>45</v>
      </c>
      <c r="AH229" s="22">
        <f>VLOOKUP(TablaCalificaciones[[#This Row],[Respuestas a preguntas]],PESOS!A$25:B$29,2,0)</f>
        <v>10</v>
      </c>
      <c r="AI229" s="1"/>
      <c r="AJ229" s="1" t="s">
        <v>51</v>
      </c>
      <c r="AK229" s="22">
        <f>VLOOKUP(TablaCalificaciones[[#This Row],[Cierre: aporte a próximos pasos]],PESOS!A$25:B$29,2,0)</f>
        <v>8</v>
      </c>
      <c r="AL229" s="1"/>
      <c r="AM229" s="1"/>
    </row>
    <row r="230" spans="1:39">
      <c r="A230">
        <v>230</v>
      </c>
      <c r="B230" s="2">
        <v>46134.457951388897</v>
      </c>
      <c r="C230" s="2">
        <v>46134.458425925899</v>
      </c>
      <c r="D230" s="1" t="s">
        <v>87</v>
      </c>
      <c r="E230" s="1" t="s">
        <v>88</v>
      </c>
      <c r="G230" s="1"/>
      <c r="H230" s="2"/>
      <c r="I230" s="1" t="s">
        <v>68</v>
      </c>
      <c r="K230" s="1"/>
      <c r="L230" s="1" t="s">
        <v>88</v>
      </c>
      <c r="M230" s="26" t="str">
        <f>CONCATENATE(TablaCalificaciones[[#This Row],[Seleccione su nombre (Evaluador)]],TablaCalificaciones[[#This Row],[Seleccione el nombre del Estudiante]])</f>
        <v>Ana María Pazmiño DelgadoFlores Garzón Edwin Patricio</v>
      </c>
      <c r="N230" s="1"/>
      <c r="O230" s="1" t="s">
        <v>191</v>
      </c>
      <c r="Q230" s="1"/>
      <c r="R230" s="1" t="s">
        <v>44</v>
      </c>
      <c r="S230" s="22">
        <f>VLOOKUP(TablaCalificaciones[[#This Row],[Apertura: problema y objetivo ]],PESOS!A$16:B$20,2,0)</f>
        <v>20</v>
      </c>
      <c r="T230" s="1"/>
      <c r="U230" s="1" t="s">
        <v>44</v>
      </c>
      <c r="V230" s="22">
        <f>VLOOKUP(TablaCalificaciones[[#This Row],[Metodología (nivel adecuado)]],PESOS!A$16:B$20,2,0)</f>
        <v>20</v>
      </c>
      <c r="W230" s="1"/>
      <c r="X230" s="1" t="s">
        <v>44</v>
      </c>
      <c r="Y230" s="22">
        <f>VLOOKUP(TablaCalificaciones[[#This Row],[Resultados y evidencia ]],PESOS!A$16:B$20,2,0)</f>
        <v>20</v>
      </c>
      <c r="Z230" s="1"/>
      <c r="AA230" s="1" t="s">
        <v>45</v>
      </c>
      <c r="AB230" s="22">
        <f>VLOOKUP(TablaCalificaciones[[#This Row],[Coherencia y manejo del tiempo]],PESOS!A$25:B$29,2,0)</f>
        <v>10</v>
      </c>
      <c r="AC230" s="1"/>
      <c r="AD230" s="1" t="s">
        <v>45</v>
      </c>
      <c r="AE230" s="22">
        <f>VLOOKUP(TablaCalificaciones[[#This Row],[Diapositivas como apoyo]],PESOS!A$25:B$29,2,0)</f>
        <v>10</v>
      </c>
      <c r="AF230" s="1"/>
      <c r="AG230" s="1" t="s">
        <v>45</v>
      </c>
      <c r="AH230" s="22">
        <f>VLOOKUP(TablaCalificaciones[[#This Row],[Respuestas a preguntas]],PESOS!A$25:B$29,2,0)</f>
        <v>10</v>
      </c>
      <c r="AI230" s="1"/>
      <c r="AJ230" s="1" t="s">
        <v>45</v>
      </c>
      <c r="AK230" s="22">
        <f>VLOOKUP(TablaCalificaciones[[#This Row],[Cierre: aporte a próximos pasos]],PESOS!A$25:B$29,2,0)</f>
        <v>10</v>
      </c>
      <c r="AL230" s="1"/>
      <c r="AM230" s="1"/>
    </row>
    <row r="231" spans="1:39">
      <c r="A231">
        <v>231</v>
      </c>
      <c r="B231" s="2">
        <v>46134.458321759303</v>
      </c>
      <c r="C231" s="2">
        <v>46134.4590046296</v>
      </c>
      <c r="D231" s="1" t="s">
        <v>194</v>
      </c>
      <c r="E231" s="1" t="s">
        <v>195</v>
      </c>
      <c r="G231" s="1"/>
      <c r="H231" s="2"/>
      <c r="I231" s="1" t="s">
        <v>68</v>
      </c>
      <c r="K231" s="1"/>
      <c r="L231" s="1" t="s">
        <v>195</v>
      </c>
      <c r="M231" s="26" t="str">
        <f>CONCATENATE(TablaCalificaciones[[#This Row],[Seleccione su nombre (Evaluador)]],TablaCalificaciones[[#This Row],[Seleccione el nombre del Estudiante]])</f>
        <v>Aracely Ines Yandun TorresFlores Garzón Edwin Patricio</v>
      </c>
      <c r="N231" s="1"/>
      <c r="O231" s="1" t="s">
        <v>191</v>
      </c>
      <c r="Q231" s="1"/>
      <c r="R231" s="1" t="s">
        <v>44</v>
      </c>
      <c r="S231" s="22">
        <f>VLOOKUP(TablaCalificaciones[[#This Row],[Apertura: problema y objetivo ]],PESOS!A$16:B$20,2,0)</f>
        <v>20</v>
      </c>
      <c r="T231" s="1"/>
      <c r="U231" s="1" t="s">
        <v>50</v>
      </c>
      <c r="V231" s="22">
        <f>VLOOKUP(TablaCalificaciones[[#This Row],[Metodología (nivel adecuado)]],PESOS!A$16:B$20,2,0)</f>
        <v>16</v>
      </c>
      <c r="W231" s="1"/>
      <c r="X231" s="1" t="s">
        <v>44</v>
      </c>
      <c r="Y231" s="22">
        <f>VLOOKUP(TablaCalificaciones[[#This Row],[Resultados y evidencia ]],PESOS!A$16:B$20,2,0)</f>
        <v>20</v>
      </c>
      <c r="Z231" s="1"/>
      <c r="AA231" s="1" t="s">
        <v>45</v>
      </c>
      <c r="AB231" s="22">
        <f>VLOOKUP(TablaCalificaciones[[#This Row],[Coherencia y manejo del tiempo]],PESOS!A$25:B$29,2,0)</f>
        <v>10</v>
      </c>
      <c r="AC231" s="1"/>
      <c r="AD231" s="1" t="s">
        <v>45</v>
      </c>
      <c r="AE231" s="22">
        <f>VLOOKUP(TablaCalificaciones[[#This Row],[Diapositivas como apoyo]],PESOS!A$25:B$29,2,0)</f>
        <v>10</v>
      </c>
      <c r="AF231" s="1"/>
      <c r="AG231" s="1" t="s">
        <v>45</v>
      </c>
      <c r="AH231" s="22">
        <f>VLOOKUP(TablaCalificaciones[[#This Row],[Respuestas a preguntas]],PESOS!A$25:B$29,2,0)</f>
        <v>10</v>
      </c>
      <c r="AI231" s="1"/>
      <c r="AJ231" s="1" t="s">
        <v>51</v>
      </c>
      <c r="AK231" s="22">
        <f>VLOOKUP(TablaCalificaciones[[#This Row],[Cierre: aporte a próximos pasos]],PESOS!A$25:B$29,2,0)</f>
        <v>8</v>
      </c>
      <c r="AL231" s="1"/>
      <c r="AM231" s="1"/>
    </row>
    <row r="232" spans="1:39">
      <c r="A232">
        <v>232</v>
      </c>
      <c r="B232" s="2">
        <v>46134.459027777797</v>
      </c>
      <c r="C232" s="2">
        <v>46134.460115740701</v>
      </c>
      <c r="D232" s="1" t="s">
        <v>194</v>
      </c>
      <c r="E232" s="1" t="s">
        <v>195</v>
      </c>
      <c r="G232" s="1"/>
      <c r="H232" s="2"/>
      <c r="I232" s="1" t="s">
        <v>68</v>
      </c>
      <c r="K232" s="1"/>
      <c r="L232" s="1" t="s">
        <v>195</v>
      </c>
      <c r="M232" s="26" t="str">
        <f>CONCATENATE(TablaCalificaciones[[#This Row],[Seleccione su nombre (Evaluador)]],TablaCalificaciones[[#This Row],[Seleccione el nombre del Estudiante]])</f>
        <v>Aracely Ines Yandun TorresCastro Suasnavas Diego Fernando</v>
      </c>
      <c r="N232" s="1"/>
      <c r="O232" s="1" t="s">
        <v>189</v>
      </c>
      <c r="Q232" s="1"/>
      <c r="R232" s="1" t="s">
        <v>44</v>
      </c>
      <c r="S232" s="22">
        <f>VLOOKUP(TablaCalificaciones[[#This Row],[Apertura: problema y objetivo ]],PESOS!A$16:B$20,2,0)</f>
        <v>20</v>
      </c>
      <c r="T232" s="1"/>
      <c r="U232" s="1" t="s">
        <v>50</v>
      </c>
      <c r="V232" s="22">
        <f>VLOOKUP(TablaCalificaciones[[#This Row],[Metodología (nivel adecuado)]],PESOS!A$16:B$20,2,0)</f>
        <v>16</v>
      </c>
      <c r="W232" s="1"/>
      <c r="X232" s="1" t="s">
        <v>44</v>
      </c>
      <c r="Y232" s="22">
        <f>VLOOKUP(TablaCalificaciones[[#This Row],[Resultados y evidencia ]],PESOS!A$16:B$20,2,0)</f>
        <v>20</v>
      </c>
      <c r="Z232" s="1"/>
      <c r="AA232" s="1" t="s">
        <v>45</v>
      </c>
      <c r="AB232" s="22">
        <f>VLOOKUP(TablaCalificaciones[[#This Row],[Coherencia y manejo del tiempo]],PESOS!A$25:B$29,2,0)</f>
        <v>10</v>
      </c>
      <c r="AC232" s="1"/>
      <c r="AD232" s="1" t="s">
        <v>45</v>
      </c>
      <c r="AE232" s="22">
        <f>VLOOKUP(TablaCalificaciones[[#This Row],[Diapositivas como apoyo]],PESOS!A$25:B$29,2,0)</f>
        <v>10</v>
      </c>
      <c r="AF232" s="1"/>
      <c r="AG232" s="1" t="s">
        <v>45</v>
      </c>
      <c r="AH232" s="22">
        <f>VLOOKUP(TablaCalificaciones[[#This Row],[Respuestas a preguntas]],PESOS!A$25:B$29,2,0)</f>
        <v>10</v>
      </c>
      <c r="AI232" s="1"/>
      <c r="AJ232" s="1" t="s">
        <v>51</v>
      </c>
      <c r="AK232" s="22">
        <f>VLOOKUP(TablaCalificaciones[[#This Row],[Cierre: aporte a próximos pasos]],PESOS!A$25:B$29,2,0)</f>
        <v>8</v>
      </c>
      <c r="AL232" s="1"/>
      <c r="AM232" s="1"/>
    </row>
    <row r="233" spans="1:39">
      <c r="A233">
        <v>233</v>
      </c>
      <c r="B233" s="2">
        <v>46134.469120370399</v>
      </c>
      <c r="C233" s="2">
        <v>46134.469988425903</v>
      </c>
      <c r="D233" s="1" t="s">
        <v>87</v>
      </c>
      <c r="E233" s="1" t="s">
        <v>88</v>
      </c>
      <c r="G233" s="1"/>
      <c r="H233" s="2"/>
      <c r="I233" s="1" t="s">
        <v>68</v>
      </c>
      <c r="K233" s="1"/>
      <c r="L233" s="1" t="s">
        <v>88</v>
      </c>
      <c r="M233" s="26" t="str">
        <f>CONCATENATE(TablaCalificaciones[[#This Row],[Seleccione su nombre (Evaluador)]],TablaCalificaciones[[#This Row],[Seleccione el nombre del Estudiante]])</f>
        <v>Ana María Pazmiño DelgadoSuárez Minchala Lizbeth Alejandra</v>
      </c>
      <c r="N233" s="1"/>
      <c r="O233" s="1" t="s">
        <v>196</v>
      </c>
      <c r="Q233" s="1"/>
      <c r="R233" s="1" t="s">
        <v>44</v>
      </c>
      <c r="S233" s="22">
        <f>VLOOKUP(TablaCalificaciones[[#This Row],[Apertura: problema y objetivo ]],PESOS!A$16:B$20,2,0)</f>
        <v>20</v>
      </c>
      <c r="T233" s="1"/>
      <c r="U233" s="1" t="s">
        <v>44</v>
      </c>
      <c r="V233" s="22">
        <f>VLOOKUP(TablaCalificaciones[[#This Row],[Metodología (nivel adecuado)]],PESOS!A$16:B$20,2,0)</f>
        <v>20</v>
      </c>
      <c r="W233" s="1"/>
      <c r="X233" s="1" t="s">
        <v>44</v>
      </c>
      <c r="Y233" s="22">
        <f>VLOOKUP(TablaCalificaciones[[#This Row],[Resultados y evidencia ]],PESOS!A$16:B$20,2,0)</f>
        <v>20</v>
      </c>
      <c r="Z233" s="1"/>
      <c r="AA233" s="1" t="s">
        <v>45</v>
      </c>
      <c r="AB233" s="22">
        <f>VLOOKUP(TablaCalificaciones[[#This Row],[Coherencia y manejo del tiempo]],PESOS!A$25:B$29,2,0)</f>
        <v>10</v>
      </c>
      <c r="AC233" s="1"/>
      <c r="AD233" s="1" t="s">
        <v>45</v>
      </c>
      <c r="AE233" s="22">
        <f>VLOOKUP(TablaCalificaciones[[#This Row],[Diapositivas como apoyo]],PESOS!A$25:B$29,2,0)</f>
        <v>10</v>
      </c>
      <c r="AF233" s="1"/>
      <c r="AG233" s="1" t="s">
        <v>51</v>
      </c>
      <c r="AH233" s="22">
        <f>VLOOKUP(TablaCalificaciones[[#This Row],[Respuestas a preguntas]],PESOS!A$25:B$29,2,0)</f>
        <v>8</v>
      </c>
      <c r="AI233" s="1"/>
      <c r="AJ233" s="1" t="s">
        <v>45</v>
      </c>
      <c r="AK233" s="22">
        <f>VLOOKUP(TablaCalificaciones[[#This Row],[Cierre: aporte a próximos pasos]],PESOS!A$25:B$29,2,0)</f>
        <v>10</v>
      </c>
      <c r="AL233" s="1"/>
      <c r="AM233" s="1"/>
    </row>
    <row r="234" spans="1:39">
      <c r="A234">
        <v>234</v>
      </c>
      <c r="B234" s="2">
        <v>46134.470034722202</v>
      </c>
      <c r="C234" s="2">
        <v>46134.470428240696</v>
      </c>
      <c r="D234" s="1" t="s">
        <v>87</v>
      </c>
      <c r="E234" s="1" t="s">
        <v>88</v>
      </c>
      <c r="G234" s="1"/>
      <c r="H234" s="2"/>
      <c r="I234" s="1" t="s">
        <v>68</v>
      </c>
      <c r="K234" s="1"/>
      <c r="L234" s="1" t="s">
        <v>88</v>
      </c>
      <c r="M234" s="26" t="str">
        <f>CONCATENATE(TablaCalificaciones[[#This Row],[Seleccione su nombre (Evaluador)]],TablaCalificaciones[[#This Row],[Seleccione el nombre del Estudiante]])</f>
        <v>Ana María Pazmiño DelgadoVaca Condor Edwin Alexis</v>
      </c>
      <c r="N234" s="1"/>
      <c r="O234" s="1" t="s">
        <v>197</v>
      </c>
      <c r="Q234" s="1"/>
      <c r="R234" s="1" t="s">
        <v>44</v>
      </c>
      <c r="S234" s="22">
        <f>VLOOKUP(TablaCalificaciones[[#This Row],[Apertura: problema y objetivo ]],PESOS!A$16:B$20,2,0)</f>
        <v>20</v>
      </c>
      <c r="T234" s="1"/>
      <c r="U234" s="1" t="s">
        <v>44</v>
      </c>
      <c r="V234" s="22">
        <f>VLOOKUP(TablaCalificaciones[[#This Row],[Metodología (nivel adecuado)]],PESOS!A$16:B$20,2,0)</f>
        <v>20</v>
      </c>
      <c r="W234" s="1"/>
      <c r="X234" s="1" t="s">
        <v>44</v>
      </c>
      <c r="Y234" s="22">
        <f>VLOOKUP(TablaCalificaciones[[#This Row],[Resultados y evidencia ]],PESOS!A$16:B$20,2,0)</f>
        <v>20</v>
      </c>
      <c r="Z234" s="1"/>
      <c r="AA234" s="1" t="s">
        <v>45</v>
      </c>
      <c r="AB234" s="22">
        <f>VLOOKUP(TablaCalificaciones[[#This Row],[Coherencia y manejo del tiempo]],PESOS!A$25:B$29,2,0)</f>
        <v>10</v>
      </c>
      <c r="AC234" s="1"/>
      <c r="AD234" s="1" t="s">
        <v>45</v>
      </c>
      <c r="AE234" s="22">
        <f>VLOOKUP(TablaCalificaciones[[#This Row],[Diapositivas como apoyo]],PESOS!A$25:B$29,2,0)</f>
        <v>10</v>
      </c>
      <c r="AF234" s="1"/>
      <c r="AG234" s="1" t="s">
        <v>45</v>
      </c>
      <c r="AH234" s="22">
        <f>VLOOKUP(TablaCalificaciones[[#This Row],[Respuestas a preguntas]],PESOS!A$25:B$29,2,0)</f>
        <v>10</v>
      </c>
      <c r="AI234" s="1"/>
      <c r="AJ234" s="1" t="s">
        <v>45</v>
      </c>
      <c r="AK234" s="22">
        <f>VLOOKUP(TablaCalificaciones[[#This Row],[Cierre: aporte a próximos pasos]],PESOS!A$25:B$29,2,0)</f>
        <v>10</v>
      </c>
      <c r="AL234" s="1"/>
      <c r="AM234" s="1"/>
    </row>
    <row r="235" spans="1:39">
      <c r="A235">
        <v>235</v>
      </c>
      <c r="B235" s="2">
        <v>46134.4588194444</v>
      </c>
      <c r="C235" s="2">
        <v>46134.476168981499</v>
      </c>
      <c r="D235" s="1" t="s">
        <v>59</v>
      </c>
      <c r="E235" s="1" t="s">
        <v>60</v>
      </c>
      <c r="G235" s="1"/>
      <c r="H235" s="2"/>
      <c r="I235" s="1" t="s">
        <v>68</v>
      </c>
      <c r="K235" s="1"/>
      <c r="L235" s="1" t="s">
        <v>60</v>
      </c>
      <c r="M235" s="26" t="str">
        <f>CONCATENATE(TablaCalificaciones[[#This Row],[Seleccione su nombre (Evaluador)]],TablaCalificaciones[[#This Row],[Seleccione el nombre del Estudiante]])</f>
        <v>Santiago Leonardo SolórzanoCaizaluisa Cruz Héctor Rodrigo</v>
      </c>
      <c r="N235" s="1"/>
      <c r="O235" s="1" t="s">
        <v>198</v>
      </c>
      <c r="Q235" s="1"/>
      <c r="R235" s="1" t="s">
        <v>44</v>
      </c>
      <c r="S235" s="22">
        <f>VLOOKUP(TablaCalificaciones[[#This Row],[Apertura: problema y objetivo ]],PESOS!A$16:B$20,2,0)</f>
        <v>20</v>
      </c>
      <c r="T235" s="1"/>
      <c r="U235" s="1" t="s">
        <v>44</v>
      </c>
      <c r="V235" s="22">
        <f>VLOOKUP(TablaCalificaciones[[#This Row],[Metodología (nivel adecuado)]],PESOS!A$16:B$20,2,0)</f>
        <v>20</v>
      </c>
      <c r="W235" s="1"/>
      <c r="X235" s="1" t="s">
        <v>44</v>
      </c>
      <c r="Y235" s="22">
        <f>VLOOKUP(TablaCalificaciones[[#This Row],[Resultados y evidencia ]],PESOS!A$16:B$20,2,0)</f>
        <v>20</v>
      </c>
      <c r="Z235" s="1"/>
      <c r="AA235" s="1" t="s">
        <v>45</v>
      </c>
      <c r="AB235" s="22">
        <f>VLOOKUP(TablaCalificaciones[[#This Row],[Coherencia y manejo del tiempo]],PESOS!A$25:B$29,2,0)</f>
        <v>10</v>
      </c>
      <c r="AC235" s="1"/>
      <c r="AD235" s="1" t="s">
        <v>51</v>
      </c>
      <c r="AE235" s="22">
        <f>VLOOKUP(TablaCalificaciones[[#This Row],[Diapositivas como apoyo]],PESOS!A$25:B$29,2,0)</f>
        <v>8</v>
      </c>
      <c r="AF235" s="1"/>
      <c r="AG235" s="1" t="s">
        <v>45</v>
      </c>
      <c r="AH235" s="22">
        <f>VLOOKUP(TablaCalificaciones[[#This Row],[Respuestas a preguntas]],PESOS!A$25:B$29,2,0)</f>
        <v>10</v>
      </c>
      <c r="AI235" s="1"/>
      <c r="AJ235" s="1" t="s">
        <v>45</v>
      </c>
      <c r="AK235" s="22">
        <f>VLOOKUP(TablaCalificaciones[[#This Row],[Cierre: aporte a próximos pasos]],PESOS!A$25:B$29,2,0)</f>
        <v>10</v>
      </c>
      <c r="AL235" s="1"/>
      <c r="AM235" s="1"/>
    </row>
    <row r="236" spans="1:39">
      <c r="A236">
        <v>236</v>
      </c>
      <c r="B236" s="2">
        <v>46134.458842592598</v>
      </c>
      <c r="C236" s="2">
        <v>46134.476226851897</v>
      </c>
      <c r="D236" s="1" t="s">
        <v>59</v>
      </c>
      <c r="E236" s="1" t="s">
        <v>60</v>
      </c>
      <c r="G236" s="1"/>
      <c r="H236" s="2"/>
      <c r="I236" s="1" t="s">
        <v>68</v>
      </c>
      <c r="K236" s="1"/>
      <c r="L236" s="1" t="s">
        <v>60</v>
      </c>
      <c r="M236" s="26" t="str">
        <f>CONCATENATE(TablaCalificaciones[[#This Row],[Seleccione su nombre (Evaluador)]],TablaCalificaciones[[#This Row],[Seleccione el nombre del Estudiante]])</f>
        <v>Santiago Leonardo SolórzanoMosquera Valenzuela Giovani David</v>
      </c>
      <c r="N236" s="1"/>
      <c r="O236" s="1" t="s">
        <v>199</v>
      </c>
      <c r="Q236" s="1"/>
      <c r="R236" s="1" t="s">
        <v>44</v>
      </c>
      <c r="S236" s="22">
        <f>VLOOKUP(TablaCalificaciones[[#This Row],[Apertura: problema y objetivo ]],PESOS!A$16:B$20,2,0)</f>
        <v>20</v>
      </c>
      <c r="T236" s="1"/>
      <c r="U236" s="1" t="s">
        <v>44</v>
      </c>
      <c r="V236" s="22">
        <f>VLOOKUP(TablaCalificaciones[[#This Row],[Metodología (nivel adecuado)]],PESOS!A$16:B$20,2,0)</f>
        <v>20</v>
      </c>
      <c r="W236" s="1"/>
      <c r="X236" s="1" t="s">
        <v>44</v>
      </c>
      <c r="Y236" s="22">
        <f>VLOOKUP(TablaCalificaciones[[#This Row],[Resultados y evidencia ]],PESOS!A$16:B$20,2,0)</f>
        <v>20</v>
      </c>
      <c r="Z236" s="1"/>
      <c r="AA236" s="1" t="s">
        <v>45</v>
      </c>
      <c r="AB236" s="22">
        <f>VLOOKUP(TablaCalificaciones[[#This Row],[Coherencia y manejo del tiempo]],PESOS!A$25:B$29,2,0)</f>
        <v>10</v>
      </c>
      <c r="AC236" s="1"/>
      <c r="AD236" s="1" t="s">
        <v>51</v>
      </c>
      <c r="AE236" s="22">
        <f>VLOOKUP(TablaCalificaciones[[#This Row],[Diapositivas como apoyo]],PESOS!A$25:B$29,2,0)</f>
        <v>8</v>
      </c>
      <c r="AF236" s="1"/>
      <c r="AG236" s="1" t="s">
        <v>45</v>
      </c>
      <c r="AH236" s="22">
        <f>VLOOKUP(TablaCalificaciones[[#This Row],[Respuestas a preguntas]],PESOS!A$25:B$29,2,0)</f>
        <v>10</v>
      </c>
      <c r="AI236" s="1"/>
      <c r="AJ236" s="1" t="s">
        <v>45</v>
      </c>
      <c r="AK236" s="22">
        <f>VLOOKUP(TablaCalificaciones[[#This Row],[Cierre: aporte a próximos pasos]],PESOS!A$25:B$29,2,0)</f>
        <v>10</v>
      </c>
      <c r="AL236" s="1"/>
      <c r="AM236" s="1"/>
    </row>
    <row r="237" spans="1:39">
      <c r="A237">
        <v>237</v>
      </c>
      <c r="B237" s="2">
        <v>46134.478159722203</v>
      </c>
      <c r="C237" s="2">
        <v>46134.478877314803</v>
      </c>
      <c r="D237" s="1" t="s">
        <v>116</v>
      </c>
      <c r="E237" s="1" t="s">
        <v>117</v>
      </c>
      <c r="G237" s="1"/>
      <c r="H237" s="2"/>
      <c r="I237" s="1" t="s">
        <v>68</v>
      </c>
      <c r="K237" s="1"/>
      <c r="L237" s="1" t="s">
        <v>117</v>
      </c>
      <c r="M237" s="26" t="str">
        <f>CONCATENATE(TablaCalificaciones[[#This Row],[Seleccione su nombre (Evaluador)]],TablaCalificaciones[[#This Row],[Seleccione el nombre del Estudiante]])</f>
        <v>Diego Xavier Gonzalez SegoviaVaca Condor Edwin Alexis</v>
      </c>
      <c r="N237" s="1"/>
      <c r="O237" s="1" t="s">
        <v>197</v>
      </c>
      <c r="Q237" s="1"/>
      <c r="R237" s="1" t="s">
        <v>44</v>
      </c>
      <c r="S237" s="22">
        <f>VLOOKUP(TablaCalificaciones[[#This Row],[Apertura: problema y objetivo ]],PESOS!A$16:B$20,2,0)</f>
        <v>20</v>
      </c>
      <c r="T237" s="1"/>
      <c r="U237" s="1" t="s">
        <v>44</v>
      </c>
      <c r="V237" s="22">
        <f>VLOOKUP(TablaCalificaciones[[#This Row],[Metodología (nivel adecuado)]],PESOS!A$16:B$20,2,0)</f>
        <v>20</v>
      </c>
      <c r="W237" s="1"/>
      <c r="X237" s="1" t="s">
        <v>50</v>
      </c>
      <c r="Y237" s="22">
        <f>VLOOKUP(TablaCalificaciones[[#This Row],[Resultados y evidencia ]],PESOS!A$16:B$20,2,0)</f>
        <v>16</v>
      </c>
      <c r="Z237" s="1"/>
      <c r="AA237" s="1" t="s">
        <v>45</v>
      </c>
      <c r="AB237" s="22">
        <f>VLOOKUP(TablaCalificaciones[[#This Row],[Coherencia y manejo del tiempo]],PESOS!A$25:B$29,2,0)</f>
        <v>10</v>
      </c>
      <c r="AC237" s="1"/>
      <c r="AD237" s="1" t="s">
        <v>45</v>
      </c>
      <c r="AE237" s="22">
        <f>VLOOKUP(TablaCalificaciones[[#This Row],[Diapositivas como apoyo]],PESOS!A$25:B$29,2,0)</f>
        <v>10</v>
      </c>
      <c r="AF237" s="1"/>
      <c r="AG237" s="1" t="s">
        <v>51</v>
      </c>
      <c r="AH237" s="22">
        <f>VLOOKUP(TablaCalificaciones[[#This Row],[Respuestas a preguntas]],PESOS!A$25:B$29,2,0)</f>
        <v>8</v>
      </c>
      <c r="AI237" s="1"/>
      <c r="AJ237" s="1" t="s">
        <v>51</v>
      </c>
      <c r="AK237" s="22">
        <f>VLOOKUP(TablaCalificaciones[[#This Row],[Cierre: aporte a próximos pasos]],PESOS!A$25:B$29,2,0)</f>
        <v>8</v>
      </c>
      <c r="AL237" s="1"/>
      <c r="AM237" s="1"/>
    </row>
    <row r="238" spans="1:39">
      <c r="A238">
        <v>238</v>
      </c>
      <c r="B238" s="2">
        <v>46134.462997685201</v>
      </c>
      <c r="C238" s="2">
        <v>46134.479236111103</v>
      </c>
      <c r="D238" s="1" t="s">
        <v>163</v>
      </c>
      <c r="E238" s="1" t="s">
        <v>164</v>
      </c>
      <c r="G238" s="1"/>
      <c r="H238" s="2"/>
      <c r="I238" s="1" t="s">
        <v>68</v>
      </c>
      <c r="K238" s="1"/>
      <c r="L238" s="1" t="s">
        <v>164</v>
      </c>
      <c r="M238" s="26" t="str">
        <f>CONCATENATE(TablaCalificaciones[[#This Row],[Seleccione su nombre (Evaluador)]],TablaCalificaciones[[#This Row],[Seleccione el nombre del Estudiante]])</f>
        <v>Cristian Paúl Fabara RodríguezCaizaluisa Cruz Héctor Rodrigo</v>
      </c>
      <c r="N238" s="1"/>
      <c r="O238" s="1" t="s">
        <v>198</v>
      </c>
      <c r="Q238" s="1"/>
      <c r="R238" s="1" t="s">
        <v>44</v>
      </c>
      <c r="S238" s="22">
        <f>VLOOKUP(TablaCalificaciones[[#This Row],[Apertura: problema y objetivo ]],PESOS!A$16:B$20,2,0)</f>
        <v>20</v>
      </c>
      <c r="T238" s="1"/>
      <c r="U238" s="1" t="s">
        <v>44</v>
      </c>
      <c r="V238" s="22">
        <f>VLOOKUP(TablaCalificaciones[[#This Row],[Metodología (nivel adecuado)]],PESOS!A$16:B$20,2,0)</f>
        <v>20</v>
      </c>
      <c r="W238" s="1"/>
      <c r="X238" s="1" t="s">
        <v>44</v>
      </c>
      <c r="Y238" s="22">
        <f>VLOOKUP(TablaCalificaciones[[#This Row],[Resultados y evidencia ]],PESOS!A$16:B$20,2,0)</f>
        <v>20</v>
      </c>
      <c r="Z238" s="1"/>
      <c r="AA238" s="1" t="s">
        <v>45</v>
      </c>
      <c r="AB238" s="22">
        <f>VLOOKUP(TablaCalificaciones[[#This Row],[Coherencia y manejo del tiempo]],PESOS!A$25:B$29,2,0)</f>
        <v>10</v>
      </c>
      <c r="AC238" s="1"/>
      <c r="AD238" s="1" t="s">
        <v>45</v>
      </c>
      <c r="AE238" s="22">
        <f>VLOOKUP(TablaCalificaciones[[#This Row],[Diapositivas como apoyo]],PESOS!A$25:B$29,2,0)</f>
        <v>10</v>
      </c>
      <c r="AF238" s="1"/>
      <c r="AG238" s="1" t="s">
        <v>45</v>
      </c>
      <c r="AH238" s="22">
        <f>VLOOKUP(TablaCalificaciones[[#This Row],[Respuestas a preguntas]],PESOS!A$25:B$29,2,0)</f>
        <v>10</v>
      </c>
      <c r="AI238" s="1"/>
      <c r="AJ238" s="1" t="s">
        <v>45</v>
      </c>
      <c r="AK238" s="22">
        <f>VLOOKUP(TablaCalificaciones[[#This Row],[Cierre: aporte a próximos pasos]],PESOS!A$25:B$29,2,0)</f>
        <v>10</v>
      </c>
      <c r="AL238" s="1"/>
      <c r="AM238" s="1"/>
    </row>
    <row r="239" spans="1:39">
      <c r="A239">
        <v>239</v>
      </c>
      <c r="B239" s="2">
        <v>46134.478923611103</v>
      </c>
      <c r="C239" s="2">
        <v>46134.479652777802</v>
      </c>
      <c r="D239" s="1" t="s">
        <v>116</v>
      </c>
      <c r="E239" s="1" t="s">
        <v>117</v>
      </c>
      <c r="G239" s="1"/>
      <c r="H239" s="2"/>
      <c r="I239" s="1" t="s">
        <v>68</v>
      </c>
      <c r="K239" s="1"/>
      <c r="L239" s="1" t="s">
        <v>117</v>
      </c>
      <c r="M239" s="26" t="str">
        <f>CONCATENATE(TablaCalificaciones[[#This Row],[Seleccione su nombre (Evaluador)]],TablaCalificaciones[[#This Row],[Seleccione el nombre del Estudiante]])</f>
        <v>Diego Xavier Gonzalez SegoviaSuárez Minchala Lizbeth Alejandra</v>
      </c>
      <c r="N239" s="1"/>
      <c r="O239" s="1" t="s">
        <v>196</v>
      </c>
      <c r="Q239" s="1"/>
      <c r="R239" s="1" t="s">
        <v>44</v>
      </c>
      <c r="S239" s="22">
        <f>VLOOKUP(TablaCalificaciones[[#This Row],[Apertura: problema y objetivo ]],PESOS!A$16:B$20,2,0)</f>
        <v>20</v>
      </c>
      <c r="T239" s="1"/>
      <c r="U239" s="1" t="s">
        <v>44</v>
      </c>
      <c r="V239" s="22">
        <f>VLOOKUP(TablaCalificaciones[[#This Row],[Metodología (nivel adecuado)]],PESOS!A$16:B$20,2,0)</f>
        <v>20</v>
      </c>
      <c r="W239" s="1"/>
      <c r="X239" s="1" t="s">
        <v>50</v>
      </c>
      <c r="Y239" s="22">
        <f>VLOOKUP(TablaCalificaciones[[#This Row],[Resultados y evidencia ]],PESOS!A$16:B$20,2,0)</f>
        <v>16</v>
      </c>
      <c r="Z239" s="1"/>
      <c r="AA239" s="1" t="s">
        <v>45</v>
      </c>
      <c r="AB239" s="22">
        <f>VLOOKUP(TablaCalificaciones[[#This Row],[Coherencia y manejo del tiempo]],PESOS!A$25:B$29,2,0)</f>
        <v>10</v>
      </c>
      <c r="AC239" s="1"/>
      <c r="AD239" s="1" t="s">
        <v>45</v>
      </c>
      <c r="AE239" s="22">
        <f>VLOOKUP(TablaCalificaciones[[#This Row],[Diapositivas como apoyo]],PESOS!A$25:B$29,2,0)</f>
        <v>10</v>
      </c>
      <c r="AF239" s="1"/>
      <c r="AG239" s="1" t="s">
        <v>51</v>
      </c>
      <c r="AH239" s="22">
        <f>VLOOKUP(TablaCalificaciones[[#This Row],[Respuestas a preguntas]],PESOS!A$25:B$29,2,0)</f>
        <v>8</v>
      </c>
      <c r="AI239" s="1"/>
      <c r="AJ239" s="1" t="s">
        <v>45</v>
      </c>
      <c r="AK239" s="22">
        <f>VLOOKUP(TablaCalificaciones[[#This Row],[Cierre: aporte a próximos pasos]],PESOS!A$25:B$29,2,0)</f>
        <v>10</v>
      </c>
      <c r="AL239" s="1"/>
      <c r="AM239" s="1"/>
    </row>
    <row r="240" spans="1:39">
      <c r="A240">
        <v>240</v>
      </c>
      <c r="B240" s="2">
        <v>46134.457164351901</v>
      </c>
      <c r="C240" s="2">
        <v>46134.480034722197</v>
      </c>
      <c r="D240" s="1" t="s">
        <v>54</v>
      </c>
      <c r="E240" s="1" t="s">
        <v>55</v>
      </c>
      <c r="G240" s="1"/>
      <c r="H240" s="2"/>
      <c r="I240" s="1" t="s">
        <v>68</v>
      </c>
      <c r="K240" s="1"/>
      <c r="L240" s="1" t="s">
        <v>56</v>
      </c>
      <c r="M240" s="26" t="str">
        <f>CONCATENATE(TablaCalificaciones[[#This Row],[Seleccione su nombre (Evaluador)]],TablaCalificaciones[[#This Row],[Seleccione el nombre del Estudiante]])</f>
        <v>Marco Antonio Galarza CastilloCaizaluisa Cruz Héctor Rodrigo</v>
      </c>
      <c r="N240" s="1"/>
      <c r="O240" s="1" t="s">
        <v>198</v>
      </c>
      <c r="Q240" s="1"/>
      <c r="R240" s="1" t="s">
        <v>44</v>
      </c>
      <c r="S240" s="22">
        <f>VLOOKUP(TablaCalificaciones[[#This Row],[Apertura: problema y objetivo ]],PESOS!A$16:B$20,2,0)</f>
        <v>20</v>
      </c>
      <c r="T240" s="1"/>
      <c r="U240" s="1" t="s">
        <v>44</v>
      </c>
      <c r="V240" s="22">
        <f>VLOOKUP(TablaCalificaciones[[#This Row],[Metodología (nivel adecuado)]],PESOS!A$16:B$20,2,0)</f>
        <v>20</v>
      </c>
      <c r="W240" s="1"/>
      <c r="X240" s="1" t="s">
        <v>44</v>
      </c>
      <c r="Y240" s="22">
        <f>VLOOKUP(TablaCalificaciones[[#This Row],[Resultados y evidencia ]],PESOS!A$16:B$20,2,0)</f>
        <v>20</v>
      </c>
      <c r="Z240" s="1"/>
      <c r="AA240" s="1" t="s">
        <v>51</v>
      </c>
      <c r="AB240" s="22">
        <f>VLOOKUP(TablaCalificaciones[[#This Row],[Coherencia y manejo del tiempo]],PESOS!A$25:B$29,2,0)</f>
        <v>8</v>
      </c>
      <c r="AC240" s="1"/>
      <c r="AD240" s="1" t="s">
        <v>45</v>
      </c>
      <c r="AE240" s="22">
        <f>VLOOKUP(TablaCalificaciones[[#This Row],[Diapositivas como apoyo]],PESOS!A$25:B$29,2,0)</f>
        <v>10</v>
      </c>
      <c r="AF240" s="1"/>
      <c r="AG240" s="1" t="s">
        <v>45</v>
      </c>
      <c r="AH240" s="22">
        <f>VLOOKUP(TablaCalificaciones[[#This Row],[Respuestas a preguntas]],PESOS!A$25:B$29,2,0)</f>
        <v>10</v>
      </c>
      <c r="AI240" s="1"/>
      <c r="AJ240" s="1" t="s">
        <v>45</v>
      </c>
      <c r="AK240" s="22">
        <f>VLOOKUP(TablaCalificaciones[[#This Row],[Cierre: aporte a próximos pasos]],PESOS!A$25:B$29,2,0)</f>
        <v>10</v>
      </c>
      <c r="AL240" s="1"/>
      <c r="AM240" s="1"/>
    </row>
    <row r="241" spans="1:39">
      <c r="A241">
        <v>241</v>
      </c>
      <c r="B241" s="2">
        <v>46134.480057870402</v>
      </c>
      <c r="C241" s="2">
        <v>46134.480486111097</v>
      </c>
      <c r="D241" s="1" t="s">
        <v>54</v>
      </c>
      <c r="E241" s="1" t="s">
        <v>55</v>
      </c>
      <c r="G241" s="1"/>
      <c r="H241" s="2"/>
      <c r="I241" s="1" t="s">
        <v>68</v>
      </c>
      <c r="K241" s="1"/>
      <c r="L241" s="1" t="s">
        <v>56</v>
      </c>
      <c r="M241" s="26" t="str">
        <f>CONCATENATE(TablaCalificaciones[[#This Row],[Seleccione su nombre (Evaluador)]],TablaCalificaciones[[#This Row],[Seleccione el nombre del Estudiante]])</f>
        <v>Marco Antonio Galarza CastilloMosquera Valenzuela Giovani David</v>
      </c>
      <c r="N241" s="1"/>
      <c r="O241" s="1" t="s">
        <v>199</v>
      </c>
      <c r="Q241" s="1"/>
      <c r="R241" s="1" t="s">
        <v>44</v>
      </c>
      <c r="S241" s="22">
        <f>VLOOKUP(TablaCalificaciones[[#This Row],[Apertura: problema y objetivo ]],PESOS!A$16:B$20,2,0)</f>
        <v>20</v>
      </c>
      <c r="T241" s="1"/>
      <c r="U241" s="1" t="s">
        <v>44</v>
      </c>
      <c r="V241" s="22">
        <f>VLOOKUP(TablaCalificaciones[[#This Row],[Metodología (nivel adecuado)]],PESOS!A$16:B$20,2,0)</f>
        <v>20</v>
      </c>
      <c r="W241" s="1"/>
      <c r="X241" s="1" t="s">
        <v>44</v>
      </c>
      <c r="Y241" s="22">
        <f>VLOOKUP(TablaCalificaciones[[#This Row],[Resultados y evidencia ]],PESOS!A$16:B$20,2,0)</f>
        <v>20</v>
      </c>
      <c r="Z241" s="1"/>
      <c r="AA241" s="1" t="s">
        <v>51</v>
      </c>
      <c r="AB241" s="22">
        <f>VLOOKUP(TablaCalificaciones[[#This Row],[Coherencia y manejo del tiempo]],PESOS!A$25:B$29,2,0)</f>
        <v>8</v>
      </c>
      <c r="AC241" s="1"/>
      <c r="AD241" s="1" t="s">
        <v>45</v>
      </c>
      <c r="AE241" s="22">
        <f>VLOOKUP(TablaCalificaciones[[#This Row],[Diapositivas como apoyo]],PESOS!A$25:B$29,2,0)</f>
        <v>10</v>
      </c>
      <c r="AF241" s="1"/>
      <c r="AG241" s="1" t="s">
        <v>45</v>
      </c>
      <c r="AH241" s="22">
        <f>VLOOKUP(TablaCalificaciones[[#This Row],[Respuestas a preguntas]],PESOS!A$25:B$29,2,0)</f>
        <v>10</v>
      </c>
      <c r="AI241" s="1"/>
      <c r="AJ241" s="1" t="s">
        <v>45</v>
      </c>
      <c r="AK241" s="22">
        <f>VLOOKUP(TablaCalificaciones[[#This Row],[Cierre: aporte a próximos pasos]],PESOS!A$25:B$29,2,0)</f>
        <v>10</v>
      </c>
      <c r="AL241" s="1"/>
      <c r="AM241" s="1"/>
    </row>
    <row r="242" spans="1:39">
      <c r="A242">
        <v>242</v>
      </c>
      <c r="B242" s="2">
        <v>46134.4792592593</v>
      </c>
      <c r="C242" s="2">
        <v>46134.481666666703</v>
      </c>
      <c r="D242" s="1" t="s">
        <v>163</v>
      </c>
      <c r="E242" s="1" t="s">
        <v>164</v>
      </c>
      <c r="G242" s="1"/>
      <c r="H242" s="2"/>
      <c r="I242" s="1" t="s">
        <v>68</v>
      </c>
      <c r="K242" s="1"/>
      <c r="L242" s="1" t="s">
        <v>164</v>
      </c>
      <c r="M242" s="26" t="str">
        <f>CONCATENATE(TablaCalificaciones[[#This Row],[Seleccione su nombre (Evaluador)]],TablaCalificaciones[[#This Row],[Seleccione el nombre del Estudiante]])</f>
        <v>Cristian Paúl Fabara RodríguezMosquera Valenzuela Giovani David</v>
      </c>
      <c r="N242" s="1"/>
      <c r="O242" s="1" t="s">
        <v>199</v>
      </c>
      <c r="Q242" s="1"/>
      <c r="R242" s="1" t="s">
        <v>44</v>
      </c>
      <c r="S242" s="22">
        <f>VLOOKUP(TablaCalificaciones[[#This Row],[Apertura: problema y objetivo ]],PESOS!A$16:B$20,2,0)</f>
        <v>20</v>
      </c>
      <c r="T242" s="1"/>
      <c r="U242" s="1" t="s">
        <v>44</v>
      </c>
      <c r="V242" s="22">
        <f>VLOOKUP(TablaCalificaciones[[#This Row],[Metodología (nivel adecuado)]],PESOS!A$16:B$20,2,0)</f>
        <v>20</v>
      </c>
      <c r="W242" s="1"/>
      <c r="X242" s="1" t="s">
        <v>44</v>
      </c>
      <c r="Y242" s="22">
        <f>VLOOKUP(TablaCalificaciones[[#This Row],[Resultados y evidencia ]],PESOS!A$16:B$20,2,0)</f>
        <v>20</v>
      </c>
      <c r="Z242" s="1"/>
      <c r="AA242" s="1" t="s">
        <v>45</v>
      </c>
      <c r="AB242" s="22">
        <f>VLOOKUP(TablaCalificaciones[[#This Row],[Coherencia y manejo del tiempo]],PESOS!A$25:B$29,2,0)</f>
        <v>10</v>
      </c>
      <c r="AC242" s="1"/>
      <c r="AD242" s="1" t="s">
        <v>45</v>
      </c>
      <c r="AE242" s="22">
        <f>VLOOKUP(TablaCalificaciones[[#This Row],[Diapositivas como apoyo]],PESOS!A$25:B$29,2,0)</f>
        <v>10</v>
      </c>
      <c r="AF242" s="1"/>
      <c r="AG242" s="1" t="s">
        <v>45</v>
      </c>
      <c r="AH242" s="22">
        <f>VLOOKUP(TablaCalificaciones[[#This Row],[Respuestas a preguntas]],PESOS!A$25:B$29,2,0)</f>
        <v>10</v>
      </c>
      <c r="AI242" s="1"/>
      <c r="AJ242" s="1" t="s">
        <v>45</v>
      </c>
      <c r="AK242" s="22">
        <f>VLOOKUP(TablaCalificaciones[[#This Row],[Cierre: aporte a próximos pasos]],PESOS!A$25:B$29,2,0)</f>
        <v>10</v>
      </c>
      <c r="AL242" s="1"/>
      <c r="AM242" s="1"/>
    </row>
    <row r="243" spans="1:39">
      <c r="A243">
        <v>243</v>
      </c>
      <c r="B243" s="2">
        <v>46134.480509259301</v>
      </c>
      <c r="C243" s="2">
        <v>46134.501331018502</v>
      </c>
      <c r="D243" s="1" t="s">
        <v>54</v>
      </c>
      <c r="E243" s="1" t="s">
        <v>55</v>
      </c>
      <c r="G243" s="1"/>
      <c r="H243" s="2"/>
      <c r="I243" s="1" t="s">
        <v>68</v>
      </c>
      <c r="K243" s="1"/>
      <c r="L243" s="1" t="s">
        <v>56</v>
      </c>
      <c r="M243" s="26" t="str">
        <f>CONCATENATE(TablaCalificaciones[[#This Row],[Seleccione su nombre (Evaluador)]],TablaCalificaciones[[#This Row],[Seleccione el nombre del Estudiante]])</f>
        <v>Marco Antonio Galarza CastilloGarcía Robles Natasha Teresa</v>
      </c>
      <c r="N243" s="1"/>
      <c r="O243" s="1" t="s">
        <v>200</v>
      </c>
      <c r="Q243" s="1"/>
      <c r="R243" s="1" t="s">
        <v>44</v>
      </c>
      <c r="S243" s="22">
        <f>VLOOKUP(TablaCalificaciones[[#This Row],[Apertura: problema y objetivo ]],PESOS!A$16:B$20,2,0)</f>
        <v>20</v>
      </c>
      <c r="T243" s="1"/>
      <c r="U243" s="1" t="s">
        <v>44</v>
      </c>
      <c r="V243" s="22">
        <f>VLOOKUP(TablaCalificaciones[[#This Row],[Metodología (nivel adecuado)]],PESOS!A$16:B$20,2,0)</f>
        <v>20</v>
      </c>
      <c r="W243" s="1"/>
      <c r="X243" s="1" t="s">
        <v>44</v>
      </c>
      <c r="Y243" s="22">
        <f>VLOOKUP(TablaCalificaciones[[#This Row],[Resultados y evidencia ]],PESOS!A$16:B$20,2,0)</f>
        <v>20</v>
      </c>
      <c r="Z243" s="1"/>
      <c r="AA243" s="1" t="s">
        <v>51</v>
      </c>
      <c r="AB243" s="22">
        <f>VLOOKUP(TablaCalificaciones[[#This Row],[Coherencia y manejo del tiempo]],PESOS!A$25:B$29,2,0)</f>
        <v>8</v>
      </c>
      <c r="AC243" s="1"/>
      <c r="AD243" s="1" t="s">
        <v>45</v>
      </c>
      <c r="AE243" s="22">
        <f>VLOOKUP(TablaCalificaciones[[#This Row],[Diapositivas como apoyo]],PESOS!A$25:B$29,2,0)</f>
        <v>10</v>
      </c>
      <c r="AF243" s="1"/>
      <c r="AG243" s="1" t="s">
        <v>45</v>
      </c>
      <c r="AH243" s="22">
        <f>VLOOKUP(TablaCalificaciones[[#This Row],[Respuestas a preguntas]],PESOS!A$25:B$29,2,0)</f>
        <v>10</v>
      </c>
      <c r="AI243" s="1"/>
      <c r="AJ243" s="1" t="s">
        <v>45</v>
      </c>
      <c r="AK243" s="22">
        <f>VLOOKUP(TablaCalificaciones[[#This Row],[Cierre: aporte a próximos pasos]],PESOS!A$25:B$29,2,0)</f>
        <v>10</v>
      </c>
      <c r="AL243" s="1"/>
      <c r="AM243" s="1"/>
    </row>
    <row r="244" spans="1:39">
      <c r="A244">
        <v>244</v>
      </c>
      <c r="B244" s="2">
        <v>46134.501354166699</v>
      </c>
      <c r="C244" s="2">
        <v>46134.501701388901</v>
      </c>
      <c r="D244" s="1" t="s">
        <v>54</v>
      </c>
      <c r="E244" s="1" t="s">
        <v>55</v>
      </c>
      <c r="G244" s="1"/>
      <c r="H244" s="2"/>
      <c r="I244" s="1" t="s">
        <v>68</v>
      </c>
      <c r="K244" s="1"/>
      <c r="L244" s="1" t="s">
        <v>56</v>
      </c>
      <c r="M244" s="26" t="str">
        <f>CONCATENATE(TablaCalificaciones[[#This Row],[Seleccione su nombre (Evaluador)]],TablaCalificaciones[[#This Row],[Seleccione el nombre del Estudiante]])</f>
        <v>Marco Antonio Galarza CastilloAbad Anchundia Carlos Alejandro</v>
      </c>
      <c r="N244" s="1"/>
      <c r="O244" s="1" t="s">
        <v>201</v>
      </c>
      <c r="Q244" s="1"/>
      <c r="R244" s="1" t="s">
        <v>44</v>
      </c>
      <c r="S244" s="22">
        <f>VLOOKUP(TablaCalificaciones[[#This Row],[Apertura: problema y objetivo ]],PESOS!A$16:B$20,2,0)</f>
        <v>20</v>
      </c>
      <c r="T244" s="1"/>
      <c r="U244" s="1" t="s">
        <v>44</v>
      </c>
      <c r="V244" s="22">
        <f>VLOOKUP(TablaCalificaciones[[#This Row],[Metodología (nivel adecuado)]],PESOS!A$16:B$20,2,0)</f>
        <v>20</v>
      </c>
      <c r="W244" s="1"/>
      <c r="X244" s="1" t="s">
        <v>44</v>
      </c>
      <c r="Y244" s="22">
        <f>VLOOKUP(TablaCalificaciones[[#This Row],[Resultados y evidencia ]],PESOS!A$16:B$20,2,0)</f>
        <v>20</v>
      </c>
      <c r="Z244" s="1"/>
      <c r="AA244" s="1" t="s">
        <v>51</v>
      </c>
      <c r="AB244" s="22">
        <f>VLOOKUP(TablaCalificaciones[[#This Row],[Coherencia y manejo del tiempo]],PESOS!A$25:B$29,2,0)</f>
        <v>8</v>
      </c>
      <c r="AC244" s="1"/>
      <c r="AD244" s="1" t="s">
        <v>45</v>
      </c>
      <c r="AE244" s="22">
        <f>VLOOKUP(TablaCalificaciones[[#This Row],[Diapositivas como apoyo]],PESOS!A$25:B$29,2,0)</f>
        <v>10</v>
      </c>
      <c r="AF244" s="1"/>
      <c r="AG244" s="1" t="s">
        <v>45</v>
      </c>
      <c r="AH244" s="22">
        <f>VLOOKUP(TablaCalificaciones[[#This Row],[Respuestas a preguntas]],PESOS!A$25:B$29,2,0)</f>
        <v>10</v>
      </c>
      <c r="AI244" s="1"/>
      <c r="AJ244" s="1" t="s">
        <v>45</v>
      </c>
      <c r="AK244" s="22">
        <f>VLOOKUP(TablaCalificaciones[[#This Row],[Cierre: aporte a próximos pasos]],PESOS!A$25:B$29,2,0)</f>
        <v>10</v>
      </c>
      <c r="AL244" s="1"/>
      <c r="AM244" s="1"/>
    </row>
    <row r="245" spans="1:39">
      <c r="A245">
        <v>245</v>
      </c>
      <c r="B245" s="2">
        <v>46134.501724537004</v>
      </c>
      <c r="C245" s="2">
        <v>46134.502048611103</v>
      </c>
      <c r="D245" s="1" t="s">
        <v>54</v>
      </c>
      <c r="E245" s="1" t="s">
        <v>55</v>
      </c>
      <c r="G245" s="1"/>
      <c r="H245" s="2"/>
      <c r="I245" s="1" t="s">
        <v>68</v>
      </c>
      <c r="K245" s="1"/>
      <c r="L245" s="1" t="s">
        <v>56</v>
      </c>
      <c r="M245" s="26" t="str">
        <f>CONCATENATE(TablaCalificaciones[[#This Row],[Seleccione su nombre (Evaluador)]],TablaCalificaciones[[#This Row],[Seleccione el nombre del Estudiante]])</f>
        <v>Marco Antonio Galarza CastilloTorres Quenoran Christian David</v>
      </c>
      <c r="N245" s="1"/>
      <c r="O245" s="1" t="s">
        <v>202</v>
      </c>
      <c r="Q245" s="1"/>
      <c r="R245" s="1" t="s">
        <v>44</v>
      </c>
      <c r="S245" s="22">
        <f>VLOOKUP(TablaCalificaciones[[#This Row],[Apertura: problema y objetivo ]],PESOS!A$16:B$20,2,0)</f>
        <v>20</v>
      </c>
      <c r="T245" s="1"/>
      <c r="U245" s="1" t="s">
        <v>44</v>
      </c>
      <c r="V245" s="22">
        <f>VLOOKUP(TablaCalificaciones[[#This Row],[Metodología (nivel adecuado)]],PESOS!A$16:B$20,2,0)</f>
        <v>20</v>
      </c>
      <c r="W245" s="1"/>
      <c r="X245" s="1" t="s">
        <v>44</v>
      </c>
      <c r="Y245" s="22">
        <f>VLOOKUP(TablaCalificaciones[[#This Row],[Resultados y evidencia ]],PESOS!A$16:B$20,2,0)</f>
        <v>20</v>
      </c>
      <c r="Z245" s="1"/>
      <c r="AA245" s="1" t="s">
        <v>51</v>
      </c>
      <c r="AB245" s="22">
        <f>VLOOKUP(TablaCalificaciones[[#This Row],[Coherencia y manejo del tiempo]],PESOS!A$25:B$29,2,0)</f>
        <v>8</v>
      </c>
      <c r="AC245" s="1"/>
      <c r="AD245" s="1" t="s">
        <v>45</v>
      </c>
      <c r="AE245" s="22">
        <f>VLOOKUP(TablaCalificaciones[[#This Row],[Diapositivas como apoyo]],PESOS!A$25:B$29,2,0)</f>
        <v>10</v>
      </c>
      <c r="AF245" s="1"/>
      <c r="AG245" s="1" t="s">
        <v>45</v>
      </c>
      <c r="AH245" s="22">
        <f>VLOOKUP(TablaCalificaciones[[#This Row],[Respuestas a preguntas]],PESOS!A$25:B$29,2,0)</f>
        <v>10</v>
      </c>
      <c r="AI245" s="1"/>
      <c r="AJ245" s="1" t="s">
        <v>45</v>
      </c>
      <c r="AK245" s="22">
        <f>VLOOKUP(TablaCalificaciones[[#This Row],[Cierre: aporte a próximos pasos]],PESOS!A$25:B$29,2,0)</f>
        <v>10</v>
      </c>
      <c r="AL245" s="1"/>
      <c r="AM245" s="1"/>
    </row>
    <row r="246" spans="1:39">
      <c r="A246">
        <v>246</v>
      </c>
      <c r="B246" s="2">
        <v>46134.4753009259</v>
      </c>
      <c r="C246" s="2">
        <v>46134.502581018503</v>
      </c>
      <c r="D246" s="1" t="s">
        <v>203</v>
      </c>
      <c r="E246" s="1" t="s">
        <v>204</v>
      </c>
      <c r="G246" s="1"/>
      <c r="H246" s="2"/>
      <c r="I246" s="1" t="s">
        <v>68</v>
      </c>
      <c r="K246" s="1"/>
      <c r="L246" s="1" t="s">
        <v>204</v>
      </c>
      <c r="M246" s="26" t="str">
        <f>CONCATENATE(TablaCalificaciones[[#This Row],[Seleccione su nombre (Evaluador)]],TablaCalificaciones[[#This Row],[Seleccione el nombre del Estudiante]])</f>
        <v>Paulo Roberto GuerraAbad Anchundia Carlos Alejandro</v>
      </c>
      <c r="N246" s="1"/>
      <c r="O246" s="1" t="s">
        <v>201</v>
      </c>
      <c r="Q246" s="1"/>
      <c r="R246" s="1" t="s">
        <v>44</v>
      </c>
      <c r="S246" s="22">
        <f>VLOOKUP(TablaCalificaciones[[#This Row],[Apertura: problema y objetivo ]],PESOS!A$16:B$20,2,0)</f>
        <v>20</v>
      </c>
      <c r="T246" s="1"/>
      <c r="U246" s="1" t="s">
        <v>105</v>
      </c>
      <c r="V246" s="22">
        <f>VLOOKUP(TablaCalificaciones[[#This Row],[Metodología (nivel adecuado)]],PESOS!A$16:B$20,2,0)</f>
        <v>12</v>
      </c>
      <c r="W246" s="1"/>
      <c r="X246" s="1" t="s">
        <v>50</v>
      </c>
      <c r="Y246" s="22">
        <f>VLOOKUP(TablaCalificaciones[[#This Row],[Resultados y evidencia ]],PESOS!A$16:B$20,2,0)</f>
        <v>16</v>
      </c>
      <c r="Z246" s="1"/>
      <c r="AA246" s="1" t="s">
        <v>45</v>
      </c>
      <c r="AB246" s="22">
        <f>VLOOKUP(TablaCalificaciones[[#This Row],[Coherencia y manejo del tiempo]],PESOS!A$25:B$29,2,0)</f>
        <v>10</v>
      </c>
      <c r="AC246" s="1"/>
      <c r="AD246" s="1" t="s">
        <v>51</v>
      </c>
      <c r="AE246" s="22">
        <f>VLOOKUP(TablaCalificaciones[[#This Row],[Diapositivas como apoyo]],PESOS!A$25:B$29,2,0)</f>
        <v>8</v>
      </c>
      <c r="AF246" s="1"/>
      <c r="AG246" s="1" t="s">
        <v>51</v>
      </c>
      <c r="AH246" s="22">
        <f>VLOOKUP(TablaCalificaciones[[#This Row],[Respuestas a preguntas]],PESOS!A$25:B$29,2,0)</f>
        <v>8</v>
      </c>
      <c r="AI246" s="1"/>
      <c r="AJ246" s="1" t="s">
        <v>51</v>
      </c>
      <c r="AK246" s="22">
        <f>VLOOKUP(TablaCalificaciones[[#This Row],[Cierre: aporte a próximos pasos]],PESOS!A$25:B$29,2,0)</f>
        <v>8</v>
      </c>
      <c r="AL246" s="1"/>
      <c r="AM246" s="1"/>
    </row>
    <row r="247" spans="1:39">
      <c r="A247">
        <v>247</v>
      </c>
      <c r="B247" s="2">
        <v>46134.502615740697</v>
      </c>
      <c r="C247" s="2">
        <v>46134.503807870402</v>
      </c>
      <c r="D247" s="1" t="s">
        <v>203</v>
      </c>
      <c r="E247" s="1" t="s">
        <v>204</v>
      </c>
      <c r="G247" s="1"/>
      <c r="H247" s="2"/>
      <c r="I247" s="1" t="s">
        <v>68</v>
      </c>
      <c r="K247" s="1"/>
      <c r="L247" s="1" t="s">
        <v>204</v>
      </c>
      <c r="M247" s="26" t="str">
        <f>CONCATENATE(TablaCalificaciones[[#This Row],[Seleccione su nombre (Evaluador)]],TablaCalificaciones[[#This Row],[Seleccione el nombre del Estudiante]])</f>
        <v>Paulo Roberto GuerraGarcía Robles Natasha Teresa</v>
      </c>
      <c r="N247" s="1"/>
      <c r="O247" s="1" t="s">
        <v>200</v>
      </c>
      <c r="Q247" s="1"/>
      <c r="R247" s="1" t="s">
        <v>44</v>
      </c>
      <c r="S247" s="22">
        <f>VLOOKUP(TablaCalificaciones[[#This Row],[Apertura: problema y objetivo ]],PESOS!A$16:B$20,2,0)</f>
        <v>20</v>
      </c>
      <c r="T247" s="1"/>
      <c r="U247" s="1" t="s">
        <v>105</v>
      </c>
      <c r="V247" s="22">
        <f>VLOOKUP(TablaCalificaciones[[#This Row],[Metodología (nivel adecuado)]],PESOS!A$16:B$20,2,0)</f>
        <v>12</v>
      </c>
      <c r="W247" s="1"/>
      <c r="X247" s="1" t="s">
        <v>50</v>
      </c>
      <c r="Y247" s="22">
        <f>VLOOKUP(TablaCalificaciones[[#This Row],[Resultados y evidencia ]],PESOS!A$16:B$20,2,0)</f>
        <v>16</v>
      </c>
      <c r="Z247" s="1"/>
      <c r="AA247" s="1" t="s">
        <v>45</v>
      </c>
      <c r="AB247" s="22">
        <f>VLOOKUP(TablaCalificaciones[[#This Row],[Coherencia y manejo del tiempo]],PESOS!A$25:B$29,2,0)</f>
        <v>10</v>
      </c>
      <c r="AC247" s="1"/>
      <c r="AD247" s="1" t="s">
        <v>51</v>
      </c>
      <c r="AE247" s="22">
        <f>VLOOKUP(TablaCalificaciones[[#This Row],[Diapositivas como apoyo]],PESOS!A$25:B$29,2,0)</f>
        <v>8</v>
      </c>
      <c r="AF247" s="1"/>
      <c r="AG247" s="1" t="s">
        <v>51</v>
      </c>
      <c r="AH247" s="22">
        <f>VLOOKUP(TablaCalificaciones[[#This Row],[Respuestas a preguntas]],PESOS!A$25:B$29,2,0)</f>
        <v>8</v>
      </c>
      <c r="AI247" s="1"/>
      <c r="AJ247" s="1" t="s">
        <v>51</v>
      </c>
      <c r="AK247" s="22">
        <f>VLOOKUP(TablaCalificaciones[[#This Row],[Cierre: aporte a próximos pasos]],PESOS!A$25:B$29,2,0)</f>
        <v>8</v>
      </c>
      <c r="AL247" s="1"/>
      <c r="AM247" s="1"/>
    </row>
    <row r="248" spans="1:39">
      <c r="A248">
        <v>248</v>
      </c>
      <c r="B248" s="2">
        <v>46134.503923611097</v>
      </c>
      <c r="C248" s="2">
        <v>46134.505289351902</v>
      </c>
      <c r="D248" s="1" t="s">
        <v>203</v>
      </c>
      <c r="E248" s="1" t="s">
        <v>204</v>
      </c>
      <c r="G248" s="1"/>
      <c r="H248" s="2"/>
      <c r="I248" s="1" t="s">
        <v>68</v>
      </c>
      <c r="K248" s="1"/>
      <c r="L248" s="1" t="s">
        <v>204</v>
      </c>
      <c r="M248" s="26" t="str">
        <f>CONCATENATE(TablaCalificaciones[[#This Row],[Seleccione su nombre (Evaluador)]],TablaCalificaciones[[#This Row],[Seleccione el nombre del Estudiante]])</f>
        <v>Paulo Roberto GuerraTorres Quenoran Christian David</v>
      </c>
      <c r="N248" s="1"/>
      <c r="O248" s="1" t="s">
        <v>202</v>
      </c>
      <c r="Q248" s="1"/>
      <c r="R248" s="1" t="s">
        <v>50</v>
      </c>
      <c r="S248" s="22">
        <f>VLOOKUP(TablaCalificaciones[[#This Row],[Apertura: problema y objetivo ]],PESOS!A$16:B$20,2,0)</f>
        <v>16</v>
      </c>
      <c r="T248" s="1"/>
      <c r="U248" s="1" t="s">
        <v>105</v>
      </c>
      <c r="V248" s="22">
        <f>VLOOKUP(TablaCalificaciones[[#This Row],[Metodología (nivel adecuado)]],PESOS!A$16:B$20,2,0)</f>
        <v>12</v>
      </c>
      <c r="W248" s="1"/>
      <c r="X248" s="1" t="s">
        <v>50</v>
      </c>
      <c r="Y248" s="22">
        <f>VLOOKUP(TablaCalificaciones[[#This Row],[Resultados y evidencia ]],PESOS!A$16:B$20,2,0)</f>
        <v>16</v>
      </c>
      <c r="Z248" s="1"/>
      <c r="AA248" s="1" t="s">
        <v>45</v>
      </c>
      <c r="AB248" s="22">
        <f>VLOOKUP(TablaCalificaciones[[#This Row],[Coherencia y manejo del tiempo]],PESOS!A$25:B$29,2,0)</f>
        <v>10</v>
      </c>
      <c r="AC248" s="1"/>
      <c r="AD248" s="1" t="s">
        <v>51</v>
      </c>
      <c r="AE248" s="22">
        <f>VLOOKUP(TablaCalificaciones[[#This Row],[Diapositivas como apoyo]],PESOS!A$25:B$29,2,0)</f>
        <v>8</v>
      </c>
      <c r="AF248" s="1"/>
      <c r="AG248" s="1" t="s">
        <v>51</v>
      </c>
      <c r="AH248" s="22">
        <f>VLOOKUP(TablaCalificaciones[[#This Row],[Respuestas a preguntas]],PESOS!A$25:B$29,2,0)</f>
        <v>8</v>
      </c>
      <c r="AI248" s="1"/>
      <c r="AJ248" s="1" t="s">
        <v>51</v>
      </c>
      <c r="AK248" s="22">
        <f>VLOOKUP(TablaCalificaciones[[#This Row],[Cierre: aporte a próximos pasos]],PESOS!A$25:B$29,2,0)</f>
        <v>8</v>
      </c>
      <c r="AL248" s="1"/>
      <c r="AM248" s="1"/>
    </row>
    <row r="249" spans="1:39">
      <c r="A249">
        <v>249</v>
      </c>
      <c r="B249" s="2">
        <v>46134.501898148097</v>
      </c>
      <c r="C249" s="2">
        <v>46134.523159722201</v>
      </c>
      <c r="D249" s="1" t="s">
        <v>126</v>
      </c>
      <c r="E249" s="1" t="s">
        <v>127</v>
      </c>
      <c r="G249" s="1"/>
      <c r="H249" s="2"/>
      <c r="I249" s="1" t="s">
        <v>68</v>
      </c>
      <c r="K249" s="1"/>
      <c r="L249" s="1" t="s">
        <v>127</v>
      </c>
      <c r="M249" s="26" t="str">
        <f>CONCATENATE(TablaCalificaciones[[#This Row],[Seleccione su nombre (Evaluador)]],TablaCalificaciones[[#This Row],[Seleccione el nombre del Estudiante]])</f>
        <v>Oswaldo LunaPadilla Salgado Jorge Andrés</v>
      </c>
      <c r="N249" s="1"/>
      <c r="O249" s="1" t="s">
        <v>205</v>
      </c>
      <c r="Q249" s="1"/>
      <c r="R249" s="1" t="s">
        <v>44</v>
      </c>
      <c r="S249" s="22">
        <f>VLOOKUP(TablaCalificaciones[[#This Row],[Apertura: problema y objetivo ]],PESOS!A$16:B$20,2,0)</f>
        <v>20</v>
      </c>
      <c r="T249" s="1"/>
      <c r="U249" s="1" t="s">
        <v>44</v>
      </c>
      <c r="V249" s="22">
        <f>VLOOKUP(TablaCalificaciones[[#This Row],[Metodología (nivel adecuado)]],PESOS!A$16:B$20,2,0)</f>
        <v>20</v>
      </c>
      <c r="W249" s="1"/>
      <c r="X249" s="1" t="s">
        <v>44</v>
      </c>
      <c r="Y249" s="22">
        <f>VLOOKUP(TablaCalificaciones[[#This Row],[Resultados y evidencia ]],PESOS!A$16:B$20,2,0)</f>
        <v>20</v>
      </c>
      <c r="Z249" s="1"/>
      <c r="AA249" s="1" t="s">
        <v>45</v>
      </c>
      <c r="AB249" s="22">
        <f>VLOOKUP(TablaCalificaciones[[#This Row],[Coherencia y manejo del tiempo]],PESOS!A$25:B$29,2,0)</f>
        <v>10</v>
      </c>
      <c r="AC249" s="1"/>
      <c r="AD249" s="1" t="s">
        <v>45</v>
      </c>
      <c r="AE249" s="22">
        <f>VLOOKUP(TablaCalificaciones[[#This Row],[Diapositivas como apoyo]],PESOS!A$25:B$29,2,0)</f>
        <v>10</v>
      </c>
      <c r="AF249" s="1"/>
      <c r="AG249" s="1" t="s">
        <v>45</v>
      </c>
      <c r="AH249" s="22">
        <f>VLOOKUP(TablaCalificaciones[[#This Row],[Respuestas a preguntas]],PESOS!A$25:B$29,2,0)</f>
        <v>10</v>
      </c>
      <c r="AI249" s="1"/>
      <c r="AJ249" s="1" t="s">
        <v>45</v>
      </c>
      <c r="AK249" s="22">
        <f>VLOOKUP(TablaCalificaciones[[#This Row],[Cierre: aporte a próximos pasos]],PESOS!A$25:B$29,2,0)</f>
        <v>10</v>
      </c>
      <c r="AL249" s="1"/>
      <c r="AM249" s="1"/>
    </row>
    <row r="250" spans="1:39">
      <c r="A250">
        <v>250</v>
      </c>
      <c r="B250" s="2">
        <v>46134.523194444402</v>
      </c>
      <c r="C250" s="2">
        <v>46134.523680555598</v>
      </c>
      <c r="D250" s="1" t="s">
        <v>126</v>
      </c>
      <c r="E250" s="1" t="s">
        <v>127</v>
      </c>
      <c r="G250" s="1"/>
      <c r="H250" s="2"/>
      <c r="I250" s="1" t="s">
        <v>68</v>
      </c>
      <c r="K250" s="1"/>
      <c r="L250" s="1" t="s">
        <v>127</v>
      </c>
      <c r="M250" s="26" t="str">
        <f>CONCATENATE(TablaCalificaciones[[#This Row],[Seleccione su nombre (Evaluador)]],TablaCalificaciones[[#This Row],[Seleccione el nombre del Estudiante]])</f>
        <v>Oswaldo LunaRuales Quezada Alain Mateo</v>
      </c>
      <c r="N250" s="1"/>
      <c r="O250" s="1" t="s">
        <v>206</v>
      </c>
      <c r="Q250" s="1"/>
      <c r="R250" s="1" t="s">
        <v>44</v>
      </c>
      <c r="S250" s="22">
        <f>VLOOKUP(TablaCalificaciones[[#This Row],[Apertura: problema y objetivo ]],PESOS!A$16:B$20,2,0)</f>
        <v>20</v>
      </c>
      <c r="T250" s="1"/>
      <c r="U250" s="1" t="s">
        <v>44</v>
      </c>
      <c r="V250" s="22">
        <f>VLOOKUP(TablaCalificaciones[[#This Row],[Metodología (nivel adecuado)]],PESOS!A$16:B$20,2,0)</f>
        <v>20</v>
      </c>
      <c r="W250" s="1"/>
      <c r="X250" s="1" t="s">
        <v>44</v>
      </c>
      <c r="Y250" s="22">
        <f>VLOOKUP(TablaCalificaciones[[#This Row],[Resultados y evidencia ]],PESOS!A$16:B$20,2,0)</f>
        <v>20</v>
      </c>
      <c r="Z250" s="1"/>
      <c r="AA250" s="1" t="s">
        <v>45</v>
      </c>
      <c r="AB250" s="22">
        <f>VLOOKUP(TablaCalificaciones[[#This Row],[Coherencia y manejo del tiempo]],PESOS!A$25:B$29,2,0)</f>
        <v>10</v>
      </c>
      <c r="AC250" s="1"/>
      <c r="AD250" s="1" t="s">
        <v>45</v>
      </c>
      <c r="AE250" s="22">
        <f>VLOOKUP(TablaCalificaciones[[#This Row],[Diapositivas como apoyo]],PESOS!A$25:B$29,2,0)</f>
        <v>10</v>
      </c>
      <c r="AF250" s="1"/>
      <c r="AG250" s="1" t="s">
        <v>45</v>
      </c>
      <c r="AH250" s="22">
        <f>VLOOKUP(TablaCalificaciones[[#This Row],[Respuestas a preguntas]],PESOS!A$25:B$29,2,0)</f>
        <v>10</v>
      </c>
      <c r="AI250" s="1"/>
      <c r="AJ250" s="1" t="s">
        <v>45</v>
      </c>
      <c r="AK250" s="22">
        <f>VLOOKUP(TablaCalificaciones[[#This Row],[Cierre: aporte a próximos pasos]],PESOS!A$25:B$29,2,0)</f>
        <v>10</v>
      </c>
      <c r="AL250" s="1"/>
      <c r="AM250" s="1"/>
    </row>
    <row r="251" spans="1:39">
      <c r="A251">
        <v>251</v>
      </c>
      <c r="B251" s="2">
        <v>46134.502083333296</v>
      </c>
      <c r="C251" s="2">
        <v>46134.533402777801</v>
      </c>
      <c r="D251" s="1" t="s">
        <v>54</v>
      </c>
      <c r="E251" s="1" t="s">
        <v>55</v>
      </c>
      <c r="G251" s="1"/>
      <c r="H251" s="2"/>
      <c r="I251" s="1" t="s">
        <v>68</v>
      </c>
      <c r="K251" s="1"/>
      <c r="L251" s="1" t="s">
        <v>56</v>
      </c>
      <c r="M251" s="26" t="str">
        <f>CONCATENATE(TablaCalificaciones[[#This Row],[Seleccione su nombre (Evaluador)]],TablaCalificaciones[[#This Row],[Seleccione el nombre del Estudiante]])</f>
        <v>Marco Antonio Galarza CastilloPadilla Salgado Jorge Andrés</v>
      </c>
      <c r="N251" s="1"/>
      <c r="O251" s="1" t="s">
        <v>205</v>
      </c>
      <c r="Q251" s="1"/>
      <c r="R251" s="1" t="s">
        <v>44</v>
      </c>
      <c r="S251" s="22">
        <f>VLOOKUP(TablaCalificaciones[[#This Row],[Apertura: problema y objetivo ]],PESOS!A$16:B$20,2,0)</f>
        <v>20</v>
      </c>
      <c r="T251" s="1"/>
      <c r="U251" s="1" t="s">
        <v>44</v>
      </c>
      <c r="V251" s="22">
        <f>VLOOKUP(TablaCalificaciones[[#This Row],[Metodología (nivel adecuado)]],PESOS!A$16:B$20,2,0)</f>
        <v>20</v>
      </c>
      <c r="W251" s="1"/>
      <c r="X251" s="1" t="s">
        <v>44</v>
      </c>
      <c r="Y251" s="22">
        <f>VLOOKUP(TablaCalificaciones[[#This Row],[Resultados y evidencia ]],PESOS!A$16:B$20,2,0)</f>
        <v>20</v>
      </c>
      <c r="Z251" s="1"/>
      <c r="AA251" s="1" t="s">
        <v>45</v>
      </c>
      <c r="AB251" s="22">
        <f>VLOOKUP(TablaCalificaciones[[#This Row],[Coherencia y manejo del tiempo]],PESOS!A$25:B$29,2,0)</f>
        <v>10</v>
      </c>
      <c r="AC251" s="1"/>
      <c r="AD251" s="1" t="s">
        <v>45</v>
      </c>
      <c r="AE251" s="22">
        <f>VLOOKUP(TablaCalificaciones[[#This Row],[Diapositivas como apoyo]],PESOS!A$25:B$29,2,0)</f>
        <v>10</v>
      </c>
      <c r="AF251" s="1"/>
      <c r="AG251" s="1" t="s">
        <v>45</v>
      </c>
      <c r="AH251" s="22">
        <f>VLOOKUP(TablaCalificaciones[[#This Row],[Respuestas a preguntas]],PESOS!A$25:B$29,2,0)</f>
        <v>10</v>
      </c>
      <c r="AI251" s="1"/>
      <c r="AJ251" s="1" t="s">
        <v>45</v>
      </c>
      <c r="AK251" s="22">
        <f>VLOOKUP(TablaCalificaciones[[#This Row],[Cierre: aporte a próximos pasos]],PESOS!A$25:B$29,2,0)</f>
        <v>10</v>
      </c>
      <c r="AL251" s="1"/>
      <c r="AM251" s="1"/>
    </row>
    <row r="252" spans="1:39">
      <c r="A252">
        <v>252</v>
      </c>
      <c r="B252" s="2">
        <v>46134.533425925903</v>
      </c>
      <c r="C252" s="2">
        <v>46134.533784722204</v>
      </c>
      <c r="D252" s="1" t="s">
        <v>54</v>
      </c>
      <c r="E252" s="1" t="s">
        <v>55</v>
      </c>
      <c r="G252" s="1"/>
      <c r="H252" s="2"/>
      <c r="I252" s="1" t="s">
        <v>68</v>
      </c>
      <c r="K252" s="1"/>
      <c r="L252" s="1" t="s">
        <v>56</v>
      </c>
      <c r="M252" s="26" t="str">
        <f>CONCATENATE(TablaCalificaciones[[#This Row],[Seleccione su nombre (Evaluador)]],TablaCalificaciones[[#This Row],[Seleccione el nombre del Estudiante]])</f>
        <v>Marco Antonio Galarza CastilloRuales Quezada Alain Mateo</v>
      </c>
      <c r="N252" s="1"/>
      <c r="O252" s="1" t="s">
        <v>206</v>
      </c>
      <c r="Q252" s="1"/>
      <c r="R252" s="1" t="s">
        <v>44</v>
      </c>
      <c r="S252" s="22">
        <f>VLOOKUP(TablaCalificaciones[[#This Row],[Apertura: problema y objetivo ]],PESOS!A$16:B$20,2,0)</f>
        <v>20</v>
      </c>
      <c r="T252" s="1"/>
      <c r="U252" s="1" t="s">
        <v>44</v>
      </c>
      <c r="V252" s="22">
        <f>VLOOKUP(TablaCalificaciones[[#This Row],[Metodología (nivel adecuado)]],PESOS!A$16:B$20,2,0)</f>
        <v>20</v>
      </c>
      <c r="W252" s="1"/>
      <c r="X252" s="1" t="s">
        <v>44</v>
      </c>
      <c r="Y252" s="22">
        <f>VLOOKUP(TablaCalificaciones[[#This Row],[Resultados y evidencia ]],PESOS!A$16:B$20,2,0)</f>
        <v>20</v>
      </c>
      <c r="Z252" s="1"/>
      <c r="AA252" s="1" t="s">
        <v>45</v>
      </c>
      <c r="AB252" s="22">
        <f>VLOOKUP(TablaCalificaciones[[#This Row],[Coherencia y manejo del tiempo]],PESOS!A$25:B$29,2,0)</f>
        <v>10</v>
      </c>
      <c r="AC252" s="1"/>
      <c r="AD252" s="1" t="s">
        <v>45</v>
      </c>
      <c r="AE252" s="22">
        <f>VLOOKUP(TablaCalificaciones[[#This Row],[Diapositivas como apoyo]],PESOS!A$25:B$29,2,0)</f>
        <v>10</v>
      </c>
      <c r="AF252" s="1"/>
      <c r="AG252" s="1" t="s">
        <v>45</v>
      </c>
      <c r="AH252" s="22">
        <f>VLOOKUP(TablaCalificaciones[[#This Row],[Respuestas a preguntas]],PESOS!A$25:B$29,2,0)</f>
        <v>10</v>
      </c>
      <c r="AI252" s="1"/>
      <c r="AJ252" s="1" t="s">
        <v>45</v>
      </c>
      <c r="AK252" s="22">
        <f>VLOOKUP(TablaCalificaciones[[#This Row],[Cierre: aporte a próximos pasos]],PESOS!A$25:B$29,2,0)</f>
        <v>10</v>
      </c>
      <c r="AL252" s="1"/>
      <c r="AM252" s="1"/>
    </row>
    <row r="253" spans="1:39">
      <c r="A253">
        <v>253</v>
      </c>
      <c r="B253" s="2">
        <v>46134.535289351901</v>
      </c>
      <c r="C253" s="2">
        <v>46134.535902777803</v>
      </c>
      <c r="D253" s="1" t="s">
        <v>93</v>
      </c>
      <c r="E253" s="1" t="s">
        <v>94</v>
      </c>
      <c r="G253" s="1"/>
      <c r="H253" s="2"/>
      <c r="I253" s="1" t="s">
        <v>68</v>
      </c>
      <c r="K253" s="1"/>
      <c r="L253" s="1" t="s">
        <v>95</v>
      </c>
      <c r="M253" s="26" t="str">
        <f>CONCATENATE(TablaCalificaciones[[#This Row],[Seleccione su nombre (Evaluador)]],TablaCalificaciones[[#This Row],[Seleccione el nombre del Estudiante]])</f>
        <v>Nelly Patricia Acosta VargasVacas Andrade Carlos Andrés</v>
      </c>
      <c r="N253" s="1"/>
      <c r="O253" s="1" t="s">
        <v>207</v>
      </c>
      <c r="Q253" s="1"/>
      <c r="R253" s="1" t="s">
        <v>44</v>
      </c>
      <c r="S253" s="22">
        <f>VLOOKUP(TablaCalificaciones[[#This Row],[Apertura: problema y objetivo ]],PESOS!A$16:B$20,2,0)</f>
        <v>20</v>
      </c>
      <c r="T253" s="1"/>
      <c r="U253" s="1" t="s">
        <v>44</v>
      </c>
      <c r="V253" s="22">
        <f>VLOOKUP(TablaCalificaciones[[#This Row],[Metodología (nivel adecuado)]],PESOS!A$16:B$20,2,0)</f>
        <v>20</v>
      </c>
      <c r="W253" s="1"/>
      <c r="X253" s="1" t="s">
        <v>44</v>
      </c>
      <c r="Y253" s="22">
        <f>VLOOKUP(TablaCalificaciones[[#This Row],[Resultados y evidencia ]],PESOS!A$16:B$20,2,0)</f>
        <v>20</v>
      </c>
      <c r="Z253" s="1"/>
      <c r="AA253" s="1" t="s">
        <v>45</v>
      </c>
      <c r="AB253" s="22">
        <f>VLOOKUP(TablaCalificaciones[[#This Row],[Coherencia y manejo del tiempo]],PESOS!A$25:B$29,2,0)</f>
        <v>10</v>
      </c>
      <c r="AC253" s="1"/>
      <c r="AD253" s="1" t="s">
        <v>45</v>
      </c>
      <c r="AE253" s="22">
        <f>VLOOKUP(TablaCalificaciones[[#This Row],[Diapositivas como apoyo]],PESOS!A$25:B$29,2,0)</f>
        <v>10</v>
      </c>
      <c r="AF253" s="1"/>
      <c r="AG253" s="1" t="s">
        <v>45</v>
      </c>
      <c r="AH253" s="22">
        <f>VLOOKUP(TablaCalificaciones[[#This Row],[Respuestas a preguntas]],PESOS!A$25:B$29,2,0)</f>
        <v>10</v>
      </c>
      <c r="AI253" s="1"/>
      <c r="AJ253" s="1" t="s">
        <v>45</v>
      </c>
      <c r="AK253" s="22">
        <f>VLOOKUP(TablaCalificaciones[[#This Row],[Cierre: aporte a próximos pasos]],PESOS!A$25:B$29,2,0)</f>
        <v>10</v>
      </c>
      <c r="AL253" s="1"/>
      <c r="AM253" s="1"/>
    </row>
    <row r="254" spans="1:39">
      <c r="A254">
        <v>254</v>
      </c>
      <c r="B254" s="2">
        <v>46134.535925925898</v>
      </c>
      <c r="C254" s="2">
        <v>46134.536516203698</v>
      </c>
      <c r="D254" s="1" t="s">
        <v>93</v>
      </c>
      <c r="E254" s="1" t="s">
        <v>94</v>
      </c>
      <c r="G254" s="1"/>
      <c r="H254" s="2"/>
      <c r="I254" s="1" t="s">
        <v>68</v>
      </c>
      <c r="K254" s="1"/>
      <c r="L254" s="1" t="s">
        <v>95</v>
      </c>
      <c r="M254" s="26" t="str">
        <f>CONCATENATE(TablaCalificaciones[[#This Row],[Seleccione su nombre (Evaluador)]],TablaCalificaciones[[#This Row],[Seleccione el nombre del Estudiante]])</f>
        <v>Nelly Patricia Acosta VargasVillagrán Herrero Carlos Mauricio</v>
      </c>
      <c r="N254" s="1"/>
      <c r="O254" s="1" t="s">
        <v>208</v>
      </c>
      <c r="Q254" s="1"/>
      <c r="R254" s="1" t="s">
        <v>44</v>
      </c>
      <c r="S254" s="22">
        <f>VLOOKUP(TablaCalificaciones[[#This Row],[Apertura: problema y objetivo ]],PESOS!A$16:B$20,2,0)</f>
        <v>20</v>
      </c>
      <c r="T254" s="1"/>
      <c r="U254" s="1" t="s">
        <v>44</v>
      </c>
      <c r="V254" s="22">
        <f>VLOOKUP(TablaCalificaciones[[#This Row],[Metodología (nivel adecuado)]],PESOS!A$16:B$20,2,0)</f>
        <v>20</v>
      </c>
      <c r="W254" s="1"/>
      <c r="X254" s="1" t="s">
        <v>44</v>
      </c>
      <c r="Y254" s="22">
        <f>VLOOKUP(TablaCalificaciones[[#This Row],[Resultados y evidencia ]],PESOS!A$16:B$20,2,0)</f>
        <v>20</v>
      </c>
      <c r="Z254" s="1"/>
      <c r="AA254" s="1" t="s">
        <v>45</v>
      </c>
      <c r="AB254" s="22">
        <f>VLOOKUP(TablaCalificaciones[[#This Row],[Coherencia y manejo del tiempo]],PESOS!A$25:B$29,2,0)</f>
        <v>10</v>
      </c>
      <c r="AC254" s="1"/>
      <c r="AD254" s="1" t="s">
        <v>45</v>
      </c>
      <c r="AE254" s="22">
        <f>VLOOKUP(TablaCalificaciones[[#This Row],[Diapositivas como apoyo]],PESOS!A$25:B$29,2,0)</f>
        <v>10</v>
      </c>
      <c r="AF254" s="1"/>
      <c r="AG254" s="1" t="s">
        <v>45</v>
      </c>
      <c r="AH254" s="22">
        <f>VLOOKUP(TablaCalificaciones[[#This Row],[Respuestas a preguntas]],PESOS!A$25:B$29,2,0)</f>
        <v>10</v>
      </c>
      <c r="AI254" s="1"/>
      <c r="AJ254" s="1" t="s">
        <v>45</v>
      </c>
      <c r="AK254" s="22">
        <f>VLOOKUP(TablaCalificaciones[[#This Row],[Cierre: aporte a próximos pasos]],PESOS!A$25:B$29,2,0)</f>
        <v>10</v>
      </c>
      <c r="AL254" s="1"/>
      <c r="AM254" s="1"/>
    </row>
    <row r="255" spans="1:39">
      <c r="A255">
        <v>255</v>
      </c>
      <c r="B255" s="2">
        <v>46134.533819444398</v>
      </c>
      <c r="C255" s="2">
        <v>46134.537268518499</v>
      </c>
      <c r="D255" s="1" t="s">
        <v>54</v>
      </c>
      <c r="E255" s="1" t="s">
        <v>55</v>
      </c>
      <c r="G255" s="1"/>
      <c r="H255" s="2"/>
      <c r="I255" s="1" t="s">
        <v>68</v>
      </c>
      <c r="K255" s="1"/>
      <c r="L255" s="1" t="s">
        <v>56</v>
      </c>
      <c r="M255" s="26" t="str">
        <f>CONCATENATE(TablaCalificaciones[[#This Row],[Seleccione su nombre (Evaluador)]],TablaCalificaciones[[#This Row],[Seleccione el nombre del Estudiante]])</f>
        <v>Marco Antonio Galarza CastilloMoreta Gallegos Ángel Andrés</v>
      </c>
      <c r="N255" s="1"/>
      <c r="O255" s="1" t="s">
        <v>209</v>
      </c>
      <c r="Q255" s="1"/>
      <c r="R255" s="1" t="s">
        <v>44</v>
      </c>
      <c r="S255" s="22">
        <f>VLOOKUP(TablaCalificaciones[[#This Row],[Apertura: problema y objetivo ]],PESOS!A$16:B$20,2,0)</f>
        <v>20</v>
      </c>
      <c r="T255" s="1"/>
      <c r="U255" s="1" t="s">
        <v>44</v>
      </c>
      <c r="V255" s="22">
        <f>VLOOKUP(TablaCalificaciones[[#This Row],[Metodología (nivel adecuado)]],PESOS!A$16:B$20,2,0)</f>
        <v>20</v>
      </c>
      <c r="W255" s="1"/>
      <c r="X255" s="1" t="s">
        <v>44</v>
      </c>
      <c r="Y255" s="22">
        <f>VLOOKUP(TablaCalificaciones[[#This Row],[Resultados y evidencia ]],PESOS!A$16:B$20,2,0)</f>
        <v>20</v>
      </c>
      <c r="Z255" s="1"/>
      <c r="AA255" s="1" t="s">
        <v>45</v>
      </c>
      <c r="AB255" s="22">
        <f>VLOOKUP(TablaCalificaciones[[#This Row],[Coherencia y manejo del tiempo]],PESOS!A$25:B$29,2,0)</f>
        <v>10</v>
      </c>
      <c r="AC255" s="1"/>
      <c r="AD255" s="1" t="s">
        <v>45</v>
      </c>
      <c r="AE255" s="22">
        <f>VLOOKUP(TablaCalificaciones[[#This Row],[Diapositivas como apoyo]],PESOS!A$25:B$29,2,0)</f>
        <v>10</v>
      </c>
      <c r="AF255" s="1"/>
      <c r="AG255" s="1" t="s">
        <v>45</v>
      </c>
      <c r="AH255" s="22">
        <f>VLOOKUP(TablaCalificaciones[[#This Row],[Respuestas a preguntas]],PESOS!A$25:B$29,2,0)</f>
        <v>10</v>
      </c>
      <c r="AI255" s="1"/>
      <c r="AJ255" s="1" t="s">
        <v>45</v>
      </c>
      <c r="AK255" s="22">
        <f>VLOOKUP(TablaCalificaciones[[#This Row],[Cierre: aporte a próximos pasos]],PESOS!A$25:B$29,2,0)</f>
        <v>10</v>
      </c>
      <c r="AL255" s="1"/>
      <c r="AM255" s="1"/>
    </row>
    <row r="256" spans="1:39">
      <c r="A256">
        <v>256</v>
      </c>
      <c r="B256" s="2">
        <v>46134.537291666697</v>
      </c>
      <c r="C256" s="2">
        <v>46134.537650462997</v>
      </c>
      <c r="D256" s="1" t="s">
        <v>54</v>
      </c>
      <c r="E256" s="1" t="s">
        <v>55</v>
      </c>
      <c r="G256" s="1"/>
      <c r="H256" s="2"/>
      <c r="I256" s="1" t="s">
        <v>68</v>
      </c>
      <c r="K256" s="1"/>
      <c r="L256" s="1" t="s">
        <v>56</v>
      </c>
      <c r="M256" s="26" t="str">
        <f>CONCATENATE(TablaCalificaciones[[#This Row],[Seleccione su nombre (Evaluador)]],TablaCalificaciones[[#This Row],[Seleccione el nombre del Estudiante]])</f>
        <v>Marco Antonio Galarza CastilloPacheco Cueva Alan Josueth</v>
      </c>
      <c r="N256" s="1"/>
      <c r="O256" s="1" t="s">
        <v>210</v>
      </c>
      <c r="Q256" s="1"/>
      <c r="R256" s="1" t="s">
        <v>44</v>
      </c>
      <c r="S256" s="22">
        <f>VLOOKUP(TablaCalificaciones[[#This Row],[Apertura: problema y objetivo ]],PESOS!A$16:B$20,2,0)</f>
        <v>20</v>
      </c>
      <c r="T256" s="1"/>
      <c r="U256" s="1" t="s">
        <v>44</v>
      </c>
      <c r="V256" s="22">
        <f>VLOOKUP(TablaCalificaciones[[#This Row],[Metodología (nivel adecuado)]],PESOS!A$16:B$20,2,0)</f>
        <v>20</v>
      </c>
      <c r="W256" s="1"/>
      <c r="X256" s="1" t="s">
        <v>44</v>
      </c>
      <c r="Y256" s="22">
        <f>VLOOKUP(TablaCalificaciones[[#This Row],[Resultados y evidencia ]],PESOS!A$16:B$20,2,0)</f>
        <v>20</v>
      </c>
      <c r="Z256" s="1"/>
      <c r="AA256" s="1" t="s">
        <v>45</v>
      </c>
      <c r="AB256" s="22">
        <f>VLOOKUP(TablaCalificaciones[[#This Row],[Coherencia y manejo del tiempo]],PESOS!A$25:B$29,2,0)</f>
        <v>10</v>
      </c>
      <c r="AC256" s="1"/>
      <c r="AD256" s="1" t="s">
        <v>45</v>
      </c>
      <c r="AE256" s="22">
        <f>VLOOKUP(TablaCalificaciones[[#This Row],[Diapositivas como apoyo]],PESOS!A$25:B$29,2,0)</f>
        <v>10</v>
      </c>
      <c r="AF256" s="1"/>
      <c r="AG256" s="1" t="s">
        <v>45</v>
      </c>
      <c r="AH256" s="22">
        <f>VLOOKUP(TablaCalificaciones[[#This Row],[Respuestas a preguntas]],PESOS!A$25:B$29,2,0)</f>
        <v>10</v>
      </c>
      <c r="AI256" s="1"/>
      <c r="AJ256" s="1" t="s">
        <v>45</v>
      </c>
      <c r="AK256" s="22">
        <f>VLOOKUP(TablaCalificaciones[[#This Row],[Cierre: aporte a próximos pasos]],PESOS!A$25:B$29,2,0)</f>
        <v>10</v>
      </c>
      <c r="AL256" s="1"/>
      <c r="AM256" s="1"/>
    </row>
    <row r="257" spans="1:39">
      <c r="A257">
        <v>257</v>
      </c>
      <c r="B257" s="2">
        <v>46134.536550925899</v>
      </c>
      <c r="C257" s="2">
        <v>46134.537650462997</v>
      </c>
      <c r="D257" s="1" t="s">
        <v>93</v>
      </c>
      <c r="E257" s="1" t="s">
        <v>94</v>
      </c>
      <c r="G257" s="1"/>
      <c r="H257" s="2"/>
      <c r="I257" s="1" t="s">
        <v>68</v>
      </c>
      <c r="K257" s="1"/>
      <c r="L257" s="1" t="s">
        <v>95</v>
      </c>
      <c r="M257" s="26" t="str">
        <f>CONCATENATE(TablaCalificaciones[[#This Row],[Seleccione su nombre (Evaluador)]],TablaCalificaciones[[#This Row],[Seleccione el nombre del Estudiante]])</f>
        <v>Nelly Patricia Acosta VargasLópez Posso Antonio Francisco</v>
      </c>
      <c r="N257" s="1"/>
      <c r="O257" s="1" t="s">
        <v>211</v>
      </c>
      <c r="Q257" s="1"/>
      <c r="R257" s="1" t="s">
        <v>44</v>
      </c>
      <c r="S257" s="22">
        <f>VLOOKUP(TablaCalificaciones[[#This Row],[Apertura: problema y objetivo ]],PESOS!A$16:B$20,2,0)</f>
        <v>20</v>
      </c>
      <c r="T257" s="1"/>
      <c r="U257" s="1" t="s">
        <v>44</v>
      </c>
      <c r="V257" s="22">
        <f>VLOOKUP(TablaCalificaciones[[#This Row],[Metodología (nivel adecuado)]],PESOS!A$16:B$20,2,0)</f>
        <v>20</v>
      </c>
      <c r="W257" s="1"/>
      <c r="X257" s="1" t="s">
        <v>44</v>
      </c>
      <c r="Y257" s="22">
        <f>VLOOKUP(TablaCalificaciones[[#This Row],[Resultados y evidencia ]],PESOS!A$16:B$20,2,0)</f>
        <v>20</v>
      </c>
      <c r="Z257" s="1"/>
      <c r="AA257" s="1" t="s">
        <v>45</v>
      </c>
      <c r="AB257" s="22">
        <f>VLOOKUP(TablaCalificaciones[[#This Row],[Coherencia y manejo del tiempo]],PESOS!A$25:B$29,2,0)</f>
        <v>10</v>
      </c>
      <c r="AC257" s="1"/>
      <c r="AD257" s="1" t="s">
        <v>45</v>
      </c>
      <c r="AE257" s="22">
        <f>VLOOKUP(TablaCalificaciones[[#This Row],[Diapositivas como apoyo]],PESOS!A$25:B$29,2,0)</f>
        <v>10</v>
      </c>
      <c r="AF257" s="1"/>
      <c r="AG257" s="1" t="s">
        <v>45</v>
      </c>
      <c r="AH257" s="22">
        <f>VLOOKUP(TablaCalificaciones[[#This Row],[Respuestas a preguntas]],PESOS!A$25:B$29,2,0)</f>
        <v>10</v>
      </c>
      <c r="AI257" s="1"/>
      <c r="AJ257" s="1" t="s">
        <v>45</v>
      </c>
      <c r="AK257" s="22">
        <f>VLOOKUP(TablaCalificaciones[[#This Row],[Cierre: aporte a próximos pasos]],PESOS!A$25:B$29,2,0)</f>
        <v>10</v>
      </c>
      <c r="AL257" s="1"/>
      <c r="AM257" s="1"/>
    </row>
    <row r="258" spans="1:39">
      <c r="A258">
        <v>258</v>
      </c>
      <c r="B258" s="2">
        <v>46134.522407407399</v>
      </c>
      <c r="C258" s="2">
        <v>46134.539120370398</v>
      </c>
      <c r="D258" s="1" t="s">
        <v>59</v>
      </c>
      <c r="E258" s="1" t="s">
        <v>60</v>
      </c>
      <c r="G258" s="1"/>
      <c r="H258" s="2"/>
      <c r="I258" s="1" t="s">
        <v>68</v>
      </c>
      <c r="K258" s="1"/>
      <c r="L258" s="1" t="s">
        <v>60</v>
      </c>
      <c r="M258" s="26" t="str">
        <f>CONCATENATE(TablaCalificaciones[[#This Row],[Seleccione su nombre (Evaluador)]],TablaCalificaciones[[#This Row],[Seleccione el nombre del Estudiante]])</f>
        <v>Santiago Leonardo SolórzanoLópez Posso Antonio Francisco</v>
      </c>
      <c r="N258" s="1"/>
      <c r="O258" s="1" t="s">
        <v>211</v>
      </c>
      <c r="Q258" s="1"/>
      <c r="R258" s="1" t="s">
        <v>44</v>
      </c>
      <c r="S258" s="22">
        <f>VLOOKUP(TablaCalificaciones[[#This Row],[Apertura: problema y objetivo ]],PESOS!A$16:B$20,2,0)</f>
        <v>20</v>
      </c>
      <c r="T258" s="1"/>
      <c r="U258" s="1" t="s">
        <v>44</v>
      </c>
      <c r="V258" s="22">
        <f>VLOOKUP(TablaCalificaciones[[#This Row],[Metodología (nivel adecuado)]],PESOS!A$16:B$20,2,0)</f>
        <v>20</v>
      </c>
      <c r="W258" s="1"/>
      <c r="X258" s="1" t="s">
        <v>44</v>
      </c>
      <c r="Y258" s="22">
        <f>VLOOKUP(TablaCalificaciones[[#This Row],[Resultados y evidencia ]],PESOS!A$16:B$20,2,0)</f>
        <v>20</v>
      </c>
      <c r="Z258" s="1"/>
      <c r="AA258" s="1" t="s">
        <v>45</v>
      </c>
      <c r="AB258" s="22">
        <f>VLOOKUP(TablaCalificaciones[[#This Row],[Coherencia y manejo del tiempo]],PESOS!A$25:B$29,2,0)</f>
        <v>10</v>
      </c>
      <c r="AC258" s="1"/>
      <c r="AD258" s="1" t="s">
        <v>45</v>
      </c>
      <c r="AE258" s="22">
        <f>VLOOKUP(TablaCalificaciones[[#This Row],[Diapositivas como apoyo]],PESOS!A$25:B$29,2,0)</f>
        <v>10</v>
      </c>
      <c r="AF258" s="1"/>
      <c r="AG258" s="1" t="s">
        <v>45</v>
      </c>
      <c r="AH258" s="22">
        <f>VLOOKUP(TablaCalificaciones[[#This Row],[Respuestas a preguntas]],PESOS!A$25:B$29,2,0)</f>
        <v>10</v>
      </c>
      <c r="AI258" s="1"/>
      <c r="AJ258" s="1" t="s">
        <v>45</v>
      </c>
      <c r="AK258" s="22">
        <f>VLOOKUP(TablaCalificaciones[[#This Row],[Cierre: aporte a próximos pasos]],PESOS!A$25:B$29,2,0)</f>
        <v>10</v>
      </c>
      <c r="AL258" s="1"/>
      <c r="AM258" s="1"/>
    </row>
    <row r="259" spans="1:39">
      <c r="A259">
        <v>259</v>
      </c>
      <c r="B259" s="2">
        <v>46134.521932870397</v>
      </c>
      <c r="C259" s="2">
        <v>46134.539803240703</v>
      </c>
      <c r="D259" s="1" t="s">
        <v>59</v>
      </c>
      <c r="E259" s="1" t="s">
        <v>60</v>
      </c>
      <c r="G259" s="1"/>
      <c r="H259" s="2"/>
      <c r="I259" s="1" t="s">
        <v>68</v>
      </c>
      <c r="K259" s="1"/>
      <c r="L259" s="1" t="s">
        <v>60</v>
      </c>
      <c r="M259" s="26" t="str">
        <f>CONCATENATE(TablaCalificaciones[[#This Row],[Seleccione su nombre (Evaluador)]],TablaCalificaciones[[#This Row],[Seleccione el nombre del Estudiante]])</f>
        <v>Santiago Leonardo SolórzanoVacas Andrade Carlos Andrés</v>
      </c>
      <c r="N259" s="1"/>
      <c r="O259" s="1" t="s">
        <v>207</v>
      </c>
      <c r="Q259" s="1"/>
      <c r="R259" s="1" t="s">
        <v>44</v>
      </c>
      <c r="S259" s="22">
        <f>VLOOKUP(TablaCalificaciones[[#This Row],[Apertura: problema y objetivo ]],PESOS!A$16:B$20,2,0)</f>
        <v>20</v>
      </c>
      <c r="T259" s="1"/>
      <c r="U259" s="1" t="s">
        <v>44</v>
      </c>
      <c r="V259" s="22">
        <f>VLOOKUP(TablaCalificaciones[[#This Row],[Metodología (nivel adecuado)]],PESOS!A$16:B$20,2,0)</f>
        <v>20</v>
      </c>
      <c r="W259" s="1"/>
      <c r="X259" s="1" t="s">
        <v>44</v>
      </c>
      <c r="Y259" s="22">
        <f>VLOOKUP(TablaCalificaciones[[#This Row],[Resultados y evidencia ]],PESOS!A$16:B$20,2,0)</f>
        <v>20</v>
      </c>
      <c r="Z259" s="1"/>
      <c r="AA259" s="1" t="s">
        <v>45</v>
      </c>
      <c r="AB259" s="22">
        <f>VLOOKUP(TablaCalificaciones[[#This Row],[Coherencia y manejo del tiempo]],PESOS!A$25:B$29,2,0)</f>
        <v>10</v>
      </c>
      <c r="AC259" s="1"/>
      <c r="AD259" s="1" t="s">
        <v>45</v>
      </c>
      <c r="AE259" s="22">
        <f>VLOOKUP(TablaCalificaciones[[#This Row],[Diapositivas como apoyo]],PESOS!A$25:B$29,2,0)</f>
        <v>10</v>
      </c>
      <c r="AF259" s="1"/>
      <c r="AG259" s="1" t="s">
        <v>51</v>
      </c>
      <c r="AH259" s="22">
        <f>VLOOKUP(TablaCalificaciones[[#This Row],[Respuestas a preguntas]],PESOS!A$25:B$29,2,0)</f>
        <v>8</v>
      </c>
      <c r="AI259" s="1"/>
      <c r="AJ259" s="1" t="s">
        <v>45</v>
      </c>
      <c r="AK259" s="22">
        <f>VLOOKUP(TablaCalificaciones[[#This Row],[Cierre: aporte a próximos pasos]],PESOS!A$25:B$29,2,0)</f>
        <v>10</v>
      </c>
      <c r="AL259" s="1"/>
      <c r="AM259" s="1"/>
    </row>
    <row r="260" spans="1:39">
      <c r="A260">
        <v>260</v>
      </c>
      <c r="B260" s="2">
        <v>46134.521261574097</v>
      </c>
      <c r="C260" s="2">
        <v>46134.540069444403</v>
      </c>
      <c r="D260" s="1" t="s">
        <v>59</v>
      </c>
      <c r="E260" s="1" t="s">
        <v>60</v>
      </c>
      <c r="G260" s="1"/>
      <c r="H260" s="2"/>
      <c r="I260" s="1" t="s">
        <v>68</v>
      </c>
      <c r="K260" s="1"/>
      <c r="L260" s="1" t="s">
        <v>60</v>
      </c>
      <c r="M260" s="26" t="str">
        <f>CONCATENATE(TablaCalificaciones[[#This Row],[Seleccione su nombre (Evaluador)]],TablaCalificaciones[[#This Row],[Seleccione el nombre del Estudiante]])</f>
        <v>Santiago Leonardo SolórzanoVillagrán Herrero Carlos Mauricio</v>
      </c>
      <c r="N260" s="1"/>
      <c r="O260" s="1" t="s">
        <v>208</v>
      </c>
      <c r="Q260" s="1"/>
      <c r="R260" s="1" t="s">
        <v>44</v>
      </c>
      <c r="S260" s="22">
        <f>VLOOKUP(TablaCalificaciones[[#This Row],[Apertura: problema y objetivo ]],PESOS!A$16:B$20,2,0)</f>
        <v>20</v>
      </c>
      <c r="T260" s="1"/>
      <c r="U260" s="1" t="s">
        <v>44</v>
      </c>
      <c r="V260" s="22">
        <f>VLOOKUP(TablaCalificaciones[[#This Row],[Metodología (nivel adecuado)]],PESOS!A$16:B$20,2,0)</f>
        <v>20</v>
      </c>
      <c r="W260" s="1"/>
      <c r="X260" s="1" t="s">
        <v>44</v>
      </c>
      <c r="Y260" s="22">
        <f>VLOOKUP(TablaCalificaciones[[#This Row],[Resultados y evidencia ]],PESOS!A$16:B$20,2,0)</f>
        <v>20</v>
      </c>
      <c r="Z260" s="1"/>
      <c r="AA260" s="1" t="s">
        <v>45</v>
      </c>
      <c r="AB260" s="22">
        <f>VLOOKUP(TablaCalificaciones[[#This Row],[Coherencia y manejo del tiempo]],PESOS!A$25:B$29,2,0)</f>
        <v>10</v>
      </c>
      <c r="AC260" s="1"/>
      <c r="AD260" s="1" t="s">
        <v>45</v>
      </c>
      <c r="AE260" s="22">
        <f>VLOOKUP(TablaCalificaciones[[#This Row],[Diapositivas como apoyo]],PESOS!A$25:B$29,2,0)</f>
        <v>10</v>
      </c>
      <c r="AF260" s="1"/>
      <c r="AG260" s="1" t="s">
        <v>51</v>
      </c>
      <c r="AH260" s="22">
        <f>VLOOKUP(TablaCalificaciones[[#This Row],[Respuestas a preguntas]],PESOS!A$25:B$29,2,0)</f>
        <v>8</v>
      </c>
      <c r="AI260" s="1"/>
      <c r="AJ260" s="1" t="s">
        <v>45</v>
      </c>
      <c r="AK260" s="22">
        <f>VLOOKUP(TablaCalificaciones[[#This Row],[Cierre: aporte a próximos pasos]],PESOS!A$25:B$29,2,0)</f>
        <v>10</v>
      </c>
      <c r="AL260" s="1"/>
      <c r="AM260" s="1"/>
    </row>
    <row r="261" spans="1:39">
      <c r="A261">
        <v>261</v>
      </c>
      <c r="B261" s="2">
        <v>46134.5397337963</v>
      </c>
      <c r="C261" s="2">
        <v>46134.5402314815</v>
      </c>
      <c r="D261" s="1" t="s">
        <v>212</v>
      </c>
      <c r="E261" s="1" t="s">
        <v>213</v>
      </c>
      <c r="G261" s="1"/>
      <c r="H261" s="2"/>
      <c r="I261" s="1" t="s">
        <v>68</v>
      </c>
      <c r="K261" s="1"/>
      <c r="L261" s="1" t="s">
        <v>214</v>
      </c>
      <c r="M261" s="26" t="str">
        <f>CONCATENATE(TablaCalificaciones[[#This Row],[Seleccione su nombre (Evaluador)]],TablaCalificaciones[[#This Row],[Seleccione el nombre del Estudiante]])</f>
        <v>Andrea Mariana Escobar GarcíaMoreta Gallegos Ángel Andrés</v>
      </c>
      <c r="N261" s="1"/>
      <c r="O261" s="1" t="s">
        <v>209</v>
      </c>
      <c r="Q261" s="1"/>
      <c r="R261" s="1" t="s">
        <v>44</v>
      </c>
      <c r="S261" s="22">
        <f>VLOOKUP(TablaCalificaciones[[#This Row],[Apertura: problema y objetivo ]],PESOS!A$16:B$20,2,0)</f>
        <v>20</v>
      </c>
      <c r="T261" s="1"/>
      <c r="U261" s="1" t="s">
        <v>44</v>
      </c>
      <c r="V261" s="22">
        <f>VLOOKUP(TablaCalificaciones[[#This Row],[Metodología (nivel adecuado)]],PESOS!A$16:B$20,2,0)</f>
        <v>20</v>
      </c>
      <c r="W261" s="1"/>
      <c r="X261" s="1" t="s">
        <v>44</v>
      </c>
      <c r="Y261" s="22">
        <f>VLOOKUP(TablaCalificaciones[[#This Row],[Resultados y evidencia ]],PESOS!A$16:B$20,2,0)</f>
        <v>20</v>
      </c>
      <c r="Z261" s="1"/>
      <c r="AA261" s="1" t="s">
        <v>45</v>
      </c>
      <c r="AB261" s="22">
        <f>VLOOKUP(TablaCalificaciones[[#This Row],[Coherencia y manejo del tiempo]],PESOS!A$25:B$29,2,0)</f>
        <v>10</v>
      </c>
      <c r="AC261" s="1"/>
      <c r="AD261" s="1" t="s">
        <v>45</v>
      </c>
      <c r="AE261" s="22">
        <f>VLOOKUP(TablaCalificaciones[[#This Row],[Diapositivas como apoyo]],PESOS!A$25:B$29,2,0)</f>
        <v>10</v>
      </c>
      <c r="AF261" s="1"/>
      <c r="AG261" s="1" t="s">
        <v>45</v>
      </c>
      <c r="AH261" s="22">
        <f>VLOOKUP(TablaCalificaciones[[#This Row],[Respuestas a preguntas]],PESOS!A$25:B$29,2,0)</f>
        <v>10</v>
      </c>
      <c r="AI261" s="1"/>
      <c r="AJ261" s="1" t="s">
        <v>45</v>
      </c>
      <c r="AK261" s="22">
        <f>VLOOKUP(TablaCalificaciones[[#This Row],[Cierre: aporte a próximos pasos]],PESOS!A$25:B$29,2,0)</f>
        <v>10</v>
      </c>
      <c r="AL261" s="1"/>
      <c r="AM261" s="1"/>
    </row>
    <row r="262" spans="1:39">
      <c r="A262">
        <v>262</v>
      </c>
      <c r="B262" s="2">
        <v>46134.5402777778</v>
      </c>
      <c r="C262" s="2">
        <v>46134.540717592601</v>
      </c>
      <c r="D262" s="1" t="s">
        <v>212</v>
      </c>
      <c r="E262" s="1" t="s">
        <v>213</v>
      </c>
      <c r="G262" s="1"/>
      <c r="H262" s="2"/>
      <c r="I262" s="1" t="s">
        <v>68</v>
      </c>
      <c r="K262" s="1"/>
      <c r="L262" s="1" t="s">
        <v>214</v>
      </c>
      <c r="M262" s="26" t="str">
        <f>CONCATENATE(TablaCalificaciones[[#This Row],[Seleccione su nombre (Evaluador)]],TablaCalificaciones[[#This Row],[Seleccione el nombre del Estudiante]])</f>
        <v>Andrea Mariana Escobar GarcíaPacheco Cueva Alan Josueth</v>
      </c>
      <c r="N262" s="1"/>
      <c r="O262" s="1" t="s">
        <v>210</v>
      </c>
      <c r="Q262" s="1"/>
      <c r="R262" s="1" t="s">
        <v>44</v>
      </c>
      <c r="S262" s="22">
        <f>VLOOKUP(TablaCalificaciones[[#This Row],[Apertura: problema y objetivo ]],PESOS!A$16:B$20,2,0)</f>
        <v>20</v>
      </c>
      <c r="T262" s="1"/>
      <c r="U262" s="1" t="s">
        <v>44</v>
      </c>
      <c r="V262" s="22">
        <f>VLOOKUP(TablaCalificaciones[[#This Row],[Metodología (nivel adecuado)]],PESOS!A$16:B$20,2,0)</f>
        <v>20</v>
      </c>
      <c r="W262" s="1"/>
      <c r="X262" s="1" t="s">
        <v>44</v>
      </c>
      <c r="Y262" s="22">
        <f>VLOOKUP(TablaCalificaciones[[#This Row],[Resultados y evidencia ]],PESOS!A$16:B$20,2,0)</f>
        <v>20</v>
      </c>
      <c r="Z262" s="1"/>
      <c r="AA262" s="1" t="s">
        <v>45</v>
      </c>
      <c r="AB262" s="22">
        <f>VLOOKUP(TablaCalificaciones[[#This Row],[Coherencia y manejo del tiempo]],PESOS!A$25:B$29,2,0)</f>
        <v>10</v>
      </c>
      <c r="AC262" s="1"/>
      <c r="AD262" s="1" t="s">
        <v>45</v>
      </c>
      <c r="AE262" s="22">
        <f>VLOOKUP(TablaCalificaciones[[#This Row],[Diapositivas como apoyo]],PESOS!A$25:B$29,2,0)</f>
        <v>10</v>
      </c>
      <c r="AF262" s="1"/>
      <c r="AG262" s="1" t="s">
        <v>45</v>
      </c>
      <c r="AH262" s="22">
        <f>VLOOKUP(TablaCalificaciones[[#This Row],[Respuestas a preguntas]],PESOS!A$25:B$29,2,0)</f>
        <v>10</v>
      </c>
      <c r="AI262" s="1"/>
      <c r="AJ262" s="1" t="s">
        <v>45</v>
      </c>
      <c r="AK262" s="22">
        <f>VLOOKUP(TablaCalificaciones[[#This Row],[Cierre: aporte a próximos pasos]],PESOS!A$25:B$29,2,0)</f>
        <v>10</v>
      </c>
      <c r="AL262" s="1"/>
      <c r="AM262" s="1"/>
    </row>
    <row r="263" spans="1:39">
      <c r="A263">
        <v>263</v>
      </c>
      <c r="B263" s="2">
        <v>46134.540509259299</v>
      </c>
      <c r="C263" s="2">
        <v>46134.543310185203</v>
      </c>
      <c r="D263" s="1" t="s">
        <v>180</v>
      </c>
      <c r="E263" s="1" t="s">
        <v>181</v>
      </c>
      <c r="G263" s="1"/>
      <c r="H263" s="2"/>
      <c r="I263" s="1" t="s">
        <v>68</v>
      </c>
      <c r="K263" s="1"/>
      <c r="L263" s="1" t="s">
        <v>181</v>
      </c>
      <c r="M263" s="26" t="str">
        <f>CONCATENATE(TablaCalificaciones[[#This Row],[Seleccione su nombre (Evaluador)]],TablaCalificaciones[[#This Row],[Seleccione el nombre del Estudiante]])</f>
        <v>Eddy Mauricio ArmasLópez Posso Antonio Francisco</v>
      </c>
      <c r="N263" s="1"/>
      <c r="O263" s="1" t="s">
        <v>211</v>
      </c>
      <c r="Q263" s="1"/>
      <c r="R263" s="1" t="s">
        <v>50</v>
      </c>
      <c r="S263" s="22">
        <f>VLOOKUP(TablaCalificaciones[[#This Row],[Apertura: problema y objetivo ]],PESOS!A$16:B$20,2,0)</f>
        <v>16</v>
      </c>
      <c r="T263" s="1"/>
      <c r="U263" s="1" t="s">
        <v>50</v>
      </c>
      <c r="V263" s="22">
        <f>VLOOKUP(TablaCalificaciones[[#This Row],[Metodología (nivel adecuado)]],PESOS!A$16:B$20,2,0)</f>
        <v>16</v>
      </c>
      <c r="W263" s="1"/>
      <c r="X263" s="1" t="s">
        <v>50</v>
      </c>
      <c r="Y263" s="22">
        <f>VLOOKUP(TablaCalificaciones[[#This Row],[Resultados y evidencia ]],PESOS!A$16:B$20,2,0)</f>
        <v>16</v>
      </c>
      <c r="Z263" s="1"/>
      <c r="AA263" s="1" t="s">
        <v>51</v>
      </c>
      <c r="AB263" s="22">
        <f>VLOOKUP(TablaCalificaciones[[#This Row],[Coherencia y manejo del tiempo]],PESOS!A$25:B$29,2,0)</f>
        <v>8</v>
      </c>
      <c r="AC263" s="1"/>
      <c r="AD263" s="1" t="s">
        <v>51</v>
      </c>
      <c r="AE263" s="22">
        <f>VLOOKUP(TablaCalificaciones[[#This Row],[Diapositivas como apoyo]],PESOS!A$25:B$29,2,0)</f>
        <v>8</v>
      </c>
      <c r="AF263" s="1"/>
      <c r="AG263" s="1" t="s">
        <v>51</v>
      </c>
      <c r="AH263" s="22">
        <f>VLOOKUP(TablaCalificaciones[[#This Row],[Respuestas a preguntas]],PESOS!A$25:B$29,2,0)</f>
        <v>8</v>
      </c>
      <c r="AI263" s="1"/>
      <c r="AJ263" s="1" t="s">
        <v>45</v>
      </c>
      <c r="AK263" s="22">
        <f>VLOOKUP(TablaCalificaciones[[#This Row],[Cierre: aporte a próximos pasos]],PESOS!A$25:B$29,2,0)</f>
        <v>10</v>
      </c>
      <c r="AL263" s="1"/>
      <c r="AM263" s="1"/>
    </row>
    <row r="264" spans="1:39">
      <c r="A264">
        <v>264</v>
      </c>
      <c r="B264" s="2">
        <v>46134.543402777803</v>
      </c>
      <c r="C264" s="2">
        <v>46134.545243055603</v>
      </c>
      <c r="D264" s="1" t="s">
        <v>180</v>
      </c>
      <c r="E264" s="1" t="s">
        <v>181</v>
      </c>
      <c r="G264" s="1"/>
      <c r="H264" s="2"/>
      <c r="I264" s="1" t="s">
        <v>68</v>
      </c>
      <c r="K264" s="1"/>
      <c r="L264" s="1" t="s">
        <v>181</v>
      </c>
      <c r="M264" s="26" t="str">
        <f>CONCATENATE(TablaCalificaciones[[#This Row],[Seleccione su nombre (Evaluador)]],TablaCalificaciones[[#This Row],[Seleccione el nombre del Estudiante]])</f>
        <v>Eddy Mauricio ArmasVacas Andrade Carlos Andrés</v>
      </c>
      <c r="N264" s="1"/>
      <c r="O264" s="1" t="s">
        <v>207</v>
      </c>
      <c r="Q264" s="1"/>
      <c r="R264" s="1" t="s">
        <v>50</v>
      </c>
      <c r="S264" s="22">
        <f>VLOOKUP(TablaCalificaciones[[#This Row],[Apertura: problema y objetivo ]],PESOS!A$16:B$20,2,0)</f>
        <v>16</v>
      </c>
      <c r="T264" s="1"/>
      <c r="U264" s="1" t="s">
        <v>50</v>
      </c>
      <c r="V264" s="22">
        <f>VLOOKUP(TablaCalificaciones[[#This Row],[Metodología (nivel adecuado)]],PESOS!A$16:B$20,2,0)</f>
        <v>16</v>
      </c>
      <c r="W264" s="1"/>
      <c r="X264" s="1" t="s">
        <v>50</v>
      </c>
      <c r="Y264" s="22">
        <f>VLOOKUP(TablaCalificaciones[[#This Row],[Resultados y evidencia ]],PESOS!A$16:B$20,2,0)</f>
        <v>16</v>
      </c>
      <c r="Z264" s="1"/>
      <c r="AA264" s="1" t="s">
        <v>51</v>
      </c>
      <c r="AB264" s="22">
        <f>VLOOKUP(TablaCalificaciones[[#This Row],[Coherencia y manejo del tiempo]],PESOS!A$25:B$29,2,0)</f>
        <v>8</v>
      </c>
      <c r="AC264" s="1"/>
      <c r="AD264" s="1" t="s">
        <v>51</v>
      </c>
      <c r="AE264" s="22">
        <f>VLOOKUP(TablaCalificaciones[[#This Row],[Diapositivas como apoyo]],PESOS!A$25:B$29,2,0)</f>
        <v>8</v>
      </c>
      <c r="AF264" s="1"/>
      <c r="AG264" s="1" t="s">
        <v>215</v>
      </c>
      <c r="AH264" s="22">
        <f>VLOOKUP(TablaCalificaciones[[#This Row],[Respuestas a preguntas]],PESOS!A$25:B$29,2,0)</f>
        <v>4</v>
      </c>
      <c r="AI264" s="1"/>
      <c r="AJ264" s="1" t="s">
        <v>215</v>
      </c>
      <c r="AK264" s="22">
        <f>VLOOKUP(TablaCalificaciones[[#This Row],[Cierre: aporte a próximos pasos]],PESOS!A$25:B$29,2,0)</f>
        <v>4</v>
      </c>
      <c r="AL264" s="1"/>
      <c r="AM264" s="1"/>
    </row>
    <row r="265" spans="1:39">
      <c r="A265">
        <v>265</v>
      </c>
      <c r="B265" s="2">
        <v>46134.545451388898</v>
      </c>
      <c r="C265" s="2">
        <v>46134.546504629601</v>
      </c>
      <c r="D265" s="1" t="s">
        <v>180</v>
      </c>
      <c r="E265" s="1" t="s">
        <v>181</v>
      </c>
      <c r="G265" s="1"/>
      <c r="H265" s="2"/>
      <c r="I265" s="1" t="s">
        <v>68</v>
      </c>
      <c r="K265" s="1"/>
      <c r="L265" s="1" t="s">
        <v>181</v>
      </c>
      <c r="M265" s="26" t="str">
        <f>CONCATENATE(TablaCalificaciones[[#This Row],[Seleccione su nombre (Evaluador)]],TablaCalificaciones[[#This Row],[Seleccione el nombre del Estudiante]])</f>
        <v>Eddy Mauricio ArmasVillagrán Herrero Carlos Mauricio</v>
      </c>
      <c r="N265" s="1"/>
      <c r="O265" s="1" t="s">
        <v>208</v>
      </c>
      <c r="Q265" s="1"/>
      <c r="R265" s="1" t="s">
        <v>50</v>
      </c>
      <c r="S265" s="22">
        <f>VLOOKUP(TablaCalificaciones[[#This Row],[Apertura: problema y objetivo ]],PESOS!A$16:B$20,2,0)</f>
        <v>16</v>
      </c>
      <c r="T265" s="1"/>
      <c r="U265" s="1" t="s">
        <v>50</v>
      </c>
      <c r="V265" s="22">
        <f>VLOOKUP(TablaCalificaciones[[#This Row],[Metodología (nivel adecuado)]],PESOS!A$16:B$20,2,0)</f>
        <v>16</v>
      </c>
      <c r="W265" s="1"/>
      <c r="X265" s="1" t="s">
        <v>50</v>
      </c>
      <c r="Y265" s="22">
        <f>VLOOKUP(TablaCalificaciones[[#This Row],[Resultados y evidencia ]],PESOS!A$16:B$20,2,0)</f>
        <v>16</v>
      </c>
      <c r="Z265" s="1"/>
      <c r="AA265" s="1" t="s">
        <v>51</v>
      </c>
      <c r="AB265" s="22">
        <f>VLOOKUP(TablaCalificaciones[[#This Row],[Coherencia y manejo del tiempo]],PESOS!A$25:B$29,2,0)</f>
        <v>8</v>
      </c>
      <c r="AC265" s="1"/>
      <c r="AD265" s="1" t="s">
        <v>51</v>
      </c>
      <c r="AE265" s="22">
        <f>VLOOKUP(TablaCalificaciones[[#This Row],[Diapositivas como apoyo]],PESOS!A$25:B$29,2,0)</f>
        <v>8</v>
      </c>
      <c r="AF265" s="1"/>
      <c r="AG265" s="1" t="s">
        <v>51</v>
      </c>
      <c r="AH265" s="22">
        <f>VLOOKUP(TablaCalificaciones[[#This Row],[Respuestas a preguntas]],PESOS!A$25:B$29,2,0)</f>
        <v>8</v>
      </c>
      <c r="AI265" s="1"/>
      <c r="AJ265" s="1" t="s">
        <v>83</v>
      </c>
      <c r="AK265" s="22">
        <f>VLOOKUP(TablaCalificaciones[[#This Row],[Cierre: aporte a próximos pasos]],PESOS!A$25:B$29,2,0)</f>
        <v>6</v>
      </c>
      <c r="AL265" s="1"/>
      <c r="AM265" s="1"/>
    </row>
    <row r="266" spans="1:39">
      <c r="A266">
        <v>266</v>
      </c>
      <c r="B266" s="2">
        <v>46134.4391203704</v>
      </c>
      <c r="C266" s="2">
        <v>46134.551666666703</v>
      </c>
      <c r="D266" s="1" t="s">
        <v>97</v>
      </c>
      <c r="E266" s="1" t="s">
        <v>98</v>
      </c>
      <c r="G266" s="1"/>
      <c r="H266" s="2"/>
      <c r="I266" s="1" t="s">
        <v>68</v>
      </c>
      <c r="K266" s="1"/>
      <c r="L266" s="1" t="s">
        <v>99</v>
      </c>
      <c r="M266" s="26" t="str">
        <f>CONCATENATE(TablaCalificaciones[[#This Row],[Seleccione su nombre (Evaluador)]],TablaCalificaciones[[#This Row],[Seleccione el nombre del Estudiante]])</f>
        <v>Víctor Javier Gómez RegaladoRosero Guevara Ariana Micaela</v>
      </c>
      <c r="N266" s="1"/>
      <c r="O266" s="1" t="s">
        <v>190</v>
      </c>
      <c r="Q266" s="1"/>
      <c r="R266" s="1" t="s">
        <v>44</v>
      </c>
      <c r="S266" s="22">
        <f>VLOOKUP(TablaCalificaciones[[#This Row],[Apertura: problema y objetivo ]],PESOS!A$16:B$20,2,0)</f>
        <v>20</v>
      </c>
      <c r="T266" s="1"/>
      <c r="U266" s="1" t="s">
        <v>44</v>
      </c>
      <c r="V266" s="22">
        <f>VLOOKUP(TablaCalificaciones[[#This Row],[Metodología (nivel adecuado)]],PESOS!A$16:B$20,2,0)</f>
        <v>20</v>
      </c>
      <c r="W266" s="1"/>
      <c r="X266" s="1" t="s">
        <v>44</v>
      </c>
      <c r="Y266" s="22">
        <f>VLOOKUP(TablaCalificaciones[[#This Row],[Resultados y evidencia ]],PESOS!A$16:B$20,2,0)</f>
        <v>20</v>
      </c>
      <c r="Z266" s="1"/>
      <c r="AA266" s="1" t="s">
        <v>45</v>
      </c>
      <c r="AB266" s="22">
        <f>VLOOKUP(TablaCalificaciones[[#This Row],[Coherencia y manejo del tiempo]],PESOS!A$25:B$29,2,0)</f>
        <v>10</v>
      </c>
      <c r="AC266" s="1"/>
      <c r="AD266" s="1" t="s">
        <v>45</v>
      </c>
      <c r="AE266" s="22">
        <f>VLOOKUP(TablaCalificaciones[[#This Row],[Diapositivas como apoyo]],PESOS!A$25:B$29,2,0)</f>
        <v>10</v>
      </c>
      <c r="AF266" s="1"/>
      <c r="AG266" s="1" t="s">
        <v>45</v>
      </c>
      <c r="AH266" s="22">
        <f>VLOOKUP(TablaCalificaciones[[#This Row],[Respuestas a preguntas]],PESOS!A$25:B$29,2,0)</f>
        <v>10</v>
      </c>
      <c r="AI266" s="1"/>
      <c r="AJ266" s="1" t="s">
        <v>45</v>
      </c>
      <c r="AK266" s="22">
        <f>VLOOKUP(TablaCalificaciones[[#This Row],[Cierre: aporte a próximos pasos]],PESOS!A$25:B$29,2,0)</f>
        <v>10</v>
      </c>
      <c r="AL266" s="1"/>
      <c r="AM266" s="1"/>
    </row>
    <row r="267" spans="1:39">
      <c r="A267">
        <v>267</v>
      </c>
      <c r="B267" s="2">
        <v>46134.551689814798</v>
      </c>
      <c r="C267" s="2">
        <v>46134.552499999998</v>
      </c>
      <c r="D267" s="1" t="s">
        <v>97</v>
      </c>
      <c r="E267" s="1" t="s">
        <v>98</v>
      </c>
      <c r="G267" s="1"/>
      <c r="H267" s="2"/>
      <c r="I267" s="1" t="s">
        <v>68</v>
      </c>
      <c r="K267" s="1"/>
      <c r="L267" s="1" t="s">
        <v>99</v>
      </c>
      <c r="M267" s="26" t="str">
        <f>CONCATENATE(TablaCalificaciones[[#This Row],[Seleccione su nombre (Evaluador)]],TablaCalificaciones[[#This Row],[Seleccione el nombre del Estudiante]])</f>
        <v>Víctor Javier Gómez RegaladoPáez Cevallos Santiago Alejandro</v>
      </c>
      <c r="N267" s="1"/>
      <c r="O267" s="1" t="s">
        <v>192</v>
      </c>
      <c r="Q267" s="1"/>
      <c r="R267" s="1" t="s">
        <v>44</v>
      </c>
      <c r="S267" s="22">
        <f>VLOOKUP(TablaCalificaciones[[#This Row],[Apertura: problema y objetivo ]],PESOS!A$16:B$20,2,0)</f>
        <v>20</v>
      </c>
      <c r="T267" s="1"/>
      <c r="U267" s="1" t="s">
        <v>44</v>
      </c>
      <c r="V267" s="22">
        <f>VLOOKUP(TablaCalificaciones[[#This Row],[Metodología (nivel adecuado)]],PESOS!A$16:B$20,2,0)</f>
        <v>20</v>
      </c>
      <c r="W267" s="1"/>
      <c r="X267" s="1" t="s">
        <v>44</v>
      </c>
      <c r="Y267" s="22">
        <f>VLOOKUP(TablaCalificaciones[[#This Row],[Resultados y evidencia ]],PESOS!A$16:B$20,2,0)</f>
        <v>20</v>
      </c>
      <c r="Z267" s="1"/>
      <c r="AA267" s="1" t="s">
        <v>45</v>
      </c>
      <c r="AB267" s="22">
        <f>VLOOKUP(TablaCalificaciones[[#This Row],[Coherencia y manejo del tiempo]],PESOS!A$25:B$29,2,0)</f>
        <v>10</v>
      </c>
      <c r="AC267" s="1"/>
      <c r="AD267" s="1" t="s">
        <v>45</v>
      </c>
      <c r="AE267" s="22">
        <f>VLOOKUP(TablaCalificaciones[[#This Row],[Diapositivas como apoyo]],PESOS!A$25:B$29,2,0)</f>
        <v>10</v>
      </c>
      <c r="AF267" s="1"/>
      <c r="AG267" s="1" t="s">
        <v>45</v>
      </c>
      <c r="AH267" s="22">
        <f>VLOOKUP(TablaCalificaciones[[#This Row],[Respuestas a preguntas]],PESOS!A$25:B$29,2,0)</f>
        <v>10</v>
      </c>
      <c r="AI267" s="1"/>
      <c r="AJ267" s="1" t="s">
        <v>45</v>
      </c>
      <c r="AK267" s="22">
        <f>VLOOKUP(TablaCalificaciones[[#This Row],[Cierre: aporte a próximos pasos]],PESOS!A$25:B$29,2,0)</f>
        <v>10</v>
      </c>
      <c r="AL267" s="1"/>
      <c r="AM267" s="1"/>
    </row>
    <row r="268" spans="1:39">
      <c r="A268">
        <v>268</v>
      </c>
      <c r="B268" s="2">
        <v>46134.552592592598</v>
      </c>
      <c r="C268" s="2">
        <v>46134.553298611099</v>
      </c>
      <c r="D268" s="1" t="s">
        <v>97</v>
      </c>
      <c r="E268" s="1" t="s">
        <v>98</v>
      </c>
      <c r="G268" s="1"/>
      <c r="H268" s="2"/>
      <c r="I268" s="1" t="s">
        <v>68</v>
      </c>
      <c r="K268" s="1"/>
      <c r="L268" s="1" t="s">
        <v>99</v>
      </c>
      <c r="M268" s="26" t="str">
        <f>CONCATENATE(TablaCalificaciones[[#This Row],[Seleccione su nombre (Evaluador)]],TablaCalificaciones[[#This Row],[Seleccione el nombre del Estudiante]])</f>
        <v>Víctor Javier Gómez RegaladoUsiña Esteban Wladimir</v>
      </c>
      <c r="N268" s="1"/>
      <c r="O268" s="1" t="s">
        <v>193</v>
      </c>
      <c r="Q268" s="1"/>
      <c r="R268" s="1" t="s">
        <v>50</v>
      </c>
      <c r="S268" s="22">
        <f>VLOOKUP(TablaCalificaciones[[#This Row],[Apertura: problema y objetivo ]],PESOS!A$16:B$20,2,0)</f>
        <v>16</v>
      </c>
      <c r="T268" s="1"/>
      <c r="U268" s="1" t="s">
        <v>50</v>
      </c>
      <c r="V268" s="22">
        <f>VLOOKUP(TablaCalificaciones[[#This Row],[Metodología (nivel adecuado)]],PESOS!A$16:B$20,2,0)</f>
        <v>16</v>
      </c>
      <c r="W268" s="1"/>
      <c r="X268" s="1" t="s">
        <v>50</v>
      </c>
      <c r="Y268" s="22">
        <f>VLOOKUP(TablaCalificaciones[[#This Row],[Resultados y evidencia ]],PESOS!A$16:B$20,2,0)</f>
        <v>16</v>
      </c>
      <c r="Z268" s="1"/>
      <c r="AA268" s="1" t="s">
        <v>51</v>
      </c>
      <c r="AB268" s="22">
        <f>VLOOKUP(TablaCalificaciones[[#This Row],[Coherencia y manejo del tiempo]],PESOS!A$25:B$29,2,0)</f>
        <v>8</v>
      </c>
      <c r="AC268" s="1"/>
      <c r="AD268" s="1" t="s">
        <v>51</v>
      </c>
      <c r="AE268" s="22">
        <f>VLOOKUP(TablaCalificaciones[[#This Row],[Diapositivas como apoyo]],PESOS!A$25:B$29,2,0)</f>
        <v>8</v>
      </c>
      <c r="AF268" s="1"/>
      <c r="AG268" s="1" t="s">
        <v>51</v>
      </c>
      <c r="AH268" s="22">
        <f>VLOOKUP(TablaCalificaciones[[#This Row],[Respuestas a preguntas]],PESOS!A$25:B$29,2,0)</f>
        <v>8</v>
      </c>
      <c r="AI268" s="1"/>
      <c r="AJ268" s="1" t="s">
        <v>51</v>
      </c>
      <c r="AK268" s="22">
        <f>VLOOKUP(TablaCalificaciones[[#This Row],[Cierre: aporte a próximos pasos]],PESOS!A$25:B$29,2,0)</f>
        <v>8</v>
      </c>
      <c r="AL268" s="1"/>
      <c r="AM268" s="1"/>
    </row>
    <row r="269" spans="1:39">
      <c r="A269">
        <v>269</v>
      </c>
      <c r="B269" s="2">
        <v>46134.546990740702</v>
      </c>
      <c r="C269" s="2">
        <v>46134.555879629603</v>
      </c>
      <c r="D269" s="1" t="s">
        <v>93</v>
      </c>
      <c r="E269" s="1" t="s">
        <v>94</v>
      </c>
      <c r="G269" s="1"/>
      <c r="H269" s="2"/>
      <c r="I269" s="1" t="s">
        <v>68</v>
      </c>
      <c r="K269" s="1"/>
      <c r="L269" s="1" t="s">
        <v>95</v>
      </c>
      <c r="M269" s="26" t="str">
        <f>CONCATENATE(TablaCalificaciones[[#This Row],[Seleccione su nombre (Evaluador)]],TablaCalificaciones[[#This Row],[Seleccione el nombre del Estudiante]])</f>
        <v>Nelly Patricia Acosta VargasCano Román Domenica Antonella</v>
      </c>
      <c r="N269" s="1"/>
      <c r="O269" s="1" t="s">
        <v>216</v>
      </c>
      <c r="Q269" s="1"/>
      <c r="R269" s="1" t="s">
        <v>44</v>
      </c>
      <c r="S269" s="22">
        <f>VLOOKUP(TablaCalificaciones[[#This Row],[Apertura: problema y objetivo ]],PESOS!A$16:B$20,2,0)</f>
        <v>20</v>
      </c>
      <c r="T269" s="1"/>
      <c r="U269" s="1" t="s">
        <v>44</v>
      </c>
      <c r="V269" s="22">
        <f>VLOOKUP(TablaCalificaciones[[#This Row],[Metodología (nivel adecuado)]],PESOS!A$16:B$20,2,0)</f>
        <v>20</v>
      </c>
      <c r="W269" s="1"/>
      <c r="X269" s="1" t="s">
        <v>44</v>
      </c>
      <c r="Y269" s="22">
        <f>VLOOKUP(TablaCalificaciones[[#This Row],[Resultados y evidencia ]],PESOS!A$16:B$20,2,0)</f>
        <v>20</v>
      </c>
      <c r="Z269" s="1"/>
      <c r="AA269" s="1" t="s">
        <v>45</v>
      </c>
      <c r="AB269" s="22">
        <f>VLOOKUP(TablaCalificaciones[[#This Row],[Coherencia y manejo del tiempo]],PESOS!A$25:B$29,2,0)</f>
        <v>10</v>
      </c>
      <c r="AC269" s="1"/>
      <c r="AD269" s="1" t="s">
        <v>45</v>
      </c>
      <c r="AE269" s="22">
        <f>VLOOKUP(TablaCalificaciones[[#This Row],[Diapositivas como apoyo]],PESOS!A$25:B$29,2,0)</f>
        <v>10</v>
      </c>
      <c r="AF269" s="1"/>
      <c r="AG269" s="1" t="s">
        <v>45</v>
      </c>
      <c r="AH269" s="22">
        <f>VLOOKUP(TablaCalificaciones[[#This Row],[Respuestas a preguntas]],PESOS!A$25:B$29,2,0)</f>
        <v>10</v>
      </c>
      <c r="AI269" s="1"/>
      <c r="AJ269" s="1" t="s">
        <v>45</v>
      </c>
      <c r="AK269" s="22">
        <f>VLOOKUP(TablaCalificaciones[[#This Row],[Cierre: aporte a próximos pasos]],PESOS!A$25:B$29,2,0)</f>
        <v>10</v>
      </c>
      <c r="AL269" s="1"/>
      <c r="AM269" s="1"/>
    </row>
    <row r="270" spans="1:39">
      <c r="A270">
        <v>270</v>
      </c>
      <c r="B270" s="2">
        <v>46134.555925925903</v>
      </c>
      <c r="C270" s="2">
        <v>46134.556782407402</v>
      </c>
      <c r="D270" s="1" t="s">
        <v>93</v>
      </c>
      <c r="E270" s="1" t="s">
        <v>94</v>
      </c>
      <c r="G270" s="1"/>
      <c r="H270" s="2"/>
      <c r="I270" s="1" t="s">
        <v>68</v>
      </c>
      <c r="K270" s="1"/>
      <c r="L270" s="1" t="s">
        <v>95</v>
      </c>
      <c r="M270" s="26" t="str">
        <f>CONCATENATE(TablaCalificaciones[[#This Row],[Seleccione su nombre (Evaluador)]],TablaCalificaciones[[#This Row],[Seleccione el nombre del Estudiante]])</f>
        <v>Nelly Patricia Acosta VargasBaldeón Guanín Hernán Andrés</v>
      </c>
      <c r="N270" s="1"/>
      <c r="O270" s="1" t="s">
        <v>217</v>
      </c>
      <c r="Q270" s="1"/>
      <c r="R270" s="1" t="s">
        <v>44</v>
      </c>
      <c r="S270" s="22">
        <f>VLOOKUP(TablaCalificaciones[[#This Row],[Apertura: problema y objetivo ]],PESOS!A$16:B$20,2,0)</f>
        <v>20</v>
      </c>
      <c r="T270" s="1"/>
      <c r="U270" s="1" t="s">
        <v>44</v>
      </c>
      <c r="V270" s="22">
        <f>VLOOKUP(TablaCalificaciones[[#This Row],[Metodología (nivel adecuado)]],PESOS!A$16:B$20,2,0)</f>
        <v>20</v>
      </c>
      <c r="W270" s="1"/>
      <c r="X270" s="1" t="s">
        <v>44</v>
      </c>
      <c r="Y270" s="22">
        <f>VLOOKUP(TablaCalificaciones[[#This Row],[Resultados y evidencia ]],PESOS!A$16:B$20,2,0)</f>
        <v>20</v>
      </c>
      <c r="Z270" s="1"/>
      <c r="AA270" s="1" t="s">
        <v>45</v>
      </c>
      <c r="AB270" s="22">
        <f>VLOOKUP(TablaCalificaciones[[#This Row],[Coherencia y manejo del tiempo]],PESOS!A$25:B$29,2,0)</f>
        <v>10</v>
      </c>
      <c r="AC270" s="1"/>
      <c r="AD270" s="1" t="s">
        <v>45</v>
      </c>
      <c r="AE270" s="22">
        <f>VLOOKUP(TablaCalificaciones[[#This Row],[Diapositivas como apoyo]],PESOS!A$25:B$29,2,0)</f>
        <v>10</v>
      </c>
      <c r="AF270" s="1"/>
      <c r="AG270" s="1" t="s">
        <v>45</v>
      </c>
      <c r="AH270" s="22">
        <f>VLOOKUP(TablaCalificaciones[[#This Row],[Respuestas a preguntas]],PESOS!A$25:B$29,2,0)</f>
        <v>10</v>
      </c>
      <c r="AI270" s="1"/>
      <c r="AJ270" s="1" t="s">
        <v>45</v>
      </c>
      <c r="AK270" s="22">
        <f>VLOOKUP(TablaCalificaciones[[#This Row],[Cierre: aporte a próximos pasos]],PESOS!A$25:B$29,2,0)</f>
        <v>10</v>
      </c>
      <c r="AL270" s="1"/>
      <c r="AM270" s="1"/>
    </row>
    <row r="271" spans="1:39">
      <c r="A271">
        <v>271</v>
      </c>
      <c r="B271" s="2">
        <v>46134.556840277801</v>
      </c>
      <c r="C271" s="2">
        <v>46134.557696759301</v>
      </c>
      <c r="D271" s="1" t="s">
        <v>93</v>
      </c>
      <c r="E271" s="1" t="s">
        <v>94</v>
      </c>
      <c r="G271" s="1"/>
      <c r="H271" s="2"/>
      <c r="I271" s="1" t="s">
        <v>68</v>
      </c>
      <c r="K271" s="1"/>
      <c r="L271" s="1" t="s">
        <v>95</v>
      </c>
      <c r="M271" s="26" t="str">
        <f>CONCATENATE(TablaCalificaciones[[#This Row],[Seleccione su nombre (Evaluador)]],TablaCalificaciones[[#This Row],[Seleccione el nombre del Estudiante]])</f>
        <v>Nelly Patricia Acosta VargasLozano Delgado Marco Andrei</v>
      </c>
      <c r="N271" s="1"/>
      <c r="O271" s="1" t="s">
        <v>218</v>
      </c>
      <c r="Q271" s="1"/>
      <c r="R271" s="1" t="s">
        <v>44</v>
      </c>
      <c r="S271" s="22">
        <f>VLOOKUP(TablaCalificaciones[[#This Row],[Apertura: problema y objetivo ]],PESOS!A$16:B$20,2,0)</f>
        <v>20</v>
      </c>
      <c r="T271" s="1"/>
      <c r="U271" s="1" t="s">
        <v>44</v>
      </c>
      <c r="V271" s="22">
        <f>VLOOKUP(TablaCalificaciones[[#This Row],[Metodología (nivel adecuado)]],PESOS!A$16:B$20,2,0)</f>
        <v>20</v>
      </c>
      <c r="W271" s="1"/>
      <c r="X271" s="1" t="s">
        <v>44</v>
      </c>
      <c r="Y271" s="22">
        <f>VLOOKUP(TablaCalificaciones[[#This Row],[Resultados y evidencia ]],PESOS!A$16:B$20,2,0)</f>
        <v>20</v>
      </c>
      <c r="Z271" s="1"/>
      <c r="AA271" s="1" t="s">
        <v>45</v>
      </c>
      <c r="AB271" s="22">
        <f>VLOOKUP(TablaCalificaciones[[#This Row],[Coherencia y manejo del tiempo]],PESOS!A$25:B$29,2,0)</f>
        <v>10</v>
      </c>
      <c r="AC271" s="1"/>
      <c r="AD271" s="1" t="s">
        <v>45</v>
      </c>
      <c r="AE271" s="22">
        <f>VLOOKUP(TablaCalificaciones[[#This Row],[Diapositivas como apoyo]],PESOS!A$25:B$29,2,0)</f>
        <v>10</v>
      </c>
      <c r="AF271" s="1"/>
      <c r="AG271" s="1" t="s">
        <v>45</v>
      </c>
      <c r="AH271" s="22">
        <f>VLOOKUP(TablaCalificaciones[[#This Row],[Respuestas a preguntas]],PESOS!A$25:B$29,2,0)</f>
        <v>10</v>
      </c>
      <c r="AI271" s="1"/>
      <c r="AJ271" s="1" t="s">
        <v>45</v>
      </c>
      <c r="AK271" s="22">
        <f>VLOOKUP(TablaCalificaciones[[#This Row],[Cierre: aporte a próximos pasos]],PESOS!A$25:B$29,2,0)</f>
        <v>10</v>
      </c>
      <c r="AL271" s="1"/>
      <c r="AM271" s="1"/>
    </row>
    <row r="272" spans="1:39">
      <c r="A272">
        <v>272</v>
      </c>
      <c r="B272" s="2">
        <v>46134.543449074103</v>
      </c>
      <c r="C272" s="2">
        <v>46134.559826388897</v>
      </c>
      <c r="D272" s="1" t="s">
        <v>59</v>
      </c>
      <c r="E272" s="1" t="s">
        <v>60</v>
      </c>
      <c r="G272" s="1"/>
      <c r="H272" s="2"/>
      <c r="I272" s="1" t="s">
        <v>134</v>
      </c>
      <c r="K272" s="1"/>
      <c r="L272" s="1" t="s">
        <v>60</v>
      </c>
      <c r="M272" s="26" t="str">
        <f>CONCATENATE(TablaCalificaciones[[#This Row],[Seleccione su nombre (Evaluador)]],TablaCalificaciones[[#This Row],[Seleccione el nombre del Estudiante]])</f>
        <v>Santiago Leonardo SolórzanoLozano Delgado Marco Andrei</v>
      </c>
      <c r="N272" s="1"/>
      <c r="O272" s="1" t="s">
        <v>218</v>
      </c>
      <c r="Q272" s="1"/>
      <c r="R272" s="1" t="s">
        <v>44</v>
      </c>
      <c r="S272" s="22">
        <f>VLOOKUP(TablaCalificaciones[[#This Row],[Apertura: problema y objetivo ]],PESOS!A$16:B$20,2,0)</f>
        <v>20</v>
      </c>
      <c r="T272" s="1"/>
      <c r="U272" s="1" t="s">
        <v>44</v>
      </c>
      <c r="V272" s="22">
        <f>VLOOKUP(TablaCalificaciones[[#This Row],[Metodología (nivel adecuado)]],PESOS!A$16:B$20,2,0)</f>
        <v>20</v>
      </c>
      <c r="W272" s="1"/>
      <c r="X272" s="1" t="s">
        <v>50</v>
      </c>
      <c r="Y272" s="22">
        <f>VLOOKUP(TablaCalificaciones[[#This Row],[Resultados y evidencia ]],PESOS!A$16:B$20,2,0)</f>
        <v>16</v>
      </c>
      <c r="Z272" s="1"/>
      <c r="AA272" s="1" t="s">
        <v>51</v>
      </c>
      <c r="AB272" s="22">
        <f>VLOOKUP(TablaCalificaciones[[#This Row],[Coherencia y manejo del tiempo]],PESOS!A$25:B$29,2,0)</f>
        <v>8</v>
      </c>
      <c r="AC272" s="1"/>
      <c r="AD272" s="1" t="s">
        <v>51</v>
      </c>
      <c r="AE272" s="22">
        <f>VLOOKUP(TablaCalificaciones[[#This Row],[Diapositivas como apoyo]],PESOS!A$25:B$29,2,0)</f>
        <v>8</v>
      </c>
      <c r="AF272" s="1"/>
      <c r="AG272" s="1" t="s">
        <v>45</v>
      </c>
      <c r="AH272" s="22">
        <f>VLOOKUP(TablaCalificaciones[[#This Row],[Respuestas a preguntas]],PESOS!A$25:B$29,2,0)</f>
        <v>10</v>
      </c>
      <c r="AI272" s="1"/>
      <c r="AJ272" s="1" t="s">
        <v>45</v>
      </c>
      <c r="AK272" s="22">
        <f>VLOOKUP(TablaCalificaciones[[#This Row],[Cierre: aporte a próximos pasos]],PESOS!A$25:B$29,2,0)</f>
        <v>10</v>
      </c>
      <c r="AL272" s="1"/>
      <c r="AM272" s="1"/>
    </row>
    <row r="273" spans="1:39">
      <c r="A273">
        <v>273</v>
      </c>
      <c r="B273" s="2">
        <v>46134.541828703703</v>
      </c>
      <c r="C273" s="2">
        <v>46134.559826388897</v>
      </c>
      <c r="D273" s="1" t="s">
        <v>59</v>
      </c>
      <c r="E273" s="1" t="s">
        <v>60</v>
      </c>
      <c r="G273" s="1"/>
      <c r="H273" s="2"/>
      <c r="I273" s="1" t="s">
        <v>68</v>
      </c>
      <c r="K273" s="1"/>
      <c r="L273" s="1" t="s">
        <v>60</v>
      </c>
      <c r="M273" s="26" t="str">
        <f>CONCATENATE(TablaCalificaciones[[#This Row],[Seleccione su nombre (Evaluador)]],TablaCalificaciones[[#This Row],[Seleccione el nombre del Estudiante]])</f>
        <v>Santiago Leonardo SolórzanoBaldeón Guanín Hernán Andrés</v>
      </c>
      <c r="N273" s="1"/>
      <c r="O273" s="1" t="s">
        <v>217</v>
      </c>
      <c r="Q273" s="1"/>
      <c r="R273" s="1" t="s">
        <v>44</v>
      </c>
      <c r="S273" s="22">
        <f>VLOOKUP(TablaCalificaciones[[#This Row],[Apertura: problema y objetivo ]],PESOS!A$16:B$20,2,0)</f>
        <v>20</v>
      </c>
      <c r="T273" s="1"/>
      <c r="U273" s="1" t="s">
        <v>44</v>
      </c>
      <c r="V273" s="22">
        <f>VLOOKUP(TablaCalificaciones[[#This Row],[Metodología (nivel adecuado)]],PESOS!A$16:B$20,2,0)</f>
        <v>20</v>
      </c>
      <c r="W273" s="1"/>
      <c r="X273" s="1" t="s">
        <v>50</v>
      </c>
      <c r="Y273" s="22">
        <f>VLOOKUP(TablaCalificaciones[[#This Row],[Resultados y evidencia ]],PESOS!A$16:B$20,2,0)</f>
        <v>16</v>
      </c>
      <c r="Z273" s="1"/>
      <c r="AA273" s="1" t="s">
        <v>51</v>
      </c>
      <c r="AB273" s="22">
        <f>VLOOKUP(TablaCalificaciones[[#This Row],[Coherencia y manejo del tiempo]],PESOS!A$25:B$29,2,0)</f>
        <v>8</v>
      </c>
      <c r="AC273" s="1"/>
      <c r="AD273" s="1" t="s">
        <v>51</v>
      </c>
      <c r="AE273" s="22">
        <f>VLOOKUP(TablaCalificaciones[[#This Row],[Diapositivas como apoyo]],PESOS!A$25:B$29,2,0)</f>
        <v>8</v>
      </c>
      <c r="AF273" s="1"/>
      <c r="AG273" s="1" t="s">
        <v>45</v>
      </c>
      <c r="AH273" s="22">
        <f>VLOOKUP(TablaCalificaciones[[#This Row],[Respuestas a preguntas]],PESOS!A$25:B$29,2,0)</f>
        <v>10</v>
      </c>
      <c r="AI273" s="1"/>
      <c r="AJ273" s="1" t="s">
        <v>45</v>
      </c>
      <c r="AK273" s="22">
        <f>VLOOKUP(TablaCalificaciones[[#This Row],[Cierre: aporte a próximos pasos]],PESOS!A$25:B$29,2,0)</f>
        <v>10</v>
      </c>
      <c r="AL273" s="1"/>
      <c r="AM273" s="1"/>
    </row>
    <row r="274" spans="1:39">
      <c r="A274">
        <v>274</v>
      </c>
      <c r="B274" s="2">
        <v>46134.541273148097</v>
      </c>
      <c r="C274" s="2">
        <v>46134.559849537</v>
      </c>
      <c r="D274" s="1" t="s">
        <v>59</v>
      </c>
      <c r="E274" s="1" t="s">
        <v>60</v>
      </c>
      <c r="G274" s="1"/>
      <c r="H274" s="2"/>
      <c r="I274" s="1" t="s">
        <v>68</v>
      </c>
      <c r="K274" s="1"/>
      <c r="L274" s="1" t="s">
        <v>60</v>
      </c>
      <c r="M274" s="26" t="str">
        <f>CONCATENATE(TablaCalificaciones[[#This Row],[Seleccione su nombre (Evaluador)]],TablaCalificaciones[[#This Row],[Seleccione el nombre del Estudiante]])</f>
        <v>Santiago Leonardo SolórzanoCano Román Domenica Antonella</v>
      </c>
      <c r="N274" s="1"/>
      <c r="O274" s="1" t="s">
        <v>216</v>
      </c>
      <c r="Q274" s="1"/>
      <c r="R274" s="1" t="s">
        <v>44</v>
      </c>
      <c r="S274" s="22">
        <f>VLOOKUP(TablaCalificaciones[[#This Row],[Apertura: problema y objetivo ]],PESOS!A$16:B$20,2,0)</f>
        <v>20</v>
      </c>
      <c r="T274" s="1"/>
      <c r="U274" s="1" t="s">
        <v>44</v>
      </c>
      <c r="V274" s="22">
        <f>VLOOKUP(TablaCalificaciones[[#This Row],[Metodología (nivel adecuado)]],PESOS!A$16:B$20,2,0)</f>
        <v>20</v>
      </c>
      <c r="W274" s="1"/>
      <c r="X274" s="1" t="s">
        <v>50</v>
      </c>
      <c r="Y274" s="22">
        <f>VLOOKUP(TablaCalificaciones[[#This Row],[Resultados y evidencia ]],PESOS!A$16:B$20,2,0)</f>
        <v>16</v>
      </c>
      <c r="Z274" s="1"/>
      <c r="AA274" s="1" t="s">
        <v>51</v>
      </c>
      <c r="AB274" s="22">
        <f>VLOOKUP(TablaCalificaciones[[#This Row],[Coherencia y manejo del tiempo]],PESOS!A$25:B$29,2,0)</f>
        <v>8</v>
      </c>
      <c r="AC274" s="1"/>
      <c r="AD274" s="1" t="s">
        <v>51</v>
      </c>
      <c r="AE274" s="22">
        <f>VLOOKUP(TablaCalificaciones[[#This Row],[Diapositivas como apoyo]],PESOS!A$25:B$29,2,0)</f>
        <v>8</v>
      </c>
      <c r="AF274" s="1"/>
      <c r="AG274" s="1" t="s">
        <v>45</v>
      </c>
      <c r="AH274" s="22">
        <f>VLOOKUP(TablaCalificaciones[[#This Row],[Respuestas a preguntas]],PESOS!A$25:B$29,2,0)</f>
        <v>10</v>
      </c>
      <c r="AI274" s="1"/>
      <c r="AJ274" s="1" t="s">
        <v>45</v>
      </c>
      <c r="AK274" s="22">
        <f>VLOOKUP(TablaCalificaciones[[#This Row],[Cierre: aporte a próximos pasos]],PESOS!A$25:B$29,2,0)</f>
        <v>10</v>
      </c>
      <c r="AL274" s="1"/>
      <c r="AM274" s="1"/>
    </row>
    <row r="275" spans="1:39">
      <c r="A275">
        <v>275</v>
      </c>
      <c r="B275" s="2">
        <v>46134.555520833303</v>
      </c>
      <c r="C275" s="2">
        <v>46134.561585648102</v>
      </c>
      <c r="D275" s="1" t="s">
        <v>219</v>
      </c>
      <c r="E275" s="1" t="s">
        <v>220</v>
      </c>
      <c r="G275" s="1"/>
      <c r="H275" s="2"/>
      <c r="I275" s="1" t="s">
        <v>68</v>
      </c>
      <c r="K275" s="1"/>
      <c r="L275" s="1" t="s">
        <v>220</v>
      </c>
      <c r="M275" s="26" t="str">
        <f>CONCATENATE(TablaCalificaciones[[#This Row],[Seleccione su nombre (Evaluador)]],TablaCalificaciones[[#This Row],[Seleccione el nombre del Estudiante]])</f>
        <v>Luis Felipe Urquiza AguiarCano Román Domenica Antonella</v>
      </c>
      <c r="N275" s="1"/>
      <c r="O275" s="1" t="s">
        <v>216</v>
      </c>
      <c r="Q275" s="1"/>
      <c r="R275" s="1" t="s">
        <v>44</v>
      </c>
      <c r="S275" s="22">
        <f>VLOOKUP(TablaCalificaciones[[#This Row],[Apertura: problema y objetivo ]],PESOS!A$16:B$20,2,0)</f>
        <v>20</v>
      </c>
      <c r="T275" s="1"/>
      <c r="U275" s="1" t="s">
        <v>44</v>
      </c>
      <c r="V275" s="22">
        <f>VLOOKUP(TablaCalificaciones[[#This Row],[Metodología (nivel adecuado)]],PESOS!A$16:B$20,2,0)</f>
        <v>20</v>
      </c>
      <c r="W275" s="1"/>
      <c r="X275" s="1" t="s">
        <v>44</v>
      </c>
      <c r="Y275" s="22">
        <f>VLOOKUP(TablaCalificaciones[[#This Row],[Resultados y evidencia ]],PESOS!A$16:B$20,2,0)</f>
        <v>20</v>
      </c>
      <c r="Z275" s="1"/>
      <c r="AA275" s="1" t="s">
        <v>45</v>
      </c>
      <c r="AB275" s="22">
        <f>VLOOKUP(TablaCalificaciones[[#This Row],[Coherencia y manejo del tiempo]],PESOS!A$25:B$29,2,0)</f>
        <v>10</v>
      </c>
      <c r="AC275" s="1"/>
      <c r="AD275" s="1" t="s">
        <v>45</v>
      </c>
      <c r="AE275" s="22">
        <f>VLOOKUP(TablaCalificaciones[[#This Row],[Diapositivas como apoyo]],PESOS!A$25:B$29,2,0)</f>
        <v>10</v>
      </c>
      <c r="AF275" s="1"/>
      <c r="AG275" s="1" t="s">
        <v>45</v>
      </c>
      <c r="AH275" s="22">
        <f>VLOOKUP(TablaCalificaciones[[#This Row],[Respuestas a preguntas]],PESOS!A$25:B$29,2,0)</f>
        <v>10</v>
      </c>
      <c r="AI275" s="1"/>
      <c r="AJ275" s="1" t="s">
        <v>51</v>
      </c>
      <c r="AK275" s="22">
        <f>VLOOKUP(TablaCalificaciones[[#This Row],[Cierre: aporte a próximos pasos]],PESOS!A$25:B$29,2,0)</f>
        <v>8</v>
      </c>
      <c r="AL275" s="1"/>
      <c r="AM275" s="1"/>
    </row>
    <row r="276" spans="1:39">
      <c r="A276">
        <v>276</v>
      </c>
      <c r="B276" s="2">
        <v>46134.540532407402</v>
      </c>
      <c r="C276" s="2">
        <v>46134.562303240702</v>
      </c>
      <c r="D276" s="1" t="s">
        <v>54</v>
      </c>
      <c r="E276" s="1" t="s">
        <v>55</v>
      </c>
      <c r="G276" s="1"/>
      <c r="H276" s="2"/>
      <c r="I276" s="1" t="s">
        <v>68</v>
      </c>
      <c r="K276" s="1"/>
      <c r="L276" s="1" t="s">
        <v>56</v>
      </c>
      <c r="M276" s="26" t="str">
        <f>CONCATENATE(TablaCalificaciones[[#This Row],[Seleccione su nombre (Evaluador)]],TablaCalificaciones[[#This Row],[Seleccione el nombre del Estudiante]])</f>
        <v>Marco Antonio Galarza CastilloCollaguazo Cuenca Jimmy Vinicio</v>
      </c>
      <c r="N276" s="1"/>
      <c r="O276" s="1" t="s">
        <v>221</v>
      </c>
      <c r="Q276" s="1"/>
      <c r="R276" s="1" t="s">
        <v>50</v>
      </c>
      <c r="S276" s="22">
        <f>VLOOKUP(TablaCalificaciones[[#This Row],[Apertura: problema y objetivo ]],PESOS!A$16:B$20,2,0)</f>
        <v>16</v>
      </c>
      <c r="T276" s="1"/>
      <c r="U276" s="1" t="s">
        <v>105</v>
      </c>
      <c r="V276" s="22">
        <f>VLOOKUP(TablaCalificaciones[[#This Row],[Metodología (nivel adecuado)]],PESOS!A$16:B$20,2,0)</f>
        <v>12</v>
      </c>
      <c r="W276" s="1"/>
      <c r="X276" s="1" t="s">
        <v>105</v>
      </c>
      <c r="Y276" s="22">
        <f>VLOOKUP(TablaCalificaciones[[#This Row],[Resultados y evidencia ]],PESOS!A$16:B$20,2,0)</f>
        <v>12</v>
      </c>
      <c r="Z276" s="1"/>
      <c r="AA276" s="1" t="s">
        <v>51</v>
      </c>
      <c r="AB276" s="22">
        <f>VLOOKUP(TablaCalificaciones[[#This Row],[Coherencia y manejo del tiempo]],PESOS!A$25:B$29,2,0)</f>
        <v>8</v>
      </c>
      <c r="AC276" s="1"/>
      <c r="AD276" s="1" t="s">
        <v>51</v>
      </c>
      <c r="AE276" s="22">
        <f>VLOOKUP(TablaCalificaciones[[#This Row],[Diapositivas como apoyo]],PESOS!A$25:B$29,2,0)</f>
        <v>8</v>
      </c>
      <c r="AF276" s="1"/>
      <c r="AG276" s="1" t="s">
        <v>83</v>
      </c>
      <c r="AH276" s="22">
        <f>VLOOKUP(TablaCalificaciones[[#This Row],[Respuestas a preguntas]],PESOS!A$25:B$29,2,0)</f>
        <v>6</v>
      </c>
      <c r="AI276" s="1"/>
      <c r="AJ276" s="1" t="s">
        <v>51</v>
      </c>
      <c r="AK276" s="22">
        <f>VLOOKUP(TablaCalificaciones[[#This Row],[Cierre: aporte a próximos pasos]],PESOS!A$25:B$29,2,0)</f>
        <v>8</v>
      </c>
      <c r="AL276" s="1"/>
      <c r="AM276" s="1"/>
    </row>
    <row r="277" spans="1:39">
      <c r="A277">
        <v>277</v>
      </c>
      <c r="B277" s="2">
        <v>46134.561608796299</v>
      </c>
      <c r="C277" s="2">
        <v>46134.5625</v>
      </c>
      <c r="D277" s="1" t="s">
        <v>219</v>
      </c>
      <c r="E277" s="1" t="s">
        <v>220</v>
      </c>
      <c r="G277" s="1"/>
      <c r="H277" s="2"/>
      <c r="I277" s="1" t="s">
        <v>68</v>
      </c>
      <c r="K277" s="1"/>
      <c r="L277" s="1" t="s">
        <v>220</v>
      </c>
      <c r="M277" s="26" t="str">
        <f>CONCATENATE(TablaCalificaciones[[#This Row],[Seleccione su nombre (Evaluador)]],TablaCalificaciones[[#This Row],[Seleccione el nombre del Estudiante]])</f>
        <v>Luis Felipe Urquiza AguiarBaldeón Guanín Hernán Andrés</v>
      </c>
      <c r="N277" s="1"/>
      <c r="O277" s="1" t="s">
        <v>217</v>
      </c>
      <c r="Q277" s="1"/>
      <c r="R277" s="1" t="s">
        <v>44</v>
      </c>
      <c r="S277" s="22">
        <f>VLOOKUP(TablaCalificaciones[[#This Row],[Apertura: problema y objetivo ]],PESOS!A$16:B$20,2,0)</f>
        <v>20</v>
      </c>
      <c r="T277" s="1"/>
      <c r="U277" s="1" t="s">
        <v>44</v>
      </c>
      <c r="V277" s="22">
        <f>VLOOKUP(TablaCalificaciones[[#This Row],[Metodología (nivel adecuado)]],PESOS!A$16:B$20,2,0)</f>
        <v>20</v>
      </c>
      <c r="W277" s="1"/>
      <c r="X277" s="1" t="s">
        <v>44</v>
      </c>
      <c r="Y277" s="22">
        <f>VLOOKUP(TablaCalificaciones[[#This Row],[Resultados y evidencia ]],PESOS!A$16:B$20,2,0)</f>
        <v>20</v>
      </c>
      <c r="Z277" s="1"/>
      <c r="AA277" s="1" t="s">
        <v>45</v>
      </c>
      <c r="AB277" s="22">
        <f>VLOOKUP(TablaCalificaciones[[#This Row],[Coherencia y manejo del tiempo]],PESOS!A$25:B$29,2,0)</f>
        <v>10</v>
      </c>
      <c r="AC277" s="1"/>
      <c r="AD277" s="1" t="s">
        <v>45</v>
      </c>
      <c r="AE277" s="22">
        <f>VLOOKUP(TablaCalificaciones[[#This Row],[Diapositivas como apoyo]],PESOS!A$25:B$29,2,0)</f>
        <v>10</v>
      </c>
      <c r="AF277" s="1"/>
      <c r="AG277" s="1" t="s">
        <v>45</v>
      </c>
      <c r="AH277" s="22">
        <f>VLOOKUP(TablaCalificaciones[[#This Row],[Respuestas a preguntas]],PESOS!A$25:B$29,2,0)</f>
        <v>10</v>
      </c>
      <c r="AI277" s="1"/>
      <c r="AJ277" s="1" t="s">
        <v>51</v>
      </c>
      <c r="AK277" s="22">
        <f>VLOOKUP(TablaCalificaciones[[#This Row],[Cierre: aporte a próximos pasos]],PESOS!A$25:B$29,2,0)</f>
        <v>8</v>
      </c>
      <c r="AL277" s="1"/>
      <c r="AM277" s="1"/>
    </row>
    <row r="278" spans="1:39">
      <c r="A278">
        <v>278</v>
      </c>
      <c r="B278" s="2">
        <v>46134.562511574099</v>
      </c>
      <c r="C278" s="2">
        <v>46134.563611111102</v>
      </c>
      <c r="D278" s="1" t="s">
        <v>219</v>
      </c>
      <c r="E278" s="1" t="s">
        <v>220</v>
      </c>
      <c r="G278" s="1"/>
      <c r="H278" s="2"/>
      <c r="I278" s="1" t="s">
        <v>68</v>
      </c>
      <c r="K278" s="1"/>
      <c r="L278" s="1" t="s">
        <v>220</v>
      </c>
      <c r="M278" s="26" t="str">
        <f>CONCATENATE(TablaCalificaciones[[#This Row],[Seleccione su nombre (Evaluador)]],TablaCalificaciones[[#This Row],[Seleccione el nombre del Estudiante]])</f>
        <v>Luis Felipe Urquiza AguiarLozano Delgado Marco Andrei</v>
      </c>
      <c r="N278" s="1"/>
      <c r="O278" s="1" t="s">
        <v>218</v>
      </c>
      <c r="Q278" s="1"/>
      <c r="R278" s="1" t="s">
        <v>44</v>
      </c>
      <c r="S278" s="22">
        <f>VLOOKUP(TablaCalificaciones[[#This Row],[Apertura: problema y objetivo ]],PESOS!A$16:B$20,2,0)</f>
        <v>20</v>
      </c>
      <c r="T278" s="1"/>
      <c r="U278" s="1" t="s">
        <v>44</v>
      </c>
      <c r="V278" s="22">
        <f>VLOOKUP(TablaCalificaciones[[#This Row],[Metodología (nivel adecuado)]],PESOS!A$16:B$20,2,0)</f>
        <v>20</v>
      </c>
      <c r="W278" s="1"/>
      <c r="X278" s="1" t="s">
        <v>44</v>
      </c>
      <c r="Y278" s="22">
        <f>VLOOKUP(TablaCalificaciones[[#This Row],[Resultados y evidencia ]],PESOS!A$16:B$20,2,0)</f>
        <v>20</v>
      </c>
      <c r="Z278" s="1"/>
      <c r="AA278" s="1" t="s">
        <v>45</v>
      </c>
      <c r="AB278" s="22">
        <f>VLOOKUP(TablaCalificaciones[[#This Row],[Coherencia y manejo del tiempo]],PESOS!A$25:B$29,2,0)</f>
        <v>10</v>
      </c>
      <c r="AC278" s="1"/>
      <c r="AD278" s="1" t="s">
        <v>45</v>
      </c>
      <c r="AE278" s="22">
        <f>VLOOKUP(TablaCalificaciones[[#This Row],[Diapositivas como apoyo]],PESOS!A$25:B$29,2,0)</f>
        <v>10</v>
      </c>
      <c r="AF278" s="1"/>
      <c r="AG278" s="1" t="s">
        <v>45</v>
      </c>
      <c r="AH278" s="22">
        <f>VLOOKUP(TablaCalificaciones[[#This Row],[Respuestas a preguntas]],PESOS!A$25:B$29,2,0)</f>
        <v>10</v>
      </c>
      <c r="AI278" s="1"/>
      <c r="AJ278" s="1" t="s">
        <v>51</v>
      </c>
      <c r="AK278" s="22">
        <f>VLOOKUP(TablaCalificaciones[[#This Row],[Cierre: aporte a próximos pasos]],PESOS!A$25:B$29,2,0)</f>
        <v>8</v>
      </c>
      <c r="AL278" s="1"/>
      <c r="AM278" s="1"/>
    </row>
    <row r="279" spans="1:39">
      <c r="A279">
        <v>279</v>
      </c>
      <c r="B279" s="2">
        <v>46134.561053240701</v>
      </c>
      <c r="C279" s="2">
        <v>46134.578969907401</v>
      </c>
      <c r="D279" s="1" t="s">
        <v>59</v>
      </c>
      <c r="E279" s="1" t="s">
        <v>60</v>
      </c>
      <c r="G279" s="1"/>
      <c r="H279" s="2"/>
      <c r="I279" s="1" t="s">
        <v>68</v>
      </c>
      <c r="K279" s="1"/>
      <c r="L279" s="1" t="s">
        <v>60</v>
      </c>
      <c r="M279" s="26" t="str">
        <f>CONCATENATE(TablaCalificaciones[[#This Row],[Seleccione su nombre (Evaluador)]],TablaCalificaciones[[#This Row],[Seleccione el nombre del Estudiante]])</f>
        <v>Santiago Leonardo SolórzanoOchoa Larreategui Mateo Nicolás</v>
      </c>
      <c r="N279" s="1"/>
      <c r="O279" s="1" t="s">
        <v>222</v>
      </c>
      <c r="Q279" s="1"/>
      <c r="R279" s="1" t="s">
        <v>44</v>
      </c>
      <c r="S279" s="22">
        <f>VLOOKUP(TablaCalificaciones[[#This Row],[Apertura: problema y objetivo ]],PESOS!A$16:B$20,2,0)</f>
        <v>20</v>
      </c>
      <c r="T279" s="1"/>
      <c r="U279" s="1" t="s">
        <v>44</v>
      </c>
      <c r="V279" s="22">
        <f>VLOOKUP(TablaCalificaciones[[#This Row],[Metodología (nivel adecuado)]],PESOS!A$16:B$20,2,0)</f>
        <v>20</v>
      </c>
      <c r="W279" s="1"/>
      <c r="X279" s="1" t="s">
        <v>44</v>
      </c>
      <c r="Y279" s="22">
        <f>VLOOKUP(TablaCalificaciones[[#This Row],[Resultados y evidencia ]],PESOS!A$16:B$20,2,0)</f>
        <v>20</v>
      </c>
      <c r="Z279" s="1"/>
      <c r="AA279" s="1" t="s">
        <v>45</v>
      </c>
      <c r="AB279" s="22">
        <f>VLOOKUP(TablaCalificaciones[[#This Row],[Coherencia y manejo del tiempo]],PESOS!A$25:B$29,2,0)</f>
        <v>10</v>
      </c>
      <c r="AC279" s="1"/>
      <c r="AD279" s="1" t="s">
        <v>45</v>
      </c>
      <c r="AE279" s="22">
        <f>VLOOKUP(TablaCalificaciones[[#This Row],[Diapositivas como apoyo]],PESOS!A$25:B$29,2,0)</f>
        <v>10</v>
      </c>
      <c r="AF279" s="1"/>
      <c r="AG279" s="1" t="s">
        <v>51</v>
      </c>
      <c r="AH279" s="22">
        <f>VLOOKUP(TablaCalificaciones[[#This Row],[Respuestas a preguntas]],PESOS!A$25:B$29,2,0)</f>
        <v>8</v>
      </c>
      <c r="AI279" s="1"/>
      <c r="AJ279" s="1" t="s">
        <v>45</v>
      </c>
      <c r="AK279" s="22">
        <f>VLOOKUP(TablaCalificaciones[[#This Row],[Cierre: aporte a próximos pasos]],PESOS!A$25:B$29,2,0)</f>
        <v>10</v>
      </c>
      <c r="AL279" s="1"/>
      <c r="AM279" s="1"/>
    </row>
    <row r="280" spans="1:39">
      <c r="A280">
        <v>280</v>
      </c>
      <c r="B280" s="2">
        <v>46134.561064814799</v>
      </c>
      <c r="C280" s="2">
        <v>46134.579016203701</v>
      </c>
      <c r="D280" s="1" t="s">
        <v>59</v>
      </c>
      <c r="E280" s="1" t="s">
        <v>60</v>
      </c>
      <c r="G280" s="1"/>
      <c r="H280" s="2"/>
      <c r="I280" s="1" t="s">
        <v>68</v>
      </c>
      <c r="K280" s="1"/>
      <c r="L280" s="1" t="s">
        <v>60</v>
      </c>
      <c r="M280" s="26" t="str">
        <f>CONCATENATE(TablaCalificaciones[[#This Row],[Seleccione su nombre (Evaluador)]],TablaCalificaciones[[#This Row],[Seleccione el nombre del Estudiante]])</f>
        <v>Santiago Leonardo SolórzanoLeón Fuenmayor Emily Antonella</v>
      </c>
      <c r="N280" s="1"/>
      <c r="O280" s="1" t="s">
        <v>223</v>
      </c>
      <c r="Q280" s="1"/>
      <c r="R280" s="1" t="s">
        <v>44</v>
      </c>
      <c r="S280" s="22">
        <f>VLOOKUP(TablaCalificaciones[[#This Row],[Apertura: problema y objetivo ]],PESOS!A$16:B$20,2,0)</f>
        <v>20</v>
      </c>
      <c r="T280" s="1"/>
      <c r="U280" s="1" t="s">
        <v>44</v>
      </c>
      <c r="V280" s="22">
        <f>VLOOKUP(TablaCalificaciones[[#This Row],[Metodología (nivel adecuado)]],PESOS!A$16:B$20,2,0)</f>
        <v>20</v>
      </c>
      <c r="W280" s="1"/>
      <c r="X280" s="1" t="s">
        <v>44</v>
      </c>
      <c r="Y280" s="22">
        <f>VLOOKUP(TablaCalificaciones[[#This Row],[Resultados y evidencia ]],PESOS!A$16:B$20,2,0)</f>
        <v>20</v>
      </c>
      <c r="Z280" s="1"/>
      <c r="AA280" s="1" t="s">
        <v>45</v>
      </c>
      <c r="AB280" s="22">
        <f>VLOOKUP(TablaCalificaciones[[#This Row],[Coherencia y manejo del tiempo]],PESOS!A$25:B$29,2,0)</f>
        <v>10</v>
      </c>
      <c r="AC280" s="1"/>
      <c r="AD280" s="1" t="s">
        <v>45</v>
      </c>
      <c r="AE280" s="22">
        <f>VLOOKUP(TablaCalificaciones[[#This Row],[Diapositivas como apoyo]],PESOS!A$25:B$29,2,0)</f>
        <v>10</v>
      </c>
      <c r="AF280" s="1"/>
      <c r="AG280" s="1" t="s">
        <v>51</v>
      </c>
      <c r="AH280" s="22">
        <f>VLOOKUP(TablaCalificaciones[[#This Row],[Respuestas a preguntas]],PESOS!A$25:B$29,2,0)</f>
        <v>8</v>
      </c>
      <c r="AI280" s="1"/>
      <c r="AJ280" s="1" t="s">
        <v>45</v>
      </c>
      <c r="AK280" s="22">
        <f>VLOOKUP(TablaCalificaciones[[#This Row],[Cierre: aporte a próximos pasos]],PESOS!A$25:B$29,2,0)</f>
        <v>10</v>
      </c>
      <c r="AL280" s="1"/>
      <c r="AM280" s="1"/>
    </row>
    <row r="281" spans="1:39">
      <c r="A281">
        <v>281</v>
      </c>
      <c r="B281" s="2">
        <v>46134.562326388899</v>
      </c>
      <c r="C281" s="2">
        <v>46134.5801041667</v>
      </c>
      <c r="D281" s="1" t="s">
        <v>54</v>
      </c>
      <c r="E281" s="1" t="s">
        <v>55</v>
      </c>
      <c r="G281" s="1"/>
      <c r="H281" s="2"/>
      <c r="I281" s="1" t="s">
        <v>68</v>
      </c>
      <c r="K281" s="1"/>
      <c r="L281" s="1" t="s">
        <v>56</v>
      </c>
      <c r="M281" s="26" t="str">
        <f>CONCATENATE(TablaCalificaciones[[#This Row],[Seleccione su nombre (Evaluador)]],TablaCalificaciones[[#This Row],[Seleccione el nombre del Estudiante]])</f>
        <v>Marco Antonio Galarza CastilloLeón Fuenmayor Emily Antonella</v>
      </c>
      <c r="N281" s="1"/>
      <c r="O281" s="1" t="s">
        <v>223</v>
      </c>
      <c r="Q281" s="1"/>
      <c r="R281" s="1" t="s">
        <v>44</v>
      </c>
      <c r="S281" s="22">
        <f>VLOOKUP(TablaCalificaciones[[#This Row],[Apertura: problema y objetivo ]],PESOS!A$16:B$20,2,0)</f>
        <v>20</v>
      </c>
      <c r="T281" s="1"/>
      <c r="U281" s="1" t="s">
        <v>44</v>
      </c>
      <c r="V281" s="22">
        <f>VLOOKUP(TablaCalificaciones[[#This Row],[Metodología (nivel adecuado)]],PESOS!A$16:B$20,2,0)</f>
        <v>20</v>
      </c>
      <c r="W281" s="1"/>
      <c r="X281" s="1" t="s">
        <v>44</v>
      </c>
      <c r="Y281" s="22">
        <f>VLOOKUP(TablaCalificaciones[[#This Row],[Resultados y evidencia ]],PESOS!A$16:B$20,2,0)</f>
        <v>20</v>
      </c>
      <c r="Z281" s="1"/>
      <c r="AA281" s="1" t="s">
        <v>45</v>
      </c>
      <c r="AB281" s="22">
        <f>VLOOKUP(TablaCalificaciones[[#This Row],[Coherencia y manejo del tiempo]],PESOS!A$25:B$29,2,0)</f>
        <v>10</v>
      </c>
      <c r="AC281" s="1"/>
      <c r="AD281" s="1" t="s">
        <v>51</v>
      </c>
      <c r="AE281" s="22">
        <f>VLOOKUP(TablaCalificaciones[[#This Row],[Diapositivas como apoyo]],PESOS!A$25:B$29,2,0)</f>
        <v>8</v>
      </c>
      <c r="AF281" s="1"/>
      <c r="AG281" s="1" t="s">
        <v>45</v>
      </c>
      <c r="AH281" s="22">
        <f>VLOOKUP(TablaCalificaciones[[#This Row],[Respuestas a preguntas]],PESOS!A$25:B$29,2,0)</f>
        <v>10</v>
      </c>
      <c r="AI281" s="1"/>
      <c r="AJ281" s="1" t="s">
        <v>45</v>
      </c>
      <c r="AK281" s="22">
        <f>VLOOKUP(TablaCalificaciones[[#This Row],[Cierre: aporte a próximos pasos]],PESOS!A$25:B$29,2,0)</f>
        <v>10</v>
      </c>
      <c r="AL281" s="1"/>
      <c r="AM281" s="1"/>
    </row>
    <row r="282" spans="1:39">
      <c r="A282">
        <v>282</v>
      </c>
      <c r="B282" s="2">
        <v>46134.580150463</v>
      </c>
      <c r="C282" s="2">
        <v>46134.580462963</v>
      </c>
      <c r="D282" s="1" t="s">
        <v>54</v>
      </c>
      <c r="E282" s="1" t="s">
        <v>55</v>
      </c>
      <c r="G282" s="1"/>
      <c r="H282" s="2"/>
      <c r="I282" s="1" t="s">
        <v>68</v>
      </c>
      <c r="K282" s="1"/>
      <c r="L282" s="1" t="s">
        <v>56</v>
      </c>
      <c r="M282" s="26" t="str">
        <f>CONCATENATE(TablaCalificaciones[[#This Row],[Seleccione su nombre (Evaluador)]],TablaCalificaciones[[#This Row],[Seleccione el nombre del Estudiante]])</f>
        <v>Marco Antonio Galarza CastilloOchoa Larreategui Mateo Nicolás</v>
      </c>
      <c r="N282" s="1"/>
      <c r="O282" s="1" t="s">
        <v>222</v>
      </c>
      <c r="Q282" s="1"/>
      <c r="R282" s="1" t="s">
        <v>44</v>
      </c>
      <c r="S282" s="22">
        <f>VLOOKUP(TablaCalificaciones[[#This Row],[Apertura: problema y objetivo ]],PESOS!A$16:B$20,2,0)</f>
        <v>20</v>
      </c>
      <c r="T282" s="1"/>
      <c r="U282" s="1" t="s">
        <v>44</v>
      </c>
      <c r="V282" s="22">
        <f>VLOOKUP(TablaCalificaciones[[#This Row],[Metodología (nivel adecuado)]],PESOS!A$16:B$20,2,0)</f>
        <v>20</v>
      </c>
      <c r="W282" s="1"/>
      <c r="X282" s="1" t="s">
        <v>44</v>
      </c>
      <c r="Y282" s="22">
        <f>VLOOKUP(TablaCalificaciones[[#This Row],[Resultados y evidencia ]],PESOS!A$16:B$20,2,0)</f>
        <v>20</v>
      </c>
      <c r="Z282" s="1"/>
      <c r="AA282" s="1" t="s">
        <v>45</v>
      </c>
      <c r="AB282" s="22">
        <f>VLOOKUP(TablaCalificaciones[[#This Row],[Coherencia y manejo del tiempo]],PESOS!A$25:B$29,2,0)</f>
        <v>10</v>
      </c>
      <c r="AC282" s="1"/>
      <c r="AD282" s="1" t="s">
        <v>51</v>
      </c>
      <c r="AE282" s="22">
        <f>VLOOKUP(TablaCalificaciones[[#This Row],[Diapositivas como apoyo]],PESOS!A$25:B$29,2,0)</f>
        <v>8</v>
      </c>
      <c r="AF282" s="1"/>
      <c r="AG282" s="1" t="s">
        <v>45</v>
      </c>
      <c r="AH282" s="22">
        <f>VLOOKUP(TablaCalificaciones[[#This Row],[Respuestas a preguntas]],PESOS!A$25:B$29,2,0)</f>
        <v>10</v>
      </c>
      <c r="AI282" s="1"/>
      <c r="AJ282" s="1" t="s">
        <v>45</v>
      </c>
      <c r="AK282" s="22">
        <f>VLOOKUP(TablaCalificaciones[[#This Row],[Cierre: aporte a próximos pasos]],PESOS!A$25:B$29,2,0)</f>
        <v>10</v>
      </c>
      <c r="AL282" s="1"/>
      <c r="AM282" s="1"/>
    </row>
    <row r="283" spans="1:39">
      <c r="A283">
        <v>283</v>
      </c>
      <c r="B283" s="2">
        <v>46134.568287037</v>
      </c>
      <c r="C283" s="2">
        <v>46134.582511574103</v>
      </c>
      <c r="D283" s="1" t="s">
        <v>87</v>
      </c>
      <c r="E283" s="1" t="s">
        <v>88</v>
      </c>
      <c r="G283" s="1"/>
      <c r="H283" s="2"/>
      <c r="I283" s="1" t="s">
        <v>68</v>
      </c>
      <c r="K283" s="1"/>
      <c r="L283" s="1" t="s">
        <v>88</v>
      </c>
      <c r="M283" s="26" t="str">
        <f>CONCATENATE(TablaCalificaciones[[#This Row],[Seleccione su nombre (Evaluador)]],TablaCalificaciones[[#This Row],[Seleccione el nombre del Estudiante]])</f>
        <v>Ana María Pazmiño DelgadoDávila Egred Xavier Alejandro</v>
      </c>
      <c r="N283" s="1"/>
      <c r="O283" s="1" t="s">
        <v>224</v>
      </c>
      <c r="Q283" s="1"/>
      <c r="R283" s="1" t="s">
        <v>44</v>
      </c>
      <c r="S283" s="22">
        <f>VLOOKUP(TablaCalificaciones[[#This Row],[Apertura: problema y objetivo ]],PESOS!A$16:B$20,2,0)</f>
        <v>20</v>
      </c>
      <c r="T283" s="1"/>
      <c r="U283" s="1" t="s">
        <v>50</v>
      </c>
      <c r="V283" s="22">
        <f>VLOOKUP(TablaCalificaciones[[#This Row],[Metodología (nivel adecuado)]],PESOS!A$16:B$20,2,0)</f>
        <v>16</v>
      </c>
      <c r="W283" s="1"/>
      <c r="X283" s="1" t="s">
        <v>44</v>
      </c>
      <c r="Y283" s="22">
        <f>VLOOKUP(TablaCalificaciones[[#This Row],[Resultados y evidencia ]],PESOS!A$16:B$20,2,0)</f>
        <v>20</v>
      </c>
      <c r="Z283" s="1"/>
      <c r="AA283" s="1" t="s">
        <v>51</v>
      </c>
      <c r="AB283" s="22">
        <f>VLOOKUP(TablaCalificaciones[[#This Row],[Coherencia y manejo del tiempo]],PESOS!A$25:B$29,2,0)</f>
        <v>8</v>
      </c>
      <c r="AC283" s="1"/>
      <c r="AD283" s="1" t="s">
        <v>45</v>
      </c>
      <c r="AE283" s="22">
        <f>VLOOKUP(TablaCalificaciones[[#This Row],[Diapositivas como apoyo]],PESOS!A$25:B$29,2,0)</f>
        <v>10</v>
      </c>
      <c r="AF283" s="1"/>
      <c r="AG283" s="1" t="s">
        <v>51</v>
      </c>
      <c r="AH283" s="22">
        <f>VLOOKUP(TablaCalificaciones[[#This Row],[Respuestas a preguntas]],PESOS!A$25:B$29,2,0)</f>
        <v>8</v>
      </c>
      <c r="AI283" s="1"/>
      <c r="AJ283" s="1" t="s">
        <v>51</v>
      </c>
      <c r="AK283" s="22">
        <f>VLOOKUP(TablaCalificaciones[[#This Row],[Cierre: aporte a próximos pasos]],PESOS!A$25:B$29,2,0)</f>
        <v>8</v>
      </c>
      <c r="AL283" s="1"/>
      <c r="AM283" s="1"/>
    </row>
    <row r="284" spans="1:39">
      <c r="A284">
        <v>284</v>
      </c>
      <c r="B284" s="2">
        <v>46134.581863425898</v>
      </c>
      <c r="C284" s="2">
        <v>46134.583136574103</v>
      </c>
      <c r="D284" s="1" t="s">
        <v>225</v>
      </c>
      <c r="E284" s="1" t="s">
        <v>226</v>
      </c>
      <c r="G284" s="1"/>
      <c r="H284" s="2"/>
      <c r="I284" s="1" t="s">
        <v>68</v>
      </c>
      <c r="K284" s="1"/>
      <c r="L284" s="1" t="s">
        <v>227</v>
      </c>
      <c r="M284" s="26" t="str">
        <f>CONCATENATE(TablaCalificaciones[[#This Row],[Seleccione su nombre (Evaluador)]],TablaCalificaciones[[#This Row],[Seleccione el nombre del Estudiante]])</f>
        <v>Edison ChicaizaCollaguazo Cuenca Jimmy Vinicio</v>
      </c>
      <c r="N284" s="1"/>
      <c r="O284" s="1" t="s">
        <v>221</v>
      </c>
      <c r="Q284" s="1"/>
      <c r="R284" s="1" t="s">
        <v>50</v>
      </c>
      <c r="S284" s="22">
        <f>VLOOKUP(TablaCalificaciones[[#This Row],[Apertura: problema y objetivo ]],PESOS!A$16:B$20,2,0)</f>
        <v>16</v>
      </c>
      <c r="T284" s="1"/>
      <c r="U284" s="1" t="s">
        <v>105</v>
      </c>
      <c r="V284" s="22">
        <f>VLOOKUP(TablaCalificaciones[[#This Row],[Metodología (nivel adecuado)]],PESOS!A$16:B$20,2,0)</f>
        <v>12</v>
      </c>
      <c r="W284" s="1"/>
      <c r="X284" s="1" t="s">
        <v>105</v>
      </c>
      <c r="Y284" s="22">
        <f>VLOOKUP(TablaCalificaciones[[#This Row],[Resultados y evidencia ]],PESOS!A$16:B$20,2,0)</f>
        <v>12</v>
      </c>
      <c r="Z284" s="1"/>
      <c r="AA284" s="1" t="s">
        <v>51</v>
      </c>
      <c r="AB284" s="22">
        <f>VLOOKUP(TablaCalificaciones[[#This Row],[Coherencia y manejo del tiempo]],PESOS!A$25:B$29,2,0)</f>
        <v>8</v>
      </c>
      <c r="AC284" s="1"/>
      <c r="AD284" s="1" t="s">
        <v>51</v>
      </c>
      <c r="AE284" s="22">
        <f>VLOOKUP(TablaCalificaciones[[#This Row],[Diapositivas como apoyo]],PESOS!A$25:B$29,2,0)</f>
        <v>8</v>
      </c>
      <c r="AF284" s="1"/>
      <c r="AG284" s="1" t="s">
        <v>51</v>
      </c>
      <c r="AH284" s="22">
        <f>VLOOKUP(TablaCalificaciones[[#This Row],[Respuestas a preguntas]],PESOS!A$25:B$29,2,0)</f>
        <v>8</v>
      </c>
      <c r="AI284" s="1"/>
      <c r="AJ284" s="1" t="s">
        <v>83</v>
      </c>
      <c r="AK284" s="22">
        <f>VLOOKUP(TablaCalificaciones[[#This Row],[Cierre: aporte a próximos pasos]],PESOS!A$25:B$29,2,0)</f>
        <v>6</v>
      </c>
      <c r="AL284" s="1"/>
      <c r="AM284" s="1"/>
    </row>
    <row r="285" spans="1:39">
      <c r="A285">
        <v>285</v>
      </c>
      <c r="B285" s="2">
        <v>46134.558773148201</v>
      </c>
      <c r="C285" s="2">
        <v>46134.583923611099</v>
      </c>
      <c r="D285" s="1" t="s">
        <v>203</v>
      </c>
      <c r="E285" s="1" t="s">
        <v>204</v>
      </c>
      <c r="G285" s="1"/>
      <c r="H285" s="2"/>
      <c r="I285" s="1" t="s">
        <v>68</v>
      </c>
      <c r="K285" s="1"/>
      <c r="L285" s="1" t="s">
        <v>204</v>
      </c>
      <c r="M285" s="26" t="str">
        <f>CONCATENATE(TablaCalificaciones[[#This Row],[Seleccione su nombre (Evaluador)]],TablaCalificaciones[[#This Row],[Seleccione el nombre del Estudiante]])</f>
        <v>Paulo Roberto GuerraDávila Egred Xavier Alejandro</v>
      </c>
      <c r="N285" s="1"/>
      <c r="O285" s="1" t="s">
        <v>224</v>
      </c>
      <c r="Q285" s="1"/>
      <c r="R285" s="1" t="s">
        <v>50</v>
      </c>
      <c r="S285" s="22">
        <f>VLOOKUP(TablaCalificaciones[[#This Row],[Apertura: problema y objetivo ]],PESOS!A$16:B$20,2,0)</f>
        <v>16</v>
      </c>
      <c r="T285" s="1"/>
      <c r="U285" s="1" t="s">
        <v>44</v>
      </c>
      <c r="V285" s="22">
        <f>VLOOKUP(TablaCalificaciones[[#This Row],[Metodología (nivel adecuado)]],PESOS!A$16:B$20,2,0)</f>
        <v>20</v>
      </c>
      <c r="W285" s="1"/>
      <c r="X285" s="1" t="s">
        <v>44</v>
      </c>
      <c r="Y285" s="22">
        <f>VLOOKUP(TablaCalificaciones[[#This Row],[Resultados y evidencia ]],PESOS!A$16:B$20,2,0)</f>
        <v>20</v>
      </c>
      <c r="Z285" s="1"/>
      <c r="AA285" s="1" t="s">
        <v>83</v>
      </c>
      <c r="AB285" s="22">
        <f>VLOOKUP(TablaCalificaciones[[#This Row],[Coherencia y manejo del tiempo]],PESOS!A$25:B$29,2,0)</f>
        <v>6</v>
      </c>
      <c r="AC285" s="1"/>
      <c r="AD285" s="1" t="s">
        <v>51</v>
      </c>
      <c r="AE285" s="22">
        <f>VLOOKUP(TablaCalificaciones[[#This Row],[Diapositivas como apoyo]],PESOS!A$25:B$29,2,0)</f>
        <v>8</v>
      </c>
      <c r="AF285" s="1"/>
      <c r="AG285" s="1" t="s">
        <v>45</v>
      </c>
      <c r="AH285" s="22">
        <f>VLOOKUP(TablaCalificaciones[[#This Row],[Respuestas a preguntas]],PESOS!A$25:B$29,2,0)</f>
        <v>10</v>
      </c>
      <c r="AI285" s="1"/>
      <c r="AJ285" s="1" t="s">
        <v>83</v>
      </c>
      <c r="AK285" s="22">
        <f>VLOOKUP(TablaCalificaciones[[#This Row],[Cierre: aporte a próximos pasos]],PESOS!A$25:B$29,2,0)</f>
        <v>6</v>
      </c>
      <c r="AL285" s="1"/>
      <c r="AM285" s="1"/>
    </row>
    <row r="286" spans="1:39">
      <c r="A286">
        <v>286</v>
      </c>
      <c r="B286" s="2">
        <v>46134.374004629601</v>
      </c>
      <c r="C286" s="2">
        <v>46134.683206018497</v>
      </c>
      <c r="D286" s="1" t="s">
        <v>39</v>
      </c>
      <c r="E286" s="1" t="s">
        <v>40</v>
      </c>
      <c r="G286" s="1"/>
      <c r="H286" s="2"/>
      <c r="I286" s="1" t="s">
        <v>68</v>
      </c>
      <c r="K286" s="1"/>
      <c r="L286" s="1" t="s">
        <v>42</v>
      </c>
      <c r="M286" s="26" t="str">
        <f>CONCATENATE(TablaCalificaciones[[#This Row],[Seleccione su nombre (Evaluador)]],TablaCalificaciones[[#This Row],[Seleccione el nombre del Estudiante]])</f>
        <v>Patricio David PonceDávila Egred Xavier Alejandro</v>
      </c>
      <c r="N286" s="1"/>
      <c r="O286" s="1" t="s">
        <v>224</v>
      </c>
      <c r="Q286" s="1"/>
      <c r="R286" s="1" t="s">
        <v>44</v>
      </c>
      <c r="S286" s="22">
        <f>VLOOKUP(TablaCalificaciones[[#This Row],[Apertura: problema y objetivo ]],PESOS!A$16:B$20,2,0)</f>
        <v>20</v>
      </c>
      <c r="T286" s="1"/>
      <c r="U286" s="1" t="s">
        <v>44</v>
      </c>
      <c r="V286" s="22">
        <f>VLOOKUP(TablaCalificaciones[[#This Row],[Metodología (nivel adecuado)]],PESOS!A$16:B$20,2,0)</f>
        <v>20</v>
      </c>
      <c r="W286" s="1"/>
      <c r="X286" s="1" t="s">
        <v>44</v>
      </c>
      <c r="Y286" s="22">
        <f>VLOOKUP(TablaCalificaciones[[#This Row],[Resultados y evidencia ]],PESOS!A$16:B$20,2,0)</f>
        <v>20</v>
      </c>
      <c r="Z286" s="1"/>
      <c r="AA286" s="1" t="s">
        <v>83</v>
      </c>
      <c r="AB286" s="22">
        <f>VLOOKUP(TablaCalificaciones[[#This Row],[Coherencia y manejo del tiempo]],PESOS!A$25:B$29,2,0)</f>
        <v>6</v>
      </c>
      <c r="AC286" s="1"/>
      <c r="AD286" s="1" t="s">
        <v>45</v>
      </c>
      <c r="AE286" s="22">
        <f>VLOOKUP(TablaCalificaciones[[#This Row],[Diapositivas como apoyo]],PESOS!A$25:B$29,2,0)</f>
        <v>10</v>
      </c>
      <c r="AF286" s="1"/>
      <c r="AG286" s="1" t="s">
        <v>45</v>
      </c>
      <c r="AH286" s="22">
        <f>VLOOKUP(TablaCalificaciones[[#This Row],[Respuestas a preguntas]],PESOS!A$25:B$29,2,0)</f>
        <v>10</v>
      </c>
      <c r="AI286" s="1"/>
      <c r="AJ286" s="1" t="s">
        <v>51</v>
      </c>
      <c r="AK286" s="22">
        <f>VLOOKUP(TablaCalificaciones[[#This Row],[Cierre: aporte a próximos pasos]],PESOS!A$25:B$29,2,0)</f>
        <v>8</v>
      </c>
      <c r="AL286" s="1"/>
      <c r="AM286" s="1"/>
    </row>
    <row r="287" spans="1:39">
      <c r="A287">
        <v>287</v>
      </c>
      <c r="B287" s="2">
        <v>46134.683229166701</v>
      </c>
      <c r="C287" s="2">
        <v>46134.683900463002</v>
      </c>
      <c r="D287" s="1" t="s">
        <v>39</v>
      </c>
      <c r="E287" s="1" t="s">
        <v>40</v>
      </c>
      <c r="G287" s="1"/>
      <c r="H287" s="2"/>
      <c r="I287" s="1" t="s">
        <v>68</v>
      </c>
      <c r="K287" s="1"/>
      <c r="L287" s="1" t="s">
        <v>42</v>
      </c>
      <c r="M287" s="26" t="str">
        <f>CONCATENATE(TablaCalificaciones[[#This Row],[Seleccione su nombre (Evaluador)]],TablaCalificaciones[[#This Row],[Seleccione el nombre del Estudiante]])</f>
        <v>Patricio David PonceCollaguazo Cuenca Jimmy Vinicio</v>
      </c>
      <c r="N287" s="1"/>
      <c r="O287" s="1" t="s">
        <v>221</v>
      </c>
      <c r="Q287" s="1"/>
      <c r="R287" s="1" t="s">
        <v>50</v>
      </c>
      <c r="S287" s="22">
        <f>VLOOKUP(TablaCalificaciones[[#This Row],[Apertura: problema y objetivo ]],PESOS!A$16:B$20,2,0)</f>
        <v>16</v>
      </c>
      <c r="T287" s="1"/>
      <c r="U287" s="1" t="s">
        <v>50</v>
      </c>
      <c r="V287" s="22">
        <f>VLOOKUP(TablaCalificaciones[[#This Row],[Metodología (nivel adecuado)]],PESOS!A$16:B$20,2,0)</f>
        <v>16</v>
      </c>
      <c r="W287" s="1"/>
      <c r="X287" s="1" t="s">
        <v>105</v>
      </c>
      <c r="Y287" s="22">
        <f>VLOOKUP(TablaCalificaciones[[#This Row],[Resultados y evidencia ]],PESOS!A$16:B$20,2,0)</f>
        <v>12</v>
      </c>
      <c r="Z287" s="1"/>
      <c r="AA287" s="1" t="s">
        <v>45</v>
      </c>
      <c r="AB287" s="22">
        <f>VLOOKUP(TablaCalificaciones[[#This Row],[Coherencia y manejo del tiempo]],PESOS!A$25:B$29,2,0)</f>
        <v>10</v>
      </c>
      <c r="AC287" s="1"/>
      <c r="AD287" s="1" t="s">
        <v>51</v>
      </c>
      <c r="AE287" s="22">
        <f>VLOOKUP(TablaCalificaciones[[#This Row],[Diapositivas como apoyo]],PESOS!A$25:B$29,2,0)</f>
        <v>8</v>
      </c>
      <c r="AF287" s="1"/>
      <c r="AG287" s="1" t="s">
        <v>83</v>
      </c>
      <c r="AH287" s="22">
        <f>VLOOKUP(TablaCalificaciones[[#This Row],[Respuestas a preguntas]],PESOS!A$25:B$29,2,0)</f>
        <v>6</v>
      </c>
      <c r="AI287" s="1"/>
      <c r="AJ287" s="1" t="s">
        <v>83</v>
      </c>
      <c r="AK287" s="22">
        <f>VLOOKUP(TablaCalificaciones[[#This Row],[Cierre: aporte a próximos pasos]],PESOS!A$25:B$29,2,0)</f>
        <v>6</v>
      </c>
      <c r="AL287" s="1"/>
      <c r="AM287" s="1"/>
    </row>
    <row r="288" spans="1:39">
      <c r="A288">
        <v>288</v>
      </c>
      <c r="B288" s="2">
        <v>46134.683923611097</v>
      </c>
      <c r="C288" s="2">
        <v>46134.6859259259</v>
      </c>
      <c r="D288" s="1" t="s">
        <v>39</v>
      </c>
      <c r="E288" s="1" t="s">
        <v>40</v>
      </c>
      <c r="G288" s="1"/>
      <c r="H288" s="2"/>
      <c r="I288" s="1" t="s">
        <v>68</v>
      </c>
      <c r="K288" s="1"/>
      <c r="L288" s="1" t="s">
        <v>42</v>
      </c>
      <c r="M288" s="26" t="str">
        <f>CONCATENATE(TablaCalificaciones[[#This Row],[Seleccione su nombre (Evaluador)]],TablaCalificaciones[[#This Row],[Seleccione el nombre del Estudiante]])</f>
        <v>Patricio David PonceMoreta Gallegos Ángel Andrés</v>
      </c>
      <c r="N288" s="1"/>
      <c r="O288" s="1" t="s">
        <v>209</v>
      </c>
      <c r="Q288" s="1"/>
      <c r="R288" s="1" t="s">
        <v>44</v>
      </c>
      <c r="S288" s="22">
        <f>VLOOKUP(TablaCalificaciones[[#This Row],[Apertura: problema y objetivo ]],PESOS!A$16:B$20,2,0)</f>
        <v>20</v>
      </c>
      <c r="T288" s="1"/>
      <c r="U288" s="1" t="s">
        <v>44</v>
      </c>
      <c r="V288" s="22">
        <f>VLOOKUP(TablaCalificaciones[[#This Row],[Metodología (nivel adecuado)]],PESOS!A$16:B$20,2,0)</f>
        <v>20</v>
      </c>
      <c r="W288" s="1"/>
      <c r="X288" s="1" t="s">
        <v>44</v>
      </c>
      <c r="Y288" s="22">
        <f>VLOOKUP(TablaCalificaciones[[#This Row],[Resultados y evidencia ]],PESOS!A$16:B$20,2,0)</f>
        <v>20</v>
      </c>
      <c r="Z288" s="1"/>
      <c r="AA288" s="1" t="s">
        <v>45</v>
      </c>
      <c r="AB288" s="22">
        <f>VLOOKUP(TablaCalificaciones[[#This Row],[Coherencia y manejo del tiempo]],PESOS!A$25:B$29,2,0)</f>
        <v>10</v>
      </c>
      <c r="AC288" s="1"/>
      <c r="AD288" s="1" t="s">
        <v>45</v>
      </c>
      <c r="AE288" s="22">
        <f>VLOOKUP(TablaCalificaciones[[#This Row],[Diapositivas como apoyo]],PESOS!A$25:B$29,2,0)</f>
        <v>10</v>
      </c>
      <c r="AF288" s="1"/>
      <c r="AG288" s="1" t="s">
        <v>45</v>
      </c>
      <c r="AH288" s="22">
        <f>VLOOKUP(TablaCalificaciones[[#This Row],[Respuestas a preguntas]],PESOS!A$25:B$29,2,0)</f>
        <v>10</v>
      </c>
      <c r="AI288" s="1"/>
      <c r="AJ288" s="1" t="s">
        <v>45</v>
      </c>
      <c r="AK288" s="22">
        <f>VLOOKUP(TablaCalificaciones[[#This Row],[Cierre: aporte a próximos pasos]],PESOS!A$25:B$29,2,0)</f>
        <v>10</v>
      </c>
      <c r="AL288" s="1"/>
      <c r="AM288" s="1"/>
    </row>
    <row r="289" spans="1:39">
      <c r="A289">
        <v>289</v>
      </c>
      <c r="B289" s="2">
        <v>46134.685949074097</v>
      </c>
      <c r="C289" s="2">
        <v>46134.6862847222</v>
      </c>
      <c r="D289" s="1" t="s">
        <v>39</v>
      </c>
      <c r="E289" s="1" t="s">
        <v>40</v>
      </c>
      <c r="G289" s="1"/>
      <c r="H289" s="2"/>
      <c r="I289" s="1" t="s">
        <v>68</v>
      </c>
      <c r="K289" s="1"/>
      <c r="L289" s="1" t="s">
        <v>42</v>
      </c>
      <c r="M289" s="26" t="str">
        <f>CONCATENATE(TablaCalificaciones[[#This Row],[Seleccione su nombre (Evaluador)]],TablaCalificaciones[[#This Row],[Seleccione el nombre del Estudiante]])</f>
        <v>Patricio David PoncePacheco Cueva Alan Josueth</v>
      </c>
      <c r="N289" s="1"/>
      <c r="O289" s="1" t="s">
        <v>210</v>
      </c>
      <c r="Q289" s="1"/>
      <c r="R289" s="1" t="s">
        <v>44</v>
      </c>
      <c r="S289" s="22">
        <f>VLOOKUP(TablaCalificaciones[[#This Row],[Apertura: problema y objetivo ]],PESOS!A$16:B$20,2,0)</f>
        <v>20</v>
      </c>
      <c r="T289" s="1"/>
      <c r="U289" s="1" t="s">
        <v>44</v>
      </c>
      <c r="V289" s="22">
        <f>VLOOKUP(TablaCalificaciones[[#This Row],[Metodología (nivel adecuado)]],PESOS!A$16:B$20,2,0)</f>
        <v>20</v>
      </c>
      <c r="W289" s="1"/>
      <c r="X289" s="1" t="s">
        <v>44</v>
      </c>
      <c r="Y289" s="22">
        <f>VLOOKUP(TablaCalificaciones[[#This Row],[Resultados y evidencia ]],PESOS!A$16:B$20,2,0)</f>
        <v>20</v>
      </c>
      <c r="Z289" s="1"/>
      <c r="AA289" s="1" t="s">
        <v>45</v>
      </c>
      <c r="AB289" s="22">
        <f>VLOOKUP(TablaCalificaciones[[#This Row],[Coherencia y manejo del tiempo]],PESOS!A$25:B$29,2,0)</f>
        <v>10</v>
      </c>
      <c r="AC289" s="1"/>
      <c r="AD289" s="1" t="s">
        <v>45</v>
      </c>
      <c r="AE289" s="22">
        <f>VLOOKUP(TablaCalificaciones[[#This Row],[Diapositivas como apoyo]],PESOS!A$25:B$29,2,0)</f>
        <v>10</v>
      </c>
      <c r="AF289" s="1"/>
      <c r="AG289" s="1" t="s">
        <v>45</v>
      </c>
      <c r="AH289" s="22">
        <f>VLOOKUP(TablaCalificaciones[[#This Row],[Respuestas a preguntas]],PESOS!A$25:B$29,2,0)</f>
        <v>10</v>
      </c>
      <c r="AI289" s="1"/>
      <c r="AJ289" s="1" t="s">
        <v>45</v>
      </c>
      <c r="AK289" s="22">
        <f>VLOOKUP(TablaCalificaciones[[#This Row],[Cierre: aporte a próximos pasos]],PESOS!A$25:B$29,2,0)</f>
        <v>10</v>
      </c>
      <c r="AL289" s="1"/>
      <c r="AM289" s="1"/>
    </row>
    <row r="290" spans="1:39">
      <c r="A290">
        <v>290</v>
      </c>
      <c r="B290" s="2">
        <v>46134.686307870397</v>
      </c>
      <c r="C290" s="2">
        <v>46134.687372685199</v>
      </c>
      <c r="D290" s="1" t="s">
        <v>39</v>
      </c>
      <c r="E290" s="1" t="s">
        <v>40</v>
      </c>
      <c r="G290" s="1"/>
      <c r="H290" s="2"/>
      <c r="I290" s="1" t="s">
        <v>68</v>
      </c>
      <c r="K290" s="1"/>
      <c r="L290" s="1" t="s">
        <v>42</v>
      </c>
      <c r="M290" s="26" t="str">
        <f>CONCATENATE(TablaCalificaciones[[#This Row],[Seleccione su nombre (Evaluador)]],TablaCalificaciones[[#This Row],[Seleccione el nombre del Estudiante]])</f>
        <v>Patricio David PoncePadilla Salgado Jorge Andrés</v>
      </c>
      <c r="N290" s="1"/>
      <c r="O290" s="1" t="s">
        <v>205</v>
      </c>
      <c r="Q290" s="1"/>
      <c r="R290" s="1" t="s">
        <v>44</v>
      </c>
      <c r="S290" s="22">
        <f>VLOOKUP(TablaCalificaciones[[#This Row],[Apertura: problema y objetivo ]],PESOS!A$16:B$20,2,0)</f>
        <v>20</v>
      </c>
      <c r="T290" s="1"/>
      <c r="U290" s="1" t="s">
        <v>44</v>
      </c>
      <c r="V290" s="22">
        <f>VLOOKUP(TablaCalificaciones[[#This Row],[Metodología (nivel adecuado)]],PESOS!A$16:B$20,2,0)</f>
        <v>20</v>
      </c>
      <c r="W290" s="1"/>
      <c r="X290" s="1" t="s">
        <v>44</v>
      </c>
      <c r="Y290" s="22">
        <f>VLOOKUP(TablaCalificaciones[[#This Row],[Resultados y evidencia ]],PESOS!A$16:B$20,2,0)</f>
        <v>20</v>
      </c>
      <c r="Z290" s="1"/>
      <c r="AA290" s="1" t="s">
        <v>45</v>
      </c>
      <c r="AB290" s="22">
        <f>VLOOKUP(TablaCalificaciones[[#This Row],[Coherencia y manejo del tiempo]],PESOS!A$25:B$29,2,0)</f>
        <v>10</v>
      </c>
      <c r="AC290" s="1"/>
      <c r="AD290" s="1" t="s">
        <v>45</v>
      </c>
      <c r="AE290" s="22">
        <f>VLOOKUP(TablaCalificaciones[[#This Row],[Diapositivas como apoyo]],PESOS!A$25:B$29,2,0)</f>
        <v>10</v>
      </c>
      <c r="AF290" s="1"/>
      <c r="AG290" s="1" t="s">
        <v>45</v>
      </c>
      <c r="AH290" s="22">
        <f>VLOOKUP(TablaCalificaciones[[#This Row],[Respuestas a preguntas]],PESOS!A$25:B$29,2,0)</f>
        <v>10</v>
      </c>
      <c r="AI290" s="1"/>
      <c r="AJ290" s="1" t="s">
        <v>45</v>
      </c>
      <c r="AK290" s="22">
        <f>VLOOKUP(TablaCalificaciones[[#This Row],[Cierre: aporte a próximos pasos]],PESOS!A$25:B$29,2,0)</f>
        <v>10</v>
      </c>
      <c r="AL290" s="1"/>
      <c r="AM290" s="1"/>
    </row>
    <row r="291" spans="1:39">
      <c r="A291">
        <v>291</v>
      </c>
      <c r="B291" s="2">
        <v>46134.687395833302</v>
      </c>
      <c r="C291" s="2">
        <v>46134.687743055598</v>
      </c>
      <c r="D291" s="1" t="s">
        <v>39</v>
      </c>
      <c r="E291" s="1" t="s">
        <v>40</v>
      </c>
      <c r="G291" s="1"/>
      <c r="H291" s="2"/>
      <c r="I291" s="1" t="s">
        <v>68</v>
      </c>
      <c r="K291" s="1"/>
      <c r="L291" s="1" t="s">
        <v>42</v>
      </c>
      <c r="M291" s="26" t="str">
        <f>CONCATENATE(TablaCalificaciones[[#This Row],[Seleccione su nombre (Evaluador)]],TablaCalificaciones[[#This Row],[Seleccione el nombre del Estudiante]])</f>
        <v>Patricio David PonceRuales Quezada Alain Mateo</v>
      </c>
      <c r="N291" s="1"/>
      <c r="O291" s="1" t="s">
        <v>206</v>
      </c>
      <c r="Q291" s="1"/>
      <c r="R291" s="1" t="s">
        <v>44</v>
      </c>
      <c r="S291" s="22">
        <f>VLOOKUP(TablaCalificaciones[[#This Row],[Apertura: problema y objetivo ]],PESOS!A$16:B$20,2,0)</f>
        <v>20</v>
      </c>
      <c r="T291" s="1"/>
      <c r="U291" s="1" t="s">
        <v>44</v>
      </c>
      <c r="V291" s="22">
        <f>VLOOKUP(TablaCalificaciones[[#This Row],[Metodología (nivel adecuado)]],PESOS!A$16:B$20,2,0)</f>
        <v>20</v>
      </c>
      <c r="W291" s="1"/>
      <c r="X291" s="1" t="s">
        <v>44</v>
      </c>
      <c r="Y291" s="22">
        <f>VLOOKUP(TablaCalificaciones[[#This Row],[Resultados y evidencia ]],PESOS!A$16:B$20,2,0)</f>
        <v>20</v>
      </c>
      <c r="Z291" s="1"/>
      <c r="AA291" s="1" t="s">
        <v>45</v>
      </c>
      <c r="AB291" s="22">
        <f>VLOOKUP(TablaCalificaciones[[#This Row],[Coherencia y manejo del tiempo]],PESOS!A$25:B$29,2,0)</f>
        <v>10</v>
      </c>
      <c r="AC291" s="1"/>
      <c r="AD291" s="1" t="s">
        <v>45</v>
      </c>
      <c r="AE291" s="22">
        <f>VLOOKUP(TablaCalificaciones[[#This Row],[Diapositivas como apoyo]],PESOS!A$25:B$29,2,0)</f>
        <v>10</v>
      </c>
      <c r="AF291" s="1"/>
      <c r="AG291" s="1" t="s">
        <v>45</v>
      </c>
      <c r="AH291" s="22">
        <f>VLOOKUP(TablaCalificaciones[[#This Row],[Respuestas a preguntas]],PESOS!A$25:B$29,2,0)</f>
        <v>10</v>
      </c>
      <c r="AI291" s="1"/>
      <c r="AJ291" s="1" t="s">
        <v>45</v>
      </c>
      <c r="AK291" s="22">
        <f>VLOOKUP(TablaCalificaciones[[#This Row],[Cierre: aporte a próximos pasos]],PESOS!A$25:B$29,2,0)</f>
        <v>10</v>
      </c>
      <c r="AL291" s="1"/>
      <c r="AM291" s="1"/>
    </row>
    <row r="292" spans="1:39">
      <c r="A292">
        <v>292</v>
      </c>
      <c r="B292" s="2">
        <v>46134.6878125</v>
      </c>
      <c r="C292" s="2">
        <v>46134.688657407401</v>
      </c>
      <c r="D292" s="1" t="s">
        <v>39</v>
      </c>
      <c r="E292" s="1" t="s">
        <v>40</v>
      </c>
      <c r="G292" s="1"/>
      <c r="H292" s="2"/>
      <c r="I292" s="1" t="s">
        <v>68</v>
      </c>
      <c r="K292" s="1"/>
      <c r="L292" s="1" t="s">
        <v>42</v>
      </c>
      <c r="M292" s="26" t="str">
        <f>CONCATENATE(TablaCalificaciones[[#This Row],[Seleccione su nombre (Evaluador)]],TablaCalificaciones[[#This Row],[Seleccione el nombre del Estudiante]])</f>
        <v>Patricio David PonceAbad Anchundia Carlos Alejandro</v>
      </c>
      <c r="N292" s="1"/>
      <c r="O292" s="1" t="s">
        <v>201</v>
      </c>
      <c r="Q292" s="1"/>
      <c r="R292" s="1" t="s">
        <v>44</v>
      </c>
      <c r="S292" s="22">
        <f>VLOOKUP(TablaCalificaciones[[#This Row],[Apertura: problema y objetivo ]],PESOS!A$16:B$20,2,0)</f>
        <v>20</v>
      </c>
      <c r="T292" s="1"/>
      <c r="U292" s="1" t="s">
        <v>50</v>
      </c>
      <c r="V292" s="22">
        <f>VLOOKUP(TablaCalificaciones[[#This Row],[Metodología (nivel adecuado)]],PESOS!A$16:B$20,2,0)</f>
        <v>16</v>
      </c>
      <c r="W292" s="1"/>
      <c r="X292" s="1" t="s">
        <v>44</v>
      </c>
      <c r="Y292" s="22">
        <f>VLOOKUP(TablaCalificaciones[[#This Row],[Resultados y evidencia ]],PESOS!A$16:B$20,2,0)</f>
        <v>20</v>
      </c>
      <c r="Z292" s="1"/>
      <c r="AA292" s="1" t="s">
        <v>51</v>
      </c>
      <c r="AB292" s="22">
        <f>VLOOKUP(TablaCalificaciones[[#This Row],[Coherencia y manejo del tiempo]],PESOS!A$25:B$29,2,0)</f>
        <v>8</v>
      </c>
      <c r="AC292" s="1"/>
      <c r="AD292" s="1" t="s">
        <v>51</v>
      </c>
      <c r="AE292" s="22">
        <f>VLOOKUP(TablaCalificaciones[[#This Row],[Diapositivas como apoyo]],PESOS!A$25:B$29,2,0)</f>
        <v>8</v>
      </c>
      <c r="AF292" s="1"/>
      <c r="AG292" s="1" t="s">
        <v>51</v>
      </c>
      <c r="AH292" s="22">
        <f>VLOOKUP(TablaCalificaciones[[#This Row],[Respuestas a preguntas]],PESOS!A$25:B$29,2,0)</f>
        <v>8</v>
      </c>
      <c r="AI292" s="1"/>
      <c r="AJ292" s="1" t="s">
        <v>51</v>
      </c>
      <c r="AK292" s="22">
        <f>VLOOKUP(TablaCalificaciones[[#This Row],[Cierre: aporte a próximos pasos]],PESOS!A$25:B$29,2,0)</f>
        <v>8</v>
      </c>
      <c r="AL292" s="1"/>
      <c r="AM292" s="1"/>
    </row>
    <row r="293" spans="1:39">
      <c r="A293">
        <v>293</v>
      </c>
      <c r="B293" s="2">
        <v>46134.688680555599</v>
      </c>
      <c r="C293" s="2">
        <v>46134.689270833303</v>
      </c>
      <c r="D293" s="1" t="s">
        <v>39</v>
      </c>
      <c r="E293" s="1" t="s">
        <v>40</v>
      </c>
      <c r="G293" s="1"/>
      <c r="H293" s="2"/>
      <c r="I293" s="1" t="s">
        <v>68</v>
      </c>
      <c r="K293" s="1"/>
      <c r="L293" s="1" t="s">
        <v>42</v>
      </c>
      <c r="M293" s="26" t="str">
        <f>CONCATENATE(TablaCalificaciones[[#This Row],[Seleccione su nombre (Evaluador)]],TablaCalificaciones[[#This Row],[Seleccione el nombre del Estudiante]])</f>
        <v>Patricio David PonceGarcía Robles Natasha Teresa</v>
      </c>
      <c r="N293" s="1"/>
      <c r="O293" s="1" t="s">
        <v>200</v>
      </c>
      <c r="Q293" s="1"/>
      <c r="R293" s="1" t="s">
        <v>44</v>
      </c>
      <c r="S293" s="22">
        <f>VLOOKUP(TablaCalificaciones[[#This Row],[Apertura: problema y objetivo ]],PESOS!A$16:B$20,2,0)</f>
        <v>20</v>
      </c>
      <c r="T293" s="1"/>
      <c r="U293" s="1" t="s">
        <v>50</v>
      </c>
      <c r="V293" s="22">
        <f>VLOOKUP(TablaCalificaciones[[#This Row],[Metodología (nivel adecuado)]],PESOS!A$16:B$20,2,0)</f>
        <v>16</v>
      </c>
      <c r="W293" s="1"/>
      <c r="X293" s="1" t="s">
        <v>50</v>
      </c>
      <c r="Y293" s="22">
        <f>VLOOKUP(TablaCalificaciones[[#This Row],[Resultados y evidencia ]],PESOS!A$16:B$20,2,0)</f>
        <v>16</v>
      </c>
      <c r="Z293" s="1"/>
      <c r="AA293" s="1" t="s">
        <v>51</v>
      </c>
      <c r="AB293" s="22">
        <f>VLOOKUP(TablaCalificaciones[[#This Row],[Coherencia y manejo del tiempo]],PESOS!A$25:B$29,2,0)</f>
        <v>8</v>
      </c>
      <c r="AC293" s="1"/>
      <c r="AD293" s="1" t="s">
        <v>51</v>
      </c>
      <c r="AE293" s="22">
        <f>VLOOKUP(TablaCalificaciones[[#This Row],[Diapositivas como apoyo]],PESOS!A$25:B$29,2,0)</f>
        <v>8</v>
      </c>
      <c r="AF293" s="1"/>
      <c r="AG293" s="1" t="s">
        <v>51</v>
      </c>
      <c r="AH293" s="22">
        <f>VLOOKUP(TablaCalificaciones[[#This Row],[Respuestas a preguntas]],PESOS!A$25:B$29,2,0)</f>
        <v>8</v>
      </c>
      <c r="AI293" s="1"/>
      <c r="AJ293" s="1" t="s">
        <v>51</v>
      </c>
      <c r="AK293" s="22">
        <f>VLOOKUP(TablaCalificaciones[[#This Row],[Cierre: aporte a próximos pasos]],PESOS!A$25:B$29,2,0)</f>
        <v>8</v>
      </c>
      <c r="AL293" s="1"/>
      <c r="AM293" s="1"/>
    </row>
    <row r="294" spans="1:39">
      <c r="A294">
        <v>294</v>
      </c>
      <c r="B294" s="2">
        <v>46134.689282407402</v>
      </c>
      <c r="C294" s="2">
        <v>46134.690046296302</v>
      </c>
      <c r="D294" s="1" t="s">
        <v>39</v>
      </c>
      <c r="E294" s="1" t="s">
        <v>40</v>
      </c>
      <c r="G294" s="1"/>
      <c r="H294" s="2"/>
      <c r="I294" s="1" t="s">
        <v>68</v>
      </c>
      <c r="K294" s="1"/>
      <c r="L294" s="1" t="s">
        <v>42</v>
      </c>
      <c r="M294" s="26" t="str">
        <f>CONCATENATE(TablaCalificaciones[[#This Row],[Seleccione su nombre (Evaluador)]],TablaCalificaciones[[#This Row],[Seleccione el nombre del Estudiante]])</f>
        <v>Patricio David PonceTorres Quenoran Christian David</v>
      </c>
      <c r="N294" s="1"/>
      <c r="O294" s="1" t="s">
        <v>202</v>
      </c>
      <c r="Q294" s="1"/>
      <c r="R294" s="1" t="s">
        <v>44</v>
      </c>
      <c r="S294" s="22">
        <f>VLOOKUP(TablaCalificaciones[[#This Row],[Apertura: problema y objetivo ]],PESOS!A$16:B$20,2,0)</f>
        <v>20</v>
      </c>
      <c r="T294" s="1"/>
      <c r="U294" s="1" t="s">
        <v>50</v>
      </c>
      <c r="V294" s="22">
        <f>VLOOKUP(TablaCalificaciones[[#This Row],[Metodología (nivel adecuado)]],PESOS!A$16:B$20,2,0)</f>
        <v>16</v>
      </c>
      <c r="W294" s="1"/>
      <c r="X294" s="1" t="s">
        <v>50</v>
      </c>
      <c r="Y294" s="22">
        <f>VLOOKUP(TablaCalificaciones[[#This Row],[Resultados y evidencia ]],PESOS!A$16:B$20,2,0)</f>
        <v>16</v>
      </c>
      <c r="Z294" s="1"/>
      <c r="AA294" s="1" t="s">
        <v>51</v>
      </c>
      <c r="AB294" s="22">
        <f>VLOOKUP(TablaCalificaciones[[#This Row],[Coherencia y manejo del tiempo]],PESOS!A$25:B$29,2,0)</f>
        <v>8</v>
      </c>
      <c r="AC294" s="1"/>
      <c r="AD294" s="1" t="s">
        <v>51</v>
      </c>
      <c r="AE294" s="22">
        <f>VLOOKUP(TablaCalificaciones[[#This Row],[Diapositivas como apoyo]],PESOS!A$25:B$29,2,0)</f>
        <v>8</v>
      </c>
      <c r="AF294" s="1"/>
      <c r="AG294" s="1" t="s">
        <v>51</v>
      </c>
      <c r="AH294" s="22">
        <f>VLOOKUP(TablaCalificaciones[[#This Row],[Respuestas a preguntas]],PESOS!A$25:B$29,2,0)</f>
        <v>8</v>
      </c>
      <c r="AI294" s="1"/>
      <c r="AJ294" s="1" t="s">
        <v>51</v>
      </c>
      <c r="AK294" s="22">
        <f>VLOOKUP(TablaCalificaciones[[#This Row],[Cierre: aporte a próximos pasos]],PESOS!A$25:B$29,2,0)</f>
        <v>8</v>
      </c>
      <c r="AL294" s="1"/>
      <c r="AM294" s="1"/>
    </row>
    <row r="295" spans="1:39">
      <c r="A295">
        <v>295</v>
      </c>
      <c r="B295" s="2">
        <v>46134.690069444398</v>
      </c>
      <c r="C295" s="2">
        <v>46134.690740740698</v>
      </c>
      <c r="D295" s="1" t="s">
        <v>39</v>
      </c>
      <c r="E295" s="1" t="s">
        <v>40</v>
      </c>
      <c r="G295" s="1"/>
      <c r="H295" s="2"/>
      <c r="I295" s="1" t="s">
        <v>68</v>
      </c>
      <c r="K295" s="1"/>
      <c r="L295" s="1" t="s">
        <v>42</v>
      </c>
      <c r="M295" s="26" t="str">
        <f>CONCATENATE(TablaCalificaciones[[#This Row],[Seleccione su nombre (Evaluador)]],TablaCalificaciones[[#This Row],[Seleccione el nombre del Estudiante]])</f>
        <v>Patricio David PonceSuárez Minchala Lizbeth Alejandra</v>
      </c>
      <c r="N295" s="1"/>
      <c r="O295" s="1" t="s">
        <v>196</v>
      </c>
      <c r="Q295" s="1"/>
      <c r="R295" s="1" t="s">
        <v>44</v>
      </c>
      <c r="S295" s="22">
        <f>VLOOKUP(TablaCalificaciones[[#This Row],[Apertura: problema y objetivo ]],PESOS!A$16:B$20,2,0)</f>
        <v>20</v>
      </c>
      <c r="T295" s="1"/>
      <c r="U295" s="1" t="s">
        <v>44</v>
      </c>
      <c r="V295" s="22">
        <f>VLOOKUP(TablaCalificaciones[[#This Row],[Metodología (nivel adecuado)]],PESOS!A$16:B$20,2,0)</f>
        <v>20</v>
      </c>
      <c r="W295" s="1"/>
      <c r="X295" s="1" t="s">
        <v>44</v>
      </c>
      <c r="Y295" s="22">
        <f>VLOOKUP(TablaCalificaciones[[#This Row],[Resultados y evidencia ]],PESOS!A$16:B$20,2,0)</f>
        <v>20</v>
      </c>
      <c r="Z295" s="1"/>
      <c r="AA295" s="1" t="s">
        <v>45</v>
      </c>
      <c r="AB295" s="22">
        <f>VLOOKUP(TablaCalificaciones[[#This Row],[Coherencia y manejo del tiempo]],PESOS!A$25:B$29,2,0)</f>
        <v>10</v>
      </c>
      <c r="AC295" s="1"/>
      <c r="AD295" s="1" t="s">
        <v>45</v>
      </c>
      <c r="AE295" s="22">
        <f>VLOOKUP(TablaCalificaciones[[#This Row],[Diapositivas como apoyo]],PESOS!A$25:B$29,2,0)</f>
        <v>10</v>
      </c>
      <c r="AF295" s="1"/>
      <c r="AG295" s="1" t="s">
        <v>45</v>
      </c>
      <c r="AH295" s="22">
        <f>VLOOKUP(TablaCalificaciones[[#This Row],[Respuestas a preguntas]],PESOS!A$25:B$29,2,0)</f>
        <v>10</v>
      </c>
      <c r="AI295" s="1"/>
      <c r="AJ295" s="1" t="s">
        <v>45</v>
      </c>
      <c r="AK295" s="22">
        <f>VLOOKUP(TablaCalificaciones[[#This Row],[Cierre: aporte a próximos pasos]],PESOS!A$25:B$29,2,0)</f>
        <v>10</v>
      </c>
      <c r="AL295" s="1"/>
      <c r="AM295" s="1"/>
    </row>
    <row r="296" spans="1:39">
      <c r="A296">
        <v>296</v>
      </c>
      <c r="B296" s="2">
        <v>46134.690775463001</v>
      </c>
      <c r="C296" s="2">
        <v>46134.691111111097</v>
      </c>
      <c r="D296" s="1" t="s">
        <v>39</v>
      </c>
      <c r="E296" s="1" t="s">
        <v>40</v>
      </c>
      <c r="G296" s="1"/>
      <c r="H296" s="2"/>
      <c r="I296" s="1" t="s">
        <v>68</v>
      </c>
      <c r="K296" s="1"/>
      <c r="L296" s="1" t="s">
        <v>42</v>
      </c>
      <c r="M296" s="26" t="str">
        <f>CONCATENATE(TablaCalificaciones[[#This Row],[Seleccione su nombre (Evaluador)]],TablaCalificaciones[[#This Row],[Seleccione el nombre del Estudiante]])</f>
        <v>Patricio David PonceVaca Condor Edwin Alexis</v>
      </c>
      <c r="N296" s="1"/>
      <c r="O296" s="1" t="s">
        <v>197</v>
      </c>
      <c r="Q296" s="1"/>
      <c r="R296" s="1" t="s">
        <v>44</v>
      </c>
      <c r="S296" s="22">
        <f>VLOOKUP(TablaCalificaciones[[#This Row],[Apertura: problema y objetivo ]],PESOS!A$16:B$20,2,0)</f>
        <v>20</v>
      </c>
      <c r="T296" s="1"/>
      <c r="U296" s="1" t="s">
        <v>44</v>
      </c>
      <c r="V296" s="22">
        <f>VLOOKUP(TablaCalificaciones[[#This Row],[Metodología (nivel adecuado)]],PESOS!A$16:B$20,2,0)</f>
        <v>20</v>
      </c>
      <c r="W296" s="1"/>
      <c r="X296" s="1" t="s">
        <v>44</v>
      </c>
      <c r="Y296" s="22">
        <f>VLOOKUP(TablaCalificaciones[[#This Row],[Resultados y evidencia ]],PESOS!A$16:B$20,2,0)</f>
        <v>20</v>
      </c>
      <c r="Z296" s="1"/>
      <c r="AA296" s="1" t="s">
        <v>45</v>
      </c>
      <c r="AB296" s="22">
        <f>VLOOKUP(TablaCalificaciones[[#This Row],[Coherencia y manejo del tiempo]],PESOS!A$25:B$29,2,0)</f>
        <v>10</v>
      </c>
      <c r="AC296" s="1"/>
      <c r="AD296" s="1" t="s">
        <v>45</v>
      </c>
      <c r="AE296" s="22">
        <f>VLOOKUP(TablaCalificaciones[[#This Row],[Diapositivas como apoyo]],PESOS!A$25:B$29,2,0)</f>
        <v>10</v>
      </c>
      <c r="AF296" s="1"/>
      <c r="AG296" s="1" t="s">
        <v>45</v>
      </c>
      <c r="AH296" s="22">
        <f>VLOOKUP(TablaCalificaciones[[#This Row],[Respuestas a preguntas]],PESOS!A$25:B$29,2,0)</f>
        <v>10</v>
      </c>
      <c r="AI296" s="1"/>
      <c r="AJ296" s="1" t="s">
        <v>45</v>
      </c>
      <c r="AK296" s="22">
        <f>VLOOKUP(TablaCalificaciones[[#This Row],[Cierre: aporte a próximos pasos]],PESOS!A$25:B$29,2,0)</f>
        <v>10</v>
      </c>
      <c r="AL296" s="1"/>
      <c r="AM296" s="1"/>
    </row>
    <row r="297" spans="1:39">
      <c r="A297">
        <v>297</v>
      </c>
      <c r="B297" s="2">
        <v>46134.691134259301</v>
      </c>
      <c r="C297" s="2">
        <v>46134.691874999997</v>
      </c>
      <c r="D297" s="1" t="s">
        <v>39</v>
      </c>
      <c r="E297" s="1" t="s">
        <v>40</v>
      </c>
      <c r="G297" s="1"/>
      <c r="H297" s="2"/>
      <c r="I297" s="1" t="s">
        <v>68</v>
      </c>
      <c r="K297" s="1"/>
      <c r="L297" s="1" t="s">
        <v>42</v>
      </c>
      <c r="M297" s="26" t="str">
        <f>CONCATENATE(TablaCalificaciones[[#This Row],[Seleccione su nombre (Evaluador)]],TablaCalificaciones[[#This Row],[Seleccione el nombre del Estudiante]])</f>
        <v>Patricio David PonceJácome Macías Anne</v>
      </c>
      <c r="N297" s="1"/>
      <c r="O297" s="1" t="s">
        <v>187</v>
      </c>
      <c r="Q297" s="1"/>
      <c r="R297" s="1" t="s">
        <v>44</v>
      </c>
      <c r="S297" s="22">
        <f>VLOOKUP(TablaCalificaciones[[#This Row],[Apertura: problema y objetivo ]],PESOS!A$16:B$20,2,0)</f>
        <v>20</v>
      </c>
      <c r="T297" s="1"/>
      <c r="U297" s="1" t="s">
        <v>44</v>
      </c>
      <c r="V297" s="22">
        <f>VLOOKUP(TablaCalificaciones[[#This Row],[Metodología (nivel adecuado)]],PESOS!A$16:B$20,2,0)</f>
        <v>20</v>
      </c>
      <c r="W297" s="1"/>
      <c r="X297" s="1" t="s">
        <v>44</v>
      </c>
      <c r="Y297" s="22">
        <f>VLOOKUP(TablaCalificaciones[[#This Row],[Resultados y evidencia ]],PESOS!A$16:B$20,2,0)</f>
        <v>20</v>
      </c>
      <c r="Z297" s="1"/>
      <c r="AA297" s="1" t="s">
        <v>45</v>
      </c>
      <c r="AB297" s="22">
        <f>VLOOKUP(TablaCalificaciones[[#This Row],[Coherencia y manejo del tiempo]],PESOS!A$25:B$29,2,0)</f>
        <v>10</v>
      </c>
      <c r="AC297" s="1"/>
      <c r="AD297" s="1" t="s">
        <v>45</v>
      </c>
      <c r="AE297" s="22">
        <f>VLOOKUP(TablaCalificaciones[[#This Row],[Diapositivas como apoyo]],PESOS!A$25:B$29,2,0)</f>
        <v>10</v>
      </c>
      <c r="AF297" s="1"/>
      <c r="AG297" s="1" t="s">
        <v>45</v>
      </c>
      <c r="AH297" s="22">
        <f>VLOOKUP(TablaCalificaciones[[#This Row],[Respuestas a preguntas]],PESOS!A$25:B$29,2,0)</f>
        <v>10</v>
      </c>
      <c r="AI297" s="1"/>
      <c r="AJ297" s="1" t="s">
        <v>45</v>
      </c>
      <c r="AK297" s="22">
        <f>VLOOKUP(TablaCalificaciones[[#This Row],[Cierre: aporte a próximos pasos]],PESOS!A$25:B$29,2,0)</f>
        <v>10</v>
      </c>
      <c r="AL297" s="1"/>
      <c r="AM297" s="1"/>
    </row>
    <row r="298" spans="1:39">
      <c r="A298">
        <v>298</v>
      </c>
      <c r="B298" s="2">
        <v>46134.691898148099</v>
      </c>
      <c r="C298" s="2">
        <v>46134.692245370403</v>
      </c>
      <c r="D298" s="1" t="s">
        <v>39</v>
      </c>
      <c r="E298" s="1" t="s">
        <v>40</v>
      </c>
      <c r="G298" s="1"/>
      <c r="H298" s="2"/>
      <c r="I298" s="1" t="s">
        <v>68</v>
      </c>
      <c r="K298" s="1"/>
      <c r="L298" s="1" t="s">
        <v>42</v>
      </c>
      <c r="M298" s="26" t="str">
        <f>CONCATENATE(TablaCalificaciones[[#This Row],[Seleccione su nombre (Evaluador)]],TablaCalificaciones[[#This Row],[Seleccione el nombre del Estudiante]])</f>
        <v>Patricio David PonceTulcán Jaya Iván</v>
      </c>
      <c r="N298" s="1"/>
      <c r="O298" s="1" t="s">
        <v>228</v>
      </c>
      <c r="Q298" s="1"/>
      <c r="R298" s="1" t="s">
        <v>44</v>
      </c>
      <c r="S298" s="22">
        <f>VLOOKUP(TablaCalificaciones[[#This Row],[Apertura: problema y objetivo ]],PESOS!A$16:B$20,2,0)</f>
        <v>20</v>
      </c>
      <c r="T298" s="1"/>
      <c r="U298" s="1" t="s">
        <v>44</v>
      </c>
      <c r="V298" s="22">
        <f>VLOOKUP(TablaCalificaciones[[#This Row],[Metodología (nivel adecuado)]],PESOS!A$16:B$20,2,0)</f>
        <v>20</v>
      </c>
      <c r="W298" s="1"/>
      <c r="X298" s="1" t="s">
        <v>44</v>
      </c>
      <c r="Y298" s="22">
        <f>VLOOKUP(TablaCalificaciones[[#This Row],[Resultados y evidencia ]],PESOS!A$16:B$20,2,0)</f>
        <v>20</v>
      </c>
      <c r="Z298" s="1"/>
      <c r="AA298" s="1" t="s">
        <v>45</v>
      </c>
      <c r="AB298" s="22">
        <f>VLOOKUP(TablaCalificaciones[[#This Row],[Coherencia y manejo del tiempo]],PESOS!A$25:B$29,2,0)</f>
        <v>10</v>
      </c>
      <c r="AC298" s="1"/>
      <c r="AD298" s="1" t="s">
        <v>45</v>
      </c>
      <c r="AE298" s="22">
        <f>VLOOKUP(TablaCalificaciones[[#This Row],[Diapositivas como apoyo]],PESOS!A$25:B$29,2,0)</f>
        <v>10</v>
      </c>
      <c r="AF298" s="1"/>
      <c r="AG298" s="1" t="s">
        <v>45</v>
      </c>
      <c r="AH298" s="22">
        <f>VLOOKUP(TablaCalificaciones[[#This Row],[Respuestas a preguntas]],PESOS!A$25:B$29,2,0)</f>
        <v>10</v>
      </c>
      <c r="AI298" s="1"/>
      <c r="AJ298" s="1" t="s">
        <v>45</v>
      </c>
      <c r="AK298" s="22">
        <f>VLOOKUP(TablaCalificaciones[[#This Row],[Cierre: aporte a próximos pasos]],PESOS!A$25:B$29,2,0)</f>
        <v>10</v>
      </c>
      <c r="AL298" s="1"/>
      <c r="AM298" s="1"/>
    </row>
    <row r="299" spans="1:39">
      <c r="A299">
        <v>299</v>
      </c>
      <c r="B299" s="2">
        <v>46134.692268518498</v>
      </c>
      <c r="C299" s="2">
        <v>46134.6937384259</v>
      </c>
      <c r="D299" s="1" t="s">
        <v>39</v>
      </c>
      <c r="E299" s="1" t="s">
        <v>40</v>
      </c>
      <c r="G299" s="1"/>
      <c r="H299" s="2"/>
      <c r="I299" s="1" t="s">
        <v>68</v>
      </c>
      <c r="K299" s="1"/>
      <c r="L299" s="1" t="s">
        <v>42</v>
      </c>
      <c r="M299" s="26" t="str">
        <f>CONCATENATE(TablaCalificaciones[[#This Row],[Seleccione su nombre (Evaluador)]],TablaCalificaciones[[#This Row],[Seleccione el nombre del Estudiante]])</f>
        <v>Patricio David PonceArévalo Yépez Lucio Plácido</v>
      </c>
      <c r="N299" s="1"/>
      <c r="O299" s="1" t="s">
        <v>183</v>
      </c>
      <c r="Q299" s="1"/>
      <c r="R299" s="1" t="s">
        <v>44</v>
      </c>
      <c r="S299" s="22">
        <f>VLOOKUP(TablaCalificaciones[[#This Row],[Apertura: problema y objetivo ]],PESOS!A$16:B$20,2,0)</f>
        <v>20</v>
      </c>
      <c r="T299" s="1"/>
      <c r="U299" s="1" t="s">
        <v>44</v>
      </c>
      <c r="V299" s="22">
        <f>VLOOKUP(TablaCalificaciones[[#This Row],[Metodología (nivel adecuado)]],PESOS!A$16:B$20,2,0)</f>
        <v>20</v>
      </c>
      <c r="W299" s="1"/>
      <c r="X299" s="1" t="s">
        <v>44</v>
      </c>
      <c r="Y299" s="22">
        <f>VLOOKUP(TablaCalificaciones[[#This Row],[Resultados y evidencia ]],PESOS!A$16:B$20,2,0)</f>
        <v>20</v>
      </c>
      <c r="Z299" s="1"/>
      <c r="AA299" s="1" t="s">
        <v>51</v>
      </c>
      <c r="AB299" s="22">
        <f>VLOOKUP(TablaCalificaciones[[#This Row],[Coherencia y manejo del tiempo]],PESOS!A$25:B$29,2,0)</f>
        <v>8</v>
      </c>
      <c r="AC299" s="1"/>
      <c r="AD299" s="1" t="s">
        <v>83</v>
      </c>
      <c r="AE299" s="22">
        <f>VLOOKUP(TablaCalificaciones[[#This Row],[Diapositivas como apoyo]],PESOS!A$25:B$29,2,0)</f>
        <v>6</v>
      </c>
      <c r="AF299" s="1"/>
      <c r="AG299" s="1" t="s">
        <v>51</v>
      </c>
      <c r="AH299" s="22">
        <f>VLOOKUP(TablaCalificaciones[[#This Row],[Respuestas a preguntas]],PESOS!A$25:B$29,2,0)</f>
        <v>8</v>
      </c>
      <c r="AI299" s="1"/>
      <c r="AJ299" s="1" t="s">
        <v>51</v>
      </c>
      <c r="AK299" s="22">
        <f>VLOOKUP(TablaCalificaciones[[#This Row],[Cierre: aporte a próximos pasos]],PESOS!A$25:B$29,2,0)</f>
        <v>8</v>
      </c>
      <c r="AL299" s="1"/>
      <c r="AM299" s="1"/>
    </row>
    <row r="300" spans="1:39">
      <c r="A300">
        <v>300</v>
      </c>
      <c r="B300" s="2">
        <v>46134.693749999999</v>
      </c>
      <c r="C300" s="2">
        <v>46134.694803240702</v>
      </c>
      <c r="D300" s="1" t="s">
        <v>39</v>
      </c>
      <c r="E300" s="1" t="s">
        <v>40</v>
      </c>
      <c r="G300" s="1"/>
      <c r="H300" s="2"/>
      <c r="I300" s="1" t="s">
        <v>68</v>
      </c>
      <c r="K300" s="1"/>
      <c r="L300" s="1" t="s">
        <v>42</v>
      </c>
      <c r="M300" s="26" t="str">
        <f>CONCATENATE(TablaCalificaciones[[#This Row],[Seleccione su nombre (Evaluador)]],TablaCalificaciones[[#This Row],[Seleccione el nombre del Estudiante]])</f>
        <v>Patricio David PonceChimbo Naranjo Christian Leonardo</v>
      </c>
      <c r="N300" s="1"/>
      <c r="O300" s="1" t="s">
        <v>186</v>
      </c>
      <c r="Q300" s="1"/>
      <c r="R300" s="1" t="s">
        <v>44</v>
      </c>
      <c r="S300" s="22">
        <f>VLOOKUP(TablaCalificaciones[[#This Row],[Apertura: problema y objetivo ]],PESOS!A$16:B$20,2,0)</f>
        <v>20</v>
      </c>
      <c r="T300" s="1"/>
      <c r="U300" s="1" t="s">
        <v>44</v>
      </c>
      <c r="V300" s="22">
        <f>VLOOKUP(TablaCalificaciones[[#This Row],[Metodología (nivel adecuado)]],PESOS!A$16:B$20,2,0)</f>
        <v>20</v>
      </c>
      <c r="W300" s="1"/>
      <c r="X300" s="1" t="s">
        <v>44</v>
      </c>
      <c r="Y300" s="22">
        <f>VLOOKUP(TablaCalificaciones[[#This Row],[Resultados y evidencia ]],PESOS!A$16:B$20,2,0)</f>
        <v>20</v>
      </c>
      <c r="Z300" s="1"/>
      <c r="AA300" s="1" t="s">
        <v>51</v>
      </c>
      <c r="AB300" s="22">
        <f>VLOOKUP(TablaCalificaciones[[#This Row],[Coherencia y manejo del tiempo]],PESOS!A$25:B$29,2,0)</f>
        <v>8</v>
      </c>
      <c r="AC300" s="1"/>
      <c r="AD300" s="1" t="s">
        <v>83</v>
      </c>
      <c r="AE300" s="22">
        <f>VLOOKUP(TablaCalificaciones[[#This Row],[Diapositivas como apoyo]],PESOS!A$25:B$29,2,0)</f>
        <v>6</v>
      </c>
      <c r="AF300" s="1"/>
      <c r="AG300" s="1" t="s">
        <v>51</v>
      </c>
      <c r="AH300" s="22">
        <f>VLOOKUP(TablaCalificaciones[[#This Row],[Respuestas a preguntas]],PESOS!A$25:B$29,2,0)</f>
        <v>8</v>
      </c>
      <c r="AI300" s="1"/>
      <c r="AJ300" s="1" t="s">
        <v>51</v>
      </c>
      <c r="AK300" s="22">
        <f>VLOOKUP(TablaCalificaciones[[#This Row],[Cierre: aporte a próximos pasos]],PESOS!A$25:B$29,2,0)</f>
        <v>8</v>
      </c>
      <c r="AL300" s="1"/>
      <c r="AM300" s="1"/>
    </row>
    <row r="301" spans="1:39">
      <c r="A301">
        <v>301</v>
      </c>
      <c r="B301" s="2">
        <v>46134.694826388899</v>
      </c>
      <c r="C301" s="2">
        <v>46134.6952199074</v>
      </c>
      <c r="D301" s="1" t="s">
        <v>39</v>
      </c>
      <c r="E301" s="1" t="s">
        <v>40</v>
      </c>
      <c r="G301" s="1"/>
      <c r="H301" s="2"/>
      <c r="I301" s="1" t="s">
        <v>68</v>
      </c>
      <c r="K301" s="1"/>
      <c r="L301" s="1" t="s">
        <v>42</v>
      </c>
      <c r="M301" s="26" t="str">
        <f>CONCATENATE(TablaCalificaciones[[#This Row],[Seleccione su nombre (Evaluador)]],TablaCalificaciones[[#This Row],[Seleccione el nombre del Estudiante]])</f>
        <v>Patricio David PonceOrtiz Esquivel Luz Eidy</v>
      </c>
      <c r="N301" s="1"/>
      <c r="O301" s="1" t="s">
        <v>182</v>
      </c>
      <c r="Q301" s="1"/>
      <c r="R301" s="1" t="s">
        <v>44</v>
      </c>
      <c r="S301" s="22">
        <f>VLOOKUP(TablaCalificaciones[[#This Row],[Apertura: problema y objetivo ]],PESOS!A$16:B$20,2,0)</f>
        <v>20</v>
      </c>
      <c r="T301" s="1"/>
      <c r="U301" s="1" t="s">
        <v>44</v>
      </c>
      <c r="V301" s="22">
        <f>VLOOKUP(TablaCalificaciones[[#This Row],[Metodología (nivel adecuado)]],PESOS!A$16:B$20,2,0)</f>
        <v>20</v>
      </c>
      <c r="W301" s="1"/>
      <c r="X301" s="1" t="s">
        <v>44</v>
      </c>
      <c r="Y301" s="22">
        <f>VLOOKUP(TablaCalificaciones[[#This Row],[Resultados y evidencia ]],PESOS!A$16:B$20,2,0)</f>
        <v>20</v>
      </c>
      <c r="Z301" s="1"/>
      <c r="AA301" s="1" t="s">
        <v>51</v>
      </c>
      <c r="AB301" s="22">
        <f>VLOOKUP(TablaCalificaciones[[#This Row],[Coherencia y manejo del tiempo]],PESOS!A$25:B$29,2,0)</f>
        <v>8</v>
      </c>
      <c r="AC301" s="1"/>
      <c r="AD301" s="1" t="s">
        <v>51</v>
      </c>
      <c r="AE301" s="22">
        <f>VLOOKUP(TablaCalificaciones[[#This Row],[Diapositivas como apoyo]],PESOS!A$25:B$29,2,0)</f>
        <v>8</v>
      </c>
      <c r="AF301" s="1"/>
      <c r="AG301" s="1" t="s">
        <v>51</v>
      </c>
      <c r="AH301" s="22">
        <f>VLOOKUP(TablaCalificaciones[[#This Row],[Respuestas a preguntas]],PESOS!A$25:B$29,2,0)</f>
        <v>8</v>
      </c>
      <c r="AI301" s="1"/>
      <c r="AJ301" s="1" t="s">
        <v>51</v>
      </c>
      <c r="AK301" s="22">
        <f>VLOOKUP(TablaCalificaciones[[#This Row],[Cierre: aporte a próximos pasos]],PESOS!A$25:B$29,2,0)</f>
        <v>8</v>
      </c>
      <c r="AL301" s="1"/>
      <c r="AM301" s="1"/>
    </row>
    <row r="302" spans="1:39">
      <c r="A302">
        <v>302</v>
      </c>
      <c r="B302" s="2">
        <v>46134.695254629602</v>
      </c>
      <c r="C302" s="2">
        <v>46134.696111111101</v>
      </c>
      <c r="D302" s="1" t="s">
        <v>39</v>
      </c>
      <c r="E302" s="1" t="s">
        <v>40</v>
      </c>
      <c r="G302" s="1"/>
      <c r="H302" s="2"/>
      <c r="I302" s="1" t="s">
        <v>68</v>
      </c>
      <c r="K302" s="1"/>
      <c r="L302" s="1" t="s">
        <v>42</v>
      </c>
      <c r="M302" s="26" t="str">
        <f>CONCATENATE(TablaCalificaciones[[#This Row],[Seleccione su nombre (Evaluador)]],TablaCalificaciones[[#This Row],[Seleccione el nombre del Estudiante]])</f>
        <v>Patricio David PonceCarrillo Viera Ariel Fernando</v>
      </c>
      <c r="N302" s="1"/>
      <c r="O302" s="1" t="s">
        <v>177</v>
      </c>
      <c r="Q302" s="1"/>
      <c r="R302" s="1" t="s">
        <v>44</v>
      </c>
      <c r="S302" s="22">
        <f>VLOOKUP(TablaCalificaciones[[#This Row],[Apertura: problema y objetivo ]],PESOS!A$16:B$20,2,0)</f>
        <v>20</v>
      </c>
      <c r="T302" s="1"/>
      <c r="U302" s="1" t="s">
        <v>50</v>
      </c>
      <c r="V302" s="22">
        <f>VLOOKUP(TablaCalificaciones[[#This Row],[Metodología (nivel adecuado)]],PESOS!A$16:B$20,2,0)</f>
        <v>16</v>
      </c>
      <c r="W302" s="1"/>
      <c r="X302" s="1" t="s">
        <v>50</v>
      </c>
      <c r="Y302" s="22">
        <f>VLOOKUP(TablaCalificaciones[[#This Row],[Resultados y evidencia ]],PESOS!A$16:B$20,2,0)</f>
        <v>16</v>
      </c>
      <c r="Z302" s="1"/>
      <c r="AA302" s="1" t="s">
        <v>45</v>
      </c>
      <c r="AB302" s="22">
        <f>VLOOKUP(TablaCalificaciones[[#This Row],[Coherencia y manejo del tiempo]],PESOS!A$25:B$29,2,0)</f>
        <v>10</v>
      </c>
      <c r="AC302" s="1"/>
      <c r="AD302" s="1" t="s">
        <v>45</v>
      </c>
      <c r="AE302" s="22">
        <f>VLOOKUP(TablaCalificaciones[[#This Row],[Diapositivas como apoyo]],PESOS!A$25:B$29,2,0)</f>
        <v>10</v>
      </c>
      <c r="AF302" s="1"/>
      <c r="AG302" s="1" t="s">
        <v>51</v>
      </c>
      <c r="AH302" s="22">
        <f>VLOOKUP(TablaCalificaciones[[#This Row],[Respuestas a preguntas]],PESOS!A$25:B$29,2,0)</f>
        <v>8</v>
      </c>
      <c r="AI302" s="1"/>
      <c r="AJ302" s="1" t="s">
        <v>51</v>
      </c>
      <c r="AK302" s="22">
        <f>VLOOKUP(TablaCalificaciones[[#This Row],[Cierre: aporte a próximos pasos]],PESOS!A$25:B$29,2,0)</f>
        <v>8</v>
      </c>
      <c r="AL302" s="1"/>
      <c r="AM302" s="1"/>
    </row>
    <row r="303" spans="1:39">
      <c r="A303">
        <v>303</v>
      </c>
      <c r="B303" s="2">
        <v>46134.696134259299</v>
      </c>
      <c r="C303" s="2">
        <v>46134.697013888901</v>
      </c>
      <c r="D303" s="1" t="s">
        <v>39</v>
      </c>
      <c r="E303" s="1" t="s">
        <v>40</v>
      </c>
      <c r="G303" s="1"/>
      <c r="H303" s="2"/>
      <c r="I303" s="1" t="s">
        <v>68</v>
      </c>
      <c r="K303" s="1"/>
      <c r="L303" s="1" t="s">
        <v>42</v>
      </c>
      <c r="M303" s="26" t="str">
        <f>CONCATENATE(TablaCalificaciones[[#This Row],[Seleccione su nombre (Evaluador)]],TablaCalificaciones[[#This Row],[Seleccione el nombre del Estudiante]])</f>
        <v>Patricio David PonceDonoso Márquez Renato Fabricio</v>
      </c>
      <c r="N303" s="1"/>
      <c r="O303" s="1" t="s">
        <v>172</v>
      </c>
      <c r="Q303" s="1"/>
      <c r="R303" s="1" t="s">
        <v>44</v>
      </c>
      <c r="S303" s="22">
        <f>VLOOKUP(TablaCalificaciones[[#This Row],[Apertura: problema y objetivo ]],PESOS!A$16:B$20,2,0)</f>
        <v>20</v>
      </c>
      <c r="T303" s="1"/>
      <c r="U303" s="1" t="s">
        <v>44</v>
      </c>
      <c r="V303" s="22">
        <f>VLOOKUP(TablaCalificaciones[[#This Row],[Metodología (nivel adecuado)]],PESOS!A$16:B$20,2,0)</f>
        <v>20</v>
      </c>
      <c r="W303" s="1"/>
      <c r="X303" s="1" t="s">
        <v>44</v>
      </c>
      <c r="Y303" s="22">
        <f>VLOOKUP(TablaCalificaciones[[#This Row],[Resultados y evidencia ]],PESOS!A$16:B$20,2,0)</f>
        <v>20</v>
      </c>
      <c r="Z303" s="1"/>
      <c r="AA303" s="1" t="s">
        <v>45</v>
      </c>
      <c r="AB303" s="22">
        <f>VLOOKUP(TablaCalificaciones[[#This Row],[Coherencia y manejo del tiempo]],PESOS!A$25:B$29,2,0)</f>
        <v>10</v>
      </c>
      <c r="AC303" s="1"/>
      <c r="AD303" s="1" t="s">
        <v>83</v>
      </c>
      <c r="AE303" s="22">
        <f>VLOOKUP(TablaCalificaciones[[#This Row],[Diapositivas como apoyo]],PESOS!A$25:B$29,2,0)</f>
        <v>6</v>
      </c>
      <c r="AF303" s="1"/>
      <c r="AG303" s="1" t="s">
        <v>45</v>
      </c>
      <c r="AH303" s="22">
        <f>VLOOKUP(TablaCalificaciones[[#This Row],[Respuestas a preguntas]],PESOS!A$25:B$29,2,0)</f>
        <v>10</v>
      </c>
      <c r="AI303" s="1"/>
      <c r="AJ303" s="1" t="s">
        <v>45</v>
      </c>
      <c r="AK303" s="22">
        <f>VLOOKUP(TablaCalificaciones[[#This Row],[Cierre: aporte a próximos pasos]],PESOS!A$25:B$29,2,0)</f>
        <v>10</v>
      </c>
      <c r="AL303" s="1"/>
      <c r="AM303" s="1"/>
    </row>
    <row r="304" spans="1:39">
      <c r="A304">
        <v>304</v>
      </c>
      <c r="B304" s="2">
        <v>46134.697025463</v>
      </c>
      <c r="C304" s="2">
        <v>46134.697476851899</v>
      </c>
      <c r="D304" s="1" t="s">
        <v>39</v>
      </c>
      <c r="E304" s="1" t="s">
        <v>40</v>
      </c>
      <c r="G304" s="1"/>
      <c r="H304" s="2"/>
      <c r="I304" s="1" t="s">
        <v>68</v>
      </c>
      <c r="K304" s="1"/>
      <c r="L304" s="1" t="s">
        <v>42</v>
      </c>
      <c r="M304" s="26" t="str">
        <f>CONCATENATE(TablaCalificaciones[[#This Row],[Seleccione su nombre (Evaluador)]],TablaCalificaciones[[#This Row],[Seleccione el nombre del Estudiante]])</f>
        <v>Patricio David PonceGuevara Zambrano Vivian Salomé</v>
      </c>
      <c r="N304" s="1"/>
      <c r="O304" s="1" t="s">
        <v>175</v>
      </c>
      <c r="Q304" s="1"/>
      <c r="R304" s="1" t="s">
        <v>44</v>
      </c>
      <c r="S304" s="22">
        <f>VLOOKUP(TablaCalificaciones[[#This Row],[Apertura: problema y objetivo ]],PESOS!A$16:B$20,2,0)</f>
        <v>20</v>
      </c>
      <c r="T304" s="1"/>
      <c r="U304" s="1" t="s">
        <v>44</v>
      </c>
      <c r="V304" s="22">
        <f>VLOOKUP(TablaCalificaciones[[#This Row],[Metodología (nivel adecuado)]],PESOS!A$16:B$20,2,0)</f>
        <v>20</v>
      </c>
      <c r="W304" s="1"/>
      <c r="X304" s="1" t="s">
        <v>44</v>
      </c>
      <c r="Y304" s="22">
        <f>VLOOKUP(TablaCalificaciones[[#This Row],[Resultados y evidencia ]],PESOS!A$16:B$20,2,0)</f>
        <v>20</v>
      </c>
      <c r="Z304" s="1"/>
      <c r="AA304" s="1" t="s">
        <v>45</v>
      </c>
      <c r="AB304" s="22">
        <f>VLOOKUP(TablaCalificaciones[[#This Row],[Coherencia y manejo del tiempo]],PESOS!A$25:B$29,2,0)</f>
        <v>10</v>
      </c>
      <c r="AC304" s="1"/>
      <c r="AD304" s="1" t="s">
        <v>83</v>
      </c>
      <c r="AE304" s="22">
        <f>VLOOKUP(TablaCalificaciones[[#This Row],[Diapositivas como apoyo]],PESOS!A$25:B$29,2,0)</f>
        <v>6</v>
      </c>
      <c r="AF304" s="1"/>
      <c r="AG304" s="1" t="s">
        <v>51</v>
      </c>
      <c r="AH304" s="22">
        <f>VLOOKUP(TablaCalificaciones[[#This Row],[Respuestas a preguntas]],PESOS!A$25:B$29,2,0)</f>
        <v>8</v>
      </c>
      <c r="AI304" s="1"/>
      <c r="AJ304" s="1" t="s">
        <v>51</v>
      </c>
      <c r="AK304" s="22">
        <f>VLOOKUP(TablaCalificaciones[[#This Row],[Cierre: aporte a próximos pasos]],PESOS!A$25:B$29,2,0)</f>
        <v>8</v>
      </c>
      <c r="AL304" s="1"/>
      <c r="AM304" s="1"/>
    </row>
    <row r="305" spans="1:39">
      <c r="A305">
        <v>305</v>
      </c>
      <c r="B305" s="2">
        <v>46134.697488425903</v>
      </c>
      <c r="C305" s="2">
        <v>46134.697986111103</v>
      </c>
      <c r="D305" s="1" t="s">
        <v>39</v>
      </c>
      <c r="E305" s="1" t="s">
        <v>40</v>
      </c>
      <c r="G305" s="1"/>
      <c r="H305" s="2"/>
      <c r="I305" s="1" t="s">
        <v>68</v>
      </c>
      <c r="K305" s="1"/>
      <c r="L305" s="1" t="s">
        <v>42</v>
      </c>
      <c r="M305" s="26" t="str">
        <f>CONCATENATE(TablaCalificaciones[[#This Row],[Seleccione su nombre (Evaluador)]],TablaCalificaciones[[#This Row],[Seleccione el nombre del Estudiante]])</f>
        <v>Patricio David PonceRomero Lozano Michelle Stephanie</v>
      </c>
      <c r="N305" s="1"/>
      <c r="O305" s="1" t="s">
        <v>176</v>
      </c>
      <c r="Q305" s="1"/>
      <c r="R305" s="1" t="s">
        <v>44</v>
      </c>
      <c r="S305" s="22">
        <f>VLOOKUP(TablaCalificaciones[[#This Row],[Apertura: problema y objetivo ]],PESOS!A$16:B$20,2,0)</f>
        <v>20</v>
      </c>
      <c r="T305" s="1"/>
      <c r="U305" s="1" t="s">
        <v>44</v>
      </c>
      <c r="V305" s="22">
        <f>VLOOKUP(TablaCalificaciones[[#This Row],[Metodología (nivel adecuado)]],PESOS!A$16:B$20,2,0)</f>
        <v>20</v>
      </c>
      <c r="W305" s="1"/>
      <c r="X305" s="1" t="s">
        <v>44</v>
      </c>
      <c r="Y305" s="22">
        <f>VLOOKUP(TablaCalificaciones[[#This Row],[Resultados y evidencia ]],PESOS!A$16:B$20,2,0)</f>
        <v>20</v>
      </c>
      <c r="Z305" s="1"/>
      <c r="AA305" s="1" t="s">
        <v>45</v>
      </c>
      <c r="AB305" s="22">
        <f>VLOOKUP(TablaCalificaciones[[#This Row],[Coherencia y manejo del tiempo]],PESOS!A$25:B$29,2,0)</f>
        <v>10</v>
      </c>
      <c r="AC305" s="1"/>
      <c r="AD305" s="1" t="s">
        <v>83</v>
      </c>
      <c r="AE305" s="22">
        <f>VLOOKUP(TablaCalificaciones[[#This Row],[Diapositivas como apoyo]],PESOS!A$25:B$29,2,0)</f>
        <v>6</v>
      </c>
      <c r="AF305" s="1"/>
      <c r="AG305" s="1" t="s">
        <v>83</v>
      </c>
      <c r="AH305" s="22">
        <f>VLOOKUP(TablaCalificaciones[[#This Row],[Respuestas a preguntas]],PESOS!A$25:B$29,2,0)</f>
        <v>6</v>
      </c>
      <c r="AI305" s="1"/>
      <c r="AJ305" s="1" t="s">
        <v>83</v>
      </c>
      <c r="AK305" s="22">
        <f>VLOOKUP(TablaCalificaciones[[#This Row],[Cierre: aporte a próximos pasos]],PESOS!A$25:B$29,2,0)</f>
        <v>6</v>
      </c>
      <c r="AL305" s="1"/>
      <c r="AM305" s="1"/>
    </row>
    <row r="306" spans="1:39">
      <c r="A306">
        <v>306</v>
      </c>
      <c r="B306" s="2">
        <v>46134.869224536997</v>
      </c>
      <c r="C306" s="2">
        <v>46135.356712963003</v>
      </c>
      <c r="D306" s="1" t="s">
        <v>54</v>
      </c>
      <c r="E306" s="1" t="s">
        <v>55</v>
      </c>
      <c r="G306" s="1"/>
      <c r="H306" s="2"/>
      <c r="I306" s="1" t="s">
        <v>229</v>
      </c>
      <c r="K306" s="1"/>
      <c r="L306" s="1" t="s">
        <v>56</v>
      </c>
      <c r="M306" s="26" t="str">
        <f>CONCATENATE(TablaCalificaciones[[#This Row],[Seleccione su nombre (Evaluador)]],TablaCalificaciones[[#This Row],[Seleccione el nombre del Estudiante]])</f>
        <v>Marco Antonio Galarza CastilloMorales Castro Sandy Gabriela</v>
      </c>
      <c r="N306" s="1"/>
      <c r="O306" s="1" t="s">
        <v>230</v>
      </c>
      <c r="Q306" s="1"/>
      <c r="R306" s="1" t="s">
        <v>44</v>
      </c>
      <c r="S306" s="22">
        <f>VLOOKUP(TablaCalificaciones[[#This Row],[Apertura: problema y objetivo ]],PESOS!A$16:B$20,2,0)</f>
        <v>20</v>
      </c>
      <c r="T306" s="1"/>
      <c r="U306" s="1" t="s">
        <v>44</v>
      </c>
      <c r="V306" s="22">
        <f>VLOOKUP(TablaCalificaciones[[#This Row],[Metodología (nivel adecuado)]],PESOS!A$16:B$20,2,0)</f>
        <v>20</v>
      </c>
      <c r="W306" s="1"/>
      <c r="X306" s="1" t="s">
        <v>44</v>
      </c>
      <c r="Y306" s="22">
        <f>VLOOKUP(TablaCalificaciones[[#This Row],[Resultados y evidencia ]],PESOS!A$16:B$20,2,0)</f>
        <v>20</v>
      </c>
      <c r="Z306" s="1"/>
      <c r="AA306" s="1" t="s">
        <v>83</v>
      </c>
      <c r="AB306" s="22">
        <f>VLOOKUP(TablaCalificaciones[[#This Row],[Coherencia y manejo del tiempo]],PESOS!A$25:B$29,2,0)</f>
        <v>6</v>
      </c>
      <c r="AC306" s="1"/>
      <c r="AD306" s="1" t="s">
        <v>83</v>
      </c>
      <c r="AE306" s="22">
        <f>VLOOKUP(TablaCalificaciones[[#This Row],[Diapositivas como apoyo]],PESOS!A$25:B$29,2,0)</f>
        <v>6</v>
      </c>
      <c r="AF306" s="1"/>
      <c r="AG306" s="1" t="s">
        <v>51</v>
      </c>
      <c r="AH306" s="22">
        <f>VLOOKUP(TablaCalificaciones[[#This Row],[Respuestas a preguntas]],PESOS!A$25:B$29,2,0)</f>
        <v>8</v>
      </c>
      <c r="AI306" s="1"/>
      <c r="AJ306" s="1" t="s">
        <v>45</v>
      </c>
      <c r="AK306" s="22">
        <f>VLOOKUP(TablaCalificaciones[[#This Row],[Cierre: aporte a próximos pasos]],PESOS!A$25:B$29,2,0)</f>
        <v>10</v>
      </c>
      <c r="AL306" s="1"/>
      <c r="AM306" s="1"/>
    </row>
    <row r="307" spans="1:39">
      <c r="A307">
        <v>307</v>
      </c>
      <c r="B307" s="2">
        <v>46135.335567129601</v>
      </c>
      <c r="C307" s="2">
        <v>46135.359201388899</v>
      </c>
      <c r="D307" s="1" t="s">
        <v>59</v>
      </c>
      <c r="E307" s="1" t="s">
        <v>60</v>
      </c>
      <c r="G307" s="1"/>
      <c r="H307" s="2"/>
      <c r="I307" s="1" t="s">
        <v>229</v>
      </c>
      <c r="K307" s="1"/>
      <c r="L307" s="1" t="s">
        <v>60</v>
      </c>
      <c r="M307" s="26" t="str">
        <f>CONCATENATE(TablaCalificaciones[[#This Row],[Seleccione su nombre (Evaluador)]],TablaCalificaciones[[#This Row],[Seleccione el nombre del Estudiante]])</f>
        <v>Santiago Leonardo SolórzanoMorales Castro Sandy Gabriela</v>
      </c>
      <c r="N307" s="1"/>
      <c r="O307" s="1" t="s">
        <v>230</v>
      </c>
      <c r="Q307" s="1"/>
      <c r="R307" s="1" t="s">
        <v>44</v>
      </c>
      <c r="S307" s="22">
        <f>VLOOKUP(TablaCalificaciones[[#This Row],[Apertura: problema y objetivo ]],PESOS!A$16:B$20,2,0)</f>
        <v>20</v>
      </c>
      <c r="T307" s="1"/>
      <c r="U307" s="1" t="s">
        <v>44</v>
      </c>
      <c r="V307" s="22">
        <f>VLOOKUP(TablaCalificaciones[[#This Row],[Metodología (nivel adecuado)]],PESOS!A$16:B$20,2,0)</f>
        <v>20</v>
      </c>
      <c r="W307" s="1"/>
      <c r="X307" s="1" t="s">
        <v>44</v>
      </c>
      <c r="Y307" s="22">
        <f>VLOOKUP(TablaCalificaciones[[#This Row],[Resultados y evidencia ]],PESOS!A$16:B$20,2,0)</f>
        <v>20</v>
      </c>
      <c r="Z307" s="1"/>
      <c r="AA307" s="1" t="s">
        <v>83</v>
      </c>
      <c r="AB307" s="22">
        <f>VLOOKUP(TablaCalificaciones[[#This Row],[Coherencia y manejo del tiempo]],PESOS!A$25:B$29,2,0)</f>
        <v>6</v>
      </c>
      <c r="AC307" s="1"/>
      <c r="AD307" s="1" t="s">
        <v>51</v>
      </c>
      <c r="AE307" s="22">
        <f>VLOOKUP(TablaCalificaciones[[#This Row],[Diapositivas como apoyo]],PESOS!A$25:B$29,2,0)</f>
        <v>8</v>
      </c>
      <c r="AF307" s="1"/>
      <c r="AG307" s="1" t="s">
        <v>51</v>
      </c>
      <c r="AH307" s="22">
        <f>VLOOKUP(TablaCalificaciones[[#This Row],[Respuestas a preguntas]],PESOS!A$25:B$29,2,0)</f>
        <v>8</v>
      </c>
      <c r="AI307" s="1"/>
      <c r="AJ307" s="1" t="s">
        <v>45</v>
      </c>
      <c r="AK307" s="22">
        <f>VLOOKUP(TablaCalificaciones[[#This Row],[Cierre: aporte a próximos pasos]],PESOS!A$25:B$29,2,0)</f>
        <v>10</v>
      </c>
      <c r="AL307" s="1"/>
      <c r="AM307" s="1"/>
    </row>
    <row r="308" spans="1:39">
      <c r="A308">
        <v>308</v>
      </c>
      <c r="B308" s="2">
        <v>46135.370266203703</v>
      </c>
      <c r="C308" s="2">
        <v>46135.370914351799</v>
      </c>
      <c r="D308" s="1" t="s">
        <v>93</v>
      </c>
      <c r="E308" s="1" t="s">
        <v>94</v>
      </c>
      <c r="G308" s="1"/>
      <c r="H308" s="2"/>
      <c r="I308" s="1" t="s">
        <v>229</v>
      </c>
      <c r="K308" s="1"/>
      <c r="L308" s="1" t="s">
        <v>95</v>
      </c>
      <c r="M308" s="26" t="str">
        <f>CONCATENATE(TablaCalificaciones[[#This Row],[Seleccione su nombre (Evaluador)]],TablaCalificaciones[[#This Row],[Seleccione el nombre del Estudiante]])</f>
        <v>Nelly Patricia Acosta VargasJaramillo Alcázar Erika Salomé</v>
      </c>
      <c r="N308" s="1"/>
      <c r="O308" s="1" t="s">
        <v>231</v>
      </c>
      <c r="Q308" s="1"/>
      <c r="R308" s="1" t="s">
        <v>44</v>
      </c>
      <c r="S308" s="22">
        <f>VLOOKUP(TablaCalificaciones[[#This Row],[Apertura: problema y objetivo ]],PESOS!A$16:B$20,2,0)</f>
        <v>20</v>
      </c>
      <c r="T308" s="1"/>
      <c r="U308" s="1" t="s">
        <v>44</v>
      </c>
      <c r="V308" s="22">
        <f>VLOOKUP(TablaCalificaciones[[#This Row],[Metodología (nivel adecuado)]],PESOS!A$16:B$20,2,0)</f>
        <v>20</v>
      </c>
      <c r="W308" s="1"/>
      <c r="X308" s="1" t="s">
        <v>44</v>
      </c>
      <c r="Y308" s="22">
        <f>VLOOKUP(TablaCalificaciones[[#This Row],[Resultados y evidencia ]],PESOS!A$16:B$20,2,0)</f>
        <v>20</v>
      </c>
      <c r="Z308" s="1"/>
      <c r="AA308" s="1" t="s">
        <v>45</v>
      </c>
      <c r="AB308" s="22">
        <f>VLOOKUP(TablaCalificaciones[[#This Row],[Coherencia y manejo del tiempo]],PESOS!A$25:B$29,2,0)</f>
        <v>10</v>
      </c>
      <c r="AC308" s="1"/>
      <c r="AD308" s="1" t="s">
        <v>45</v>
      </c>
      <c r="AE308" s="22">
        <f>VLOOKUP(TablaCalificaciones[[#This Row],[Diapositivas como apoyo]],PESOS!A$25:B$29,2,0)</f>
        <v>10</v>
      </c>
      <c r="AF308" s="1"/>
      <c r="AG308" s="1" t="s">
        <v>45</v>
      </c>
      <c r="AH308" s="22">
        <f>VLOOKUP(TablaCalificaciones[[#This Row],[Respuestas a preguntas]],PESOS!A$25:B$29,2,0)</f>
        <v>10</v>
      </c>
      <c r="AI308" s="1"/>
      <c r="AJ308" s="1" t="s">
        <v>45</v>
      </c>
      <c r="AK308" s="22">
        <f>VLOOKUP(TablaCalificaciones[[#This Row],[Cierre: aporte a próximos pasos]],PESOS!A$25:B$29,2,0)</f>
        <v>10</v>
      </c>
      <c r="AL308" s="1"/>
      <c r="AM308" s="1"/>
    </row>
    <row r="309" spans="1:39">
      <c r="A309">
        <v>309</v>
      </c>
      <c r="B309" s="2">
        <v>46135.370960648099</v>
      </c>
      <c r="C309" s="2">
        <v>46135.371701388904</v>
      </c>
      <c r="D309" s="1" t="s">
        <v>93</v>
      </c>
      <c r="E309" s="1" t="s">
        <v>94</v>
      </c>
      <c r="G309" s="1"/>
      <c r="H309" s="2"/>
      <c r="I309" s="1" t="s">
        <v>229</v>
      </c>
      <c r="K309" s="1"/>
      <c r="L309" s="1" t="s">
        <v>95</v>
      </c>
      <c r="M309" s="26" t="str">
        <f>CONCATENATE(TablaCalificaciones[[#This Row],[Seleccione su nombre (Evaluador)]],TablaCalificaciones[[#This Row],[Seleccione el nombre del Estudiante]])</f>
        <v>Nelly Patricia Acosta VargasLicto Iler Erick Javier</v>
      </c>
      <c r="N309" s="1"/>
      <c r="O309" s="1" t="s">
        <v>232</v>
      </c>
      <c r="Q309" s="1"/>
      <c r="R309" s="1" t="s">
        <v>44</v>
      </c>
      <c r="S309" s="22">
        <f>VLOOKUP(TablaCalificaciones[[#This Row],[Apertura: problema y objetivo ]],PESOS!A$16:B$20,2,0)</f>
        <v>20</v>
      </c>
      <c r="T309" s="1"/>
      <c r="U309" s="1" t="s">
        <v>44</v>
      </c>
      <c r="V309" s="22">
        <f>VLOOKUP(TablaCalificaciones[[#This Row],[Metodología (nivel adecuado)]],PESOS!A$16:B$20,2,0)</f>
        <v>20</v>
      </c>
      <c r="W309" s="1"/>
      <c r="X309" s="1" t="s">
        <v>44</v>
      </c>
      <c r="Y309" s="22">
        <f>VLOOKUP(TablaCalificaciones[[#This Row],[Resultados y evidencia ]],PESOS!A$16:B$20,2,0)</f>
        <v>20</v>
      </c>
      <c r="Z309" s="1"/>
      <c r="AA309" s="1" t="s">
        <v>45</v>
      </c>
      <c r="AB309" s="22">
        <f>VLOOKUP(TablaCalificaciones[[#This Row],[Coherencia y manejo del tiempo]],PESOS!A$25:B$29,2,0)</f>
        <v>10</v>
      </c>
      <c r="AC309" s="1"/>
      <c r="AD309" s="1" t="s">
        <v>45</v>
      </c>
      <c r="AE309" s="22">
        <f>VLOOKUP(TablaCalificaciones[[#This Row],[Diapositivas como apoyo]],PESOS!A$25:B$29,2,0)</f>
        <v>10</v>
      </c>
      <c r="AF309" s="1"/>
      <c r="AG309" s="1" t="s">
        <v>45</v>
      </c>
      <c r="AH309" s="22">
        <f>VLOOKUP(TablaCalificaciones[[#This Row],[Respuestas a preguntas]],PESOS!A$25:B$29,2,0)</f>
        <v>10</v>
      </c>
      <c r="AI309" s="1"/>
      <c r="AJ309" s="1" t="s">
        <v>45</v>
      </c>
      <c r="AK309" s="22">
        <f>VLOOKUP(TablaCalificaciones[[#This Row],[Cierre: aporte a próximos pasos]],PESOS!A$25:B$29,2,0)</f>
        <v>10</v>
      </c>
      <c r="AL309" s="1"/>
      <c r="AM309" s="1"/>
    </row>
    <row r="310" spans="1:39">
      <c r="A310">
        <v>310</v>
      </c>
      <c r="B310" s="2">
        <v>46135.373460648101</v>
      </c>
      <c r="C310" s="2">
        <v>46135.377141203702</v>
      </c>
      <c r="D310" s="1" t="s">
        <v>233</v>
      </c>
      <c r="E310" s="1" t="s">
        <v>234</v>
      </c>
      <c r="G310" s="1"/>
      <c r="H310" s="2"/>
      <c r="I310" s="1" t="s">
        <v>229</v>
      </c>
      <c r="K310" s="1"/>
      <c r="L310" s="1" t="s">
        <v>234</v>
      </c>
      <c r="M310" s="26" t="str">
        <f>CONCATENATE(TablaCalificaciones[[#This Row],[Seleccione su nombre (Evaluador)]],TablaCalificaciones[[#This Row],[Seleccione el nombre del Estudiante]])</f>
        <v>Washington Fernando Padilla AlarconMora Di Mattia Andrés Antonio</v>
      </c>
      <c r="N310" s="1"/>
      <c r="O310" s="1" t="s">
        <v>235</v>
      </c>
      <c r="Q310" s="1"/>
      <c r="R310" s="1" t="s">
        <v>44</v>
      </c>
      <c r="S310" s="22">
        <f>VLOOKUP(TablaCalificaciones[[#This Row],[Apertura: problema y objetivo ]],PESOS!A$16:B$20,2,0)</f>
        <v>20</v>
      </c>
      <c r="T310" s="1"/>
      <c r="U310" s="1" t="s">
        <v>44</v>
      </c>
      <c r="V310" s="22">
        <f>VLOOKUP(TablaCalificaciones[[#This Row],[Metodología (nivel adecuado)]],PESOS!A$16:B$20,2,0)</f>
        <v>20</v>
      </c>
      <c r="W310" s="1"/>
      <c r="X310" s="1" t="s">
        <v>44</v>
      </c>
      <c r="Y310" s="22">
        <f>VLOOKUP(TablaCalificaciones[[#This Row],[Resultados y evidencia ]],PESOS!A$16:B$20,2,0)</f>
        <v>20</v>
      </c>
      <c r="Z310" s="1"/>
      <c r="AA310" s="1" t="s">
        <v>45</v>
      </c>
      <c r="AB310" s="22">
        <f>VLOOKUP(TablaCalificaciones[[#This Row],[Coherencia y manejo del tiempo]],PESOS!A$25:B$29,2,0)</f>
        <v>10</v>
      </c>
      <c r="AC310" s="1"/>
      <c r="AD310" s="1" t="s">
        <v>45</v>
      </c>
      <c r="AE310" s="22">
        <f>VLOOKUP(TablaCalificaciones[[#This Row],[Diapositivas como apoyo]],PESOS!A$25:B$29,2,0)</f>
        <v>10</v>
      </c>
      <c r="AF310" s="1"/>
      <c r="AG310" s="1" t="s">
        <v>45</v>
      </c>
      <c r="AH310" s="22">
        <f>VLOOKUP(TablaCalificaciones[[#This Row],[Respuestas a preguntas]],PESOS!A$25:B$29,2,0)</f>
        <v>10</v>
      </c>
      <c r="AI310" s="1"/>
      <c r="AJ310" s="1" t="s">
        <v>45</v>
      </c>
      <c r="AK310" s="22">
        <f>VLOOKUP(TablaCalificaciones[[#This Row],[Cierre: aporte a próximos pasos]],PESOS!A$25:B$29,2,0)</f>
        <v>10</v>
      </c>
      <c r="AL310" s="1"/>
      <c r="AM310" s="1"/>
    </row>
    <row r="311" spans="1:39">
      <c r="A311">
        <v>311</v>
      </c>
      <c r="B311" s="2">
        <v>46135.356736111098</v>
      </c>
      <c r="C311" s="2">
        <v>46135.377210648097</v>
      </c>
      <c r="D311" s="1" t="s">
        <v>54</v>
      </c>
      <c r="E311" s="1" t="s">
        <v>55</v>
      </c>
      <c r="G311" s="1"/>
      <c r="H311" s="2"/>
      <c r="I311" s="1" t="s">
        <v>229</v>
      </c>
      <c r="K311" s="1"/>
      <c r="L311" s="1" t="s">
        <v>56</v>
      </c>
      <c r="M311" s="26" t="str">
        <f>CONCATENATE(TablaCalificaciones[[#This Row],[Seleccione su nombre (Evaluador)]],TablaCalificaciones[[#This Row],[Seleccione el nombre del Estudiante]])</f>
        <v>Marco Antonio Galarza CastilloLópez Sosa Gabriela Elizabeth</v>
      </c>
      <c r="N311" s="1"/>
      <c r="O311" s="1" t="s">
        <v>236</v>
      </c>
      <c r="Q311" s="1"/>
      <c r="R311" s="1" t="s">
        <v>44</v>
      </c>
      <c r="S311" s="22">
        <f>VLOOKUP(TablaCalificaciones[[#This Row],[Apertura: problema y objetivo ]],PESOS!A$16:B$20,2,0)</f>
        <v>20</v>
      </c>
      <c r="T311" s="1"/>
      <c r="U311" s="1" t="s">
        <v>44</v>
      </c>
      <c r="V311" s="22">
        <f>VLOOKUP(TablaCalificaciones[[#This Row],[Metodología (nivel adecuado)]],PESOS!A$16:B$20,2,0)</f>
        <v>20</v>
      </c>
      <c r="W311" s="1"/>
      <c r="X311" s="1" t="s">
        <v>44</v>
      </c>
      <c r="Y311" s="22">
        <f>VLOOKUP(TablaCalificaciones[[#This Row],[Resultados y evidencia ]],PESOS!A$16:B$20,2,0)</f>
        <v>20</v>
      </c>
      <c r="Z311" s="1"/>
      <c r="AA311" s="1" t="s">
        <v>83</v>
      </c>
      <c r="AB311" s="22">
        <f>VLOOKUP(TablaCalificaciones[[#This Row],[Coherencia y manejo del tiempo]],PESOS!A$25:B$29,2,0)</f>
        <v>6</v>
      </c>
      <c r="AC311" s="1"/>
      <c r="AD311" s="1" t="s">
        <v>45</v>
      </c>
      <c r="AE311" s="22">
        <f>VLOOKUP(TablaCalificaciones[[#This Row],[Diapositivas como apoyo]],PESOS!A$25:B$29,2,0)</f>
        <v>10</v>
      </c>
      <c r="AF311" s="1"/>
      <c r="AG311" s="1" t="s">
        <v>45</v>
      </c>
      <c r="AH311" s="22">
        <f>VLOOKUP(TablaCalificaciones[[#This Row],[Respuestas a preguntas]],PESOS!A$25:B$29,2,0)</f>
        <v>10</v>
      </c>
      <c r="AI311" s="1"/>
      <c r="AJ311" s="1" t="s">
        <v>45</v>
      </c>
      <c r="AK311" s="22">
        <f>VLOOKUP(TablaCalificaciones[[#This Row],[Cierre: aporte a próximos pasos]],PESOS!A$25:B$29,2,0)</f>
        <v>10</v>
      </c>
      <c r="AL311" s="1"/>
      <c r="AM311" s="1"/>
    </row>
    <row r="312" spans="1:39">
      <c r="A312">
        <v>312</v>
      </c>
      <c r="B312" s="2">
        <v>46135.377222222203</v>
      </c>
      <c r="C312" s="2">
        <v>46135.377476851798</v>
      </c>
      <c r="D312" s="1" t="s">
        <v>54</v>
      </c>
      <c r="E312" s="1" t="s">
        <v>55</v>
      </c>
      <c r="G312" s="1"/>
      <c r="H312" s="2"/>
      <c r="I312" s="1" t="s">
        <v>229</v>
      </c>
      <c r="K312" s="1"/>
      <c r="L312" s="1" t="s">
        <v>56</v>
      </c>
      <c r="M312" s="26" t="str">
        <f>CONCATENATE(TablaCalificaciones[[#This Row],[Seleccione su nombre (Evaluador)]],TablaCalificaciones[[#This Row],[Seleccione el nombre del Estudiante]])</f>
        <v>Marco Antonio Galarza CastilloMora Di Mattia Andrés Antonio</v>
      </c>
      <c r="N312" s="1"/>
      <c r="O312" s="1" t="s">
        <v>235</v>
      </c>
      <c r="Q312" s="1"/>
      <c r="R312" s="1" t="s">
        <v>44</v>
      </c>
      <c r="S312" s="22">
        <f>VLOOKUP(TablaCalificaciones[[#This Row],[Apertura: problema y objetivo ]],PESOS!A$16:B$20,2,0)</f>
        <v>20</v>
      </c>
      <c r="T312" s="1"/>
      <c r="U312" s="1" t="s">
        <v>44</v>
      </c>
      <c r="V312" s="22">
        <f>VLOOKUP(TablaCalificaciones[[#This Row],[Metodología (nivel adecuado)]],PESOS!A$16:B$20,2,0)</f>
        <v>20</v>
      </c>
      <c r="W312" s="1"/>
      <c r="X312" s="1" t="s">
        <v>44</v>
      </c>
      <c r="Y312" s="22">
        <f>VLOOKUP(TablaCalificaciones[[#This Row],[Resultados y evidencia ]],PESOS!A$16:B$20,2,0)</f>
        <v>20</v>
      </c>
      <c r="Z312" s="1"/>
      <c r="AA312" s="1" t="s">
        <v>83</v>
      </c>
      <c r="AB312" s="22">
        <f>VLOOKUP(TablaCalificaciones[[#This Row],[Coherencia y manejo del tiempo]],PESOS!A$25:B$29,2,0)</f>
        <v>6</v>
      </c>
      <c r="AC312" s="1"/>
      <c r="AD312" s="1" t="s">
        <v>45</v>
      </c>
      <c r="AE312" s="22">
        <f>VLOOKUP(TablaCalificaciones[[#This Row],[Diapositivas como apoyo]],PESOS!A$25:B$29,2,0)</f>
        <v>10</v>
      </c>
      <c r="AF312" s="1"/>
      <c r="AG312" s="1" t="s">
        <v>45</v>
      </c>
      <c r="AH312" s="22">
        <f>VLOOKUP(TablaCalificaciones[[#This Row],[Respuestas a preguntas]],PESOS!A$25:B$29,2,0)</f>
        <v>10</v>
      </c>
      <c r="AI312" s="1"/>
      <c r="AJ312" s="1" t="s">
        <v>45</v>
      </c>
      <c r="AK312" s="22">
        <f>VLOOKUP(TablaCalificaciones[[#This Row],[Cierre: aporte a próximos pasos]],PESOS!A$25:B$29,2,0)</f>
        <v>10</v>
      </c>
      <c r="AL312" s="1"/>
      <c r="AM312" s="1"/>
    </row>
    <row r="313" spans="1:39">
      <c r="A313">
        <v>313</v>
      </c>
      <c r="B313" s="2">
        <v>46135.377361111103</v>
      </c>
      <c r="C313" s="2">
        <v>46135.379097222198</v>
      </c>
      <c r="D313" s="1" t="s">
        <v>233</v>
      </c>
      <c r="E313" s="1" t="s">
        <v>234</v>
      </c>
      <c r="G313" s="1"/>
      <c r="H313" s="2"/>
      <c r="I313" s="1" t="s">
        <v>229</v>
      </c>
      <c r="K313" s="1"/>
      <c r="L313" s="1" t="s">
        <v>234</v>
      </c>
      <c r="M313" s="26" t="str">
        <f>CONCATENATE(TablaCalificaciones[[#This Row],[Seleccione su nombre (Evaluador)]],TablaCalificaciones[[#This Row],[Seleccione el nombre del Estudiante]])</f>
        <v>Washington Fernando Padilla AlarconLópez Sosa Gabriela Elizabeth</v>
      </c>
      <c r="N313" s="1"/>
      <c r="O313" s="1" t="s">
        <v>236</v>
      </c>
      <c r="Q313" s="1"/>
      <c r="R313" s="1" t="s">
        <v>44</v>
      </c>
      <c r="S313" s="22">
        <f>VLOOKUP(TablaCalificaciones[[#This Row],[Apertura: problema y objetivo ]],PESOS!A$16:B$20,2,0)</f>
        <v>20</v>
      </c>
      <c r="T313" s="1"/>
      <c r="U313" s="1" t="s">
        <v>44</v>
      </c>
      <c r="V313" s="22">
        <f>VLOOKUP(TablaCalificaciones[[#This Row],[Metodología (nivel adecuado)]],PESOS!A$16:B$20,2,0)</f>
        <v>20</v>
      </c>
      <c r="W313" s="1"/>
      <c r="X313" s="1" t="s">
        <v>44</v>
      </c>
      <c r="Y313" s="22">
        <f>VLOOKUP(TablaCalificaciones[[#This Row],[Resultados y evidencia ]],PESOS!A$16:B$20,2,0)</f>
        <v>20</v>
      </c>
      <c r="Z313" s="1"/>
      <c r="AA313" s="1" t="s">
        <v>45</v>
      </c>
      <c r="AB313" s="22">
        <f>VLOOKUP(TablaCalificaciones[[#This Row],[Coherencia y manejo del tiempo]],PESOS!A$25:B$29,2,0)</f>
        <v>10</v>
      </c>
      <c r="AC313" s="1"/>
      <c r="AD313" s="1" t="s">
        <v>45</v>
      </c>
      <c r="AE313" s="22">
        <f>VLOOKUP(TablaCalificaciones[[#This Row],[Diapositivas como apoyo]],PESOS!A$25:B$29,2,0)</f>
        <v>10</v>
      </c>
      <c r="AF313" s="1"/>
      <c r="AG313" s="1" t="s">
        <v>45</v>
      </c>
      <c r="AH313" s="22">
        <f>VLOOKUP(TablaCalificaciones[[#This Row],[Respuestas a preguntas]],PESOS!A$25:B$29,2,0)</f>
        <v>10</v>
      </c>
      <c r="AI313" s="1"/>
      <c r="AJ313" s="1" t="s">
        <v>45</v>
      </c>
      <c r="AK313" s="22">
        <f>VLOOKUP(TablaCalificaciones[[#This Row],[Cierre: aporte a próximos pasos]],PESOS!A$25:B$29,2,0)</f>
        <v>10</v>
      </c>
      <c r="AL313" s="1"/>
      <c r="AM313" s="1"/>
    </row>
    <row r="314" spans="1:39">
      <c r="A314">
        <v>314</v>
      </c>
      <c r="B314" s="2">
        <v>46135.352442129602</v>
      </c>
      <c r="C314" s="2">
        <v>46135.386018518497</v>
      </c>
      <c r="D314" s="1" t="s">
        <v>97</v>
      </c>
      <c r="E314" s="1" t="s">
        <v>98</v>
      </c>
      <c r="G314" s="1"/>
      <c r="H314" s="2"/>
      <c r="I314" s="1" t="s">
        <v>229</v>
      </c>
      <c r="K314" s="1"/>
      <c r="L314" s="1" t="s">
        <v>99</v>
      </c>
      <c r="M314" s="26" t="str">
        <f>CONCATENATE(TablaCalificaciones[[#This Row],[Seleccione su nombre (Evaluador)]],TablaCalificaciones[[#This Row],[Seleccione el nombre del Estudiante]])</f>
        <v>Víctor Javier Gómez RegaladoBetancourt Guamán Sixto Vinicio</v>
      </c>
      <c r="N314" s="1"/>
      <c r="O314" s="1" t="s">
        <v>237</v>
      </c>
      <c r="Q314" s="1"/>
      <c r="R314" s="1" t="s">
        <v>44</v>
      </c>
      <c r="S314" s="22">
        <f>VLOOKUP(TablaCalificaciones[[#This Row],[Apertura: problema y objetivo ]],PESOS!A$16:B$20,2,0)</f>
        <v>20</v>
      </c>
      <c r="T314" s="1"/>
      <c r="U314" s="1" t="s">
        <v>44</v>
      </c>
      <c r="V314" s="22">
        <f>VLOOKUP(TablaCalificaciones[[#This Row],[Metodología (nivel adecuado)]],PESOS!A$16:B$20,2,0)</f>
        <v>20</v>
      </c>
      <c r="W314" s="1"/>
      <c r="X314" s="1" t="s">
        <v>44</v>
      </c>
      <c r="Y314" s="22">
        <f>VLOOKUP(TablaCalificaciones[[#This Row],[Resultados y evidencia ]],PESOS!A$16:B$20,2,0)</f>
        <v>20</v>
      </c>
      <c r="Z314" s="1"/>
      <c r="AA314" s="1" t="s">
        <v>51</v>
      </c>
      <c r="AB314" s="22">
        <f>VLOOKUP(TablaCalificaciones[[#This Row],[Coherencia y manejo del tiempo]],PESOS!A$25:B$29,2,0)</f>
        <v>8</v>
      </c>
      <c r="AC314" s="1"/>
      <c r="AD314" s="1" t="s">
        <v>51</v>
      </c>
      <c r="AE314" s="22">
        <f>VLOOKUP(TablaCalificaciones[[#This Row],[Diapositivas como apoyo]],PESOS!A$25:B$29,2,0)</f>
        <v>8</v>
      </c>
      <c r="AF314" s="1"/>
      <c r="AG314" s="1" t="s">
        <v>51</v>
      </c>
      <c r="AH314" s="22">
        <f>VLOOKUP(TablaCalificaciones[[#This Row],[Respuestas a preguntas]],PESOS!A$25:B$29,2,0)</f>
        <v>8</v>
      </c>
      <c r="AI314" s="1"/>
      <c r="AJ314" s="1" t="s">
        <v>51</v>
      </c>
      <c r="AK314" s="22">
        <f>VLOOKUP(TablaCalificaciones[[#This Row],[Cierre: aporte a próximos pasos]],PESOS!A$25:B$29,2,0)</f>
        <v>8</v>
      </c>
      <c r="AL314" s="1"/>
      <c r="AM314" s="1"/>
    </row>
    <row r="315" spans="1:39">
      <c r="A315">
        <v>315</v>
      </c>
      <c r="B315" s="2">
        <v>46135.386099536998</v>
      </c>
      <c r="C315" s="2">
        <v>46135.387372685203</v>
      </c>
      <c r="D315" s="1" t="s">
        <v>97</v>
      </c>
      <c r="E315" s="1" t="s">
        <v>98</v>
      </c>
      <c r="G315" s="1"/>
      <c r="H315" s="2"/>
      <c r="I315" s="1" t="s">
        <v>229</v>
      </c>
      <c r="K315" s="1"/>
      <c r="L315" s="1" t="s">
        <v>99</v>
      </c>
      <c r="M315" s="26" t="str">
        <f>CONCATENATE(TablaCalificaciones[[#This Row],[Seleccione su nombre (Evaluador)]],TablaCalificaciones[[#This Row],[Seleccione el nombre del Estudiante]])</f>
        <v>Víctor Javier Gómez RegaladoSánchez Espinosa Jhon Bryan</v>
      </c>
      <c r="N315" s="1"/>
      <c r="O315" s="1" t="s">
        <v>238</v>
      </c>
      <c r="Q315" s="1"/>
      <c r="R315" s="1" t="s">
        <v>44</v>
      </c>
      <c r="S315" s="22">
        <f>VLOOKUP(TablaCalificaciones[[#This Row],[Apertura: problema y objetivo ]],PESOS!A$16:B$20,2,0)</f>
        <v>20</v>
      </c>
      <c r="T315" s="1"/>
      <c r="U315" s="1" t="s">
        <v>44</v>
      </c>
      <c r="V315" s="22">
        <f>VLOOKUP(TablaCalificaciones[[#This Row],[Metodología (nivel adecuado)]],PESOS!A$16:B$20,2,0)</f>
        <v>20</v>
      </c>
      <c r="W315" s="1"/>
      <c r="X315" s="1" t="s">
        <v>50</v>
      </c>
      <c r="Y315" s="22">
        <f>VLOOKUP(TablaCalificaciones[[#This Row],[Resultados y evidencia ]],PESOS!A$16:B$20,2,0)</f>
        <v>16</v>
      </c>
      <c r="Z315" s="1"/>
      <c r="AA315" s="1" t="s">
        <v>51</v>
      </c>
      <c r="AB315" s="22">
        <f>VLOOKUP(TablaCalificaciones[[#This Row],[Coherencia y manejo del tiempo]],PESOS!A$25:B$29,2,0)</f>
        <v>8</v>
      </c>
      <c r="AC315" s="1"/>
      <c r="AD315" s="1" t="s">
        <v>51</v>
      </c>
      <c r="AE315" s="22">
        <f>VLOOKUP(TablaCalificaciones[[#This Row],[Diapositivas como apoyo]],PESOS!A$25:B$29,2,0)</f>
        <v>8</v>
      </c>
      <c r="AF315" s="1"/>
      <c r="AG315" s="1" t="s">
        <v>51</v>
      </c>
      <c r="AH315" s="22">
        <f>VLOOKUP(TablaCalificaciones[[#This Row],[Respuestas a preguntas]],PESOS!A$25:B$29,2,0)</f>
        <v>8</v>
      </c>
      <c r="AI315" s="1"/>
      <c r="AJ315" s="1" t="s">
        <v>51</v>
      </c>
      <c r="AK315" s="22">
        <f>VLOOKUP(TablaCalificaciones[[#This Row],[Cierre: aporte a próximos pasos]],PESOS!A$25:B$29,2,0)</f>
        <v>8</v>
      </c>
      <c r="AL315" s="1"/>
      <c r="AM315" s="1"/>
    </row>
    <row r="316" spans="1:39">
      <c r="A316">
        <v>316</v>
      </c>
      <c r="B316" s="2">
        <v>46135.386689814797</v>
      </c>
      <c r="C316" s="2">
        <v>46135.390231481499</v>
      </c>
      <c r="D316" s="1" t="s">
        <v>239</v>
      </c>
      <c r="E316" s="1" t="s">
        <v>240</v>
      </c>
      <c r="G316" s="1"/>
      <c r="H316" s="2"/>
      <c r="I316" s="1" t="s">
        <v>41</v>
      </c>
      <c r="K316" s="1"/>
      <c r="L316" s="1" t="s">
        <v>240</v>
      </c>
      <c r="M316" s="26" t="str">
        <f>CONCATENATE(TablaCalificaciones[[#This Row],[Seleccione su nombre (Evaluador)]],TablaCalificaciones[[#This Row],[Seleccione el nombre del Estudiante]])</f>
        <v>David PozoJaramillo Alcázar Erika Salomé</v>
      </c>
      <c r="N316" s="1"/>
      <c r="O316" s="1" t="s">
        <v>231</v>
      </c>
      <c r="Q316" s="1"/>
      <c r="R316" s="1" t="s">
        <v>44</v>
      </c>
      <c r="S316" s="22">
        <f>VLOOKUP(TablaCalificaciones[[#This Row],[Apertura: problema y objetivo ]],PESOS!A$16:B$20,2,0)</f>
        <v>20</v>
      </c>
      <c r="T316" s="1"/>
      <c r="U316" s="1" t="s">
        <v>44</v>
      </c>
      <c r="V316" s="22">
        <f>VLOOKUP(TablaCalificaciones[[#This Row],[Metodología (nivel adecuado)]],PESOS!A$16:B$20,2,0)</f>
        <v>20</v>
      </c>
      <c r="W316" s="1"/>
      <c r="X316" s="1" t="s">
        <v>44</v>
      </c>
      <c r="Y316" s="22">
        <f>VLOOKUP(TablaCalificaciones[[#This Row],[Resultados y evidencia ]],PESOS!A$16:B$20,2,0)</f>
        <v>20</v>
      </c>
      <c r="Z316" s="1"/>
      <c r="AA316" s="1" t="s">
        <v>45</v>
      </c>
      <c r="AB316" s="22">
        <f>VLOOKUP(TablaCalificaciones[[#This Row],[Coherencia y manejo del tiempo]],PESOS!A$25:B$29,2,0)</f>
        <v>10</v>
      </c>
      <c r="AC316" s="1"/>
      <c r="AD316" s="1" t="s">
        <v>45</v>
      </c>
      <c r="AE316" s="22">
        <f>VLOOKUP(TablaCalificaciones[[#This Row],[Diapositivas como apoyo]],PESOS!A$25:B$29,2,0)</f>
        <v>10</v>
      </c>
      <c r="AF316" s="1"/>
      <c r="AG316" s="1" t="s">
        <v>45</v>
      </c>
      <c r="AH316" s="22">
        <f>VLOOKUP(TablaCalificaciones[[#This Row],[Respuestas a preguntas]],PESOS!A$25:B$29,2,0)</f>
        <v>10</v>
      </c>
      <c r="AI316" s="1"/>
      <c r="AJ316" s="1" t="s">
        <v>45</v>
      </c>
      <c r="AK316" s="22">
        <f>VLOOKUP(TablaCalificaciones[[#This Row],[Cierre: aporte a próximos pasos]],PESOS!A$25:B$29,2,0)</f>
        <v>10</v>
      </c>
      <c r="AL316" s="1"/>
      <c r="AM316" s="1"/>
    </row>
    <row r="317" spans="1:39">
      <c r="A317">
        <v>358</v>
      </c>
      <c r="B317" s="2">
        <v>46135.497847222199</v>
      </c>
      <c r="C317" s="2">
        <v>46135.499085648102</v>
      </c>
      <c r="D317" s="1" t="s">
        <v>225</v>
      </c>
      <c r="E317" s="1" t="s">
        <v>226</v>
      </c>
      <c r="G317" s="1"/>
      <c r="H317" s="2"/>
      <c r="I317" s="1" t="s">
        <v>229</v>
      </c>
      <c r="K317" s="1"/>
      <c r="L317" s="1" t="s">
        <v>227</v>
      </c>
      <c r="M317" s="26" t="str">
        <f>CONCATENATE(TablaCalificaciones[[#This Row],[Seleccione su nombre (Evaluador)]],TablaCalificaciones[[#This Row],[Seleccione el nombre del Estudiante]])</f>
        <v>Edison ChicaizaGuevara Llanos Pahola Del Carmen</v>
      </c>
      <c r="N317" s="1"/>
      <c r="O317" s="1" t="s">
        <v>241</v>
      </c>
      <c r="Q317" s="1"/>
      <c r="R317" s="1" t="s">
        <v>50</v>
      </c>
      <c r="S317" s="22">
        <f>VLOOKUP(TablaCalificaciones[[#This Row],[Apertura: problema y objetivo ]],PESOS!A$16:B$20,2,0)</f>
        <v>16</v>
      </c>
      <c r="T317" s="1"/>
      <c r="U317" s="1" t="s">
        <v>50</v>
      </c>
      <c r="V317" s="22">
        <f>VLOOKUP(TablaCalificaciones[[#This Row],[Metodología (nivel adecuado)]],PESOS!A$16:B$20,2,0)</f>
        <v>16</v>
      </c>
      <c r="W317" s="1"/>
      <c r="X317" s="1" t="s">
        <v>44</v>
      </c>
      <c r="Y317" s="22">
        <f>VLOOKUP(TablaCalificaciones[[#This Row],[Resultados y evidencia ]],PESOS!A$16:B$20,2,0)</f>
        <v>20</v>
      </c>
      <c r="Z317" s="1"/>
      <c r="AA317" s="1" t="s">
        <v>83</v>
      </c>
      <c r="AB317" s="22">
        <f>VLOOKUP(TablaCalificaciones[[#This Row],[Coherencia y manejo del tiempo]],PESOS!A$25:B$29,2,0)</f>
        <v>6</v>
      </c>
      <c r="AC317" s="1"/>
      <c r="AD317" s="1" t="s">
        <v>51</v>
      </c>
      <c r="AE317" s="22">
        <f>VLOOKUP(TablaCalificaciones[[#This Row],[Diapositivas como apoyo]],PESOS!A$25:B$29,2,0)</f>
        <v>8</v>
      </c>
      <c r="AF317" s="1"/>
      <c r="AG317" s="1" t="s">
        <v>45</v>
      </c>
      <c r="AH317" s="22">
        <f>VLOOKUP(TablaCalificaciones[[#This Row],[Respuestas a preguntas]],PESOS!A$25:B$29,2,0)</f>
        <v>10</v>
      </c>
      <c r="AI317" s="1"/>
      <c r="AJ317" s="1" t="s">
        <v>51</v>
      </c>
      <c r="AK317" s="22">
        <f>VLOOKUP(TablaCalificaciones[[#This Row],[Cierre: aporte a próximos pasos]],PESOS!A$25:B$29,2,0)</f>
        <v>8</v>
      </c>
      <c r="AL317" s="1"/>
      <c r="AM317" s="1"/>
    </row>
    <row r="318" spans="1:39">
      <c r="A318">
        <v>318</v>
      </c>
      <c r="B318" s="2">
        <v>46135.3902662037</v>
      </c>
      <c r="C318" s="2">
        <v>46135.391284722202</v>
      </c>
      <c r="D318" s="1" t="s">
        <v>239</v>
      </c>
      <c r="E318" s="1" t="s">
        <v>240</v>
      </c>
      <c r="G318" s="1"/>
      <c r="H318" s="2"/>
      <c r="I318" s="1" t="s">
        <v>229</v>
      </c>
      <c r="K318" s="1"/>
      <c r="L318" s="1" t="s">
        <v>240</v>
      </c>
      <c r="M318" s="26" t="str">
        <f>CONCATENATE(TablaCalificaciones[[#This Row],[Seleccione su nombre (Evaluador)]],TablaCalificaciones[[#This Row],[Seleccione el nombre del Estudiante]])</f>
        <v>David PozoLicto Iler Erick Javier</v>
      </c>
      <c r="N318" s="1"/>
      <c r="O318" s="1" t="s">
        <v>232</v>
      </c>
      <c r="Q318" s="1"/>
      <c r="R318" s="1" t="s">
        <v>44</v>
      </c>
      <c r="S318" s="22">
        <f>VLOOKUP(TablaCalificaciones[[#This Row],[Apertura: problema y objetivo ]],PESOS!A$16:B$20,2,0)</f>
        <v>20</v>
      </c>
      <c r="T318" s="1"/>
      <c r="U318" s="1" t="s">
        <v>44</v>
      </c>
      <c r="V318" s="22">
        <f>VLOOKUP(TablaCalificaciones[[#This Row],[Metodología (nivel adecuado)]],PESOS!A$16:B$20,2,0)</f>
        <v>20</v>
      </c>
      <c r="W318" s="1"/>
      <c r="X318" s="1" t="s">
        <v>44</v>
      </c>
      <c r="Y318" s="22">
        <f>VLOOKUP(TablaCalificaciones[[#This Row],[Resultados y evidencia ]],PESOS!A$16:B$20,2,0)</f>
        <v>20</v>
      </c>
      <c r="Z318" s="1"/>
      <c r="AA318" s="1" t="s">
        <v>45</v>
      </c>
      <c r="AB318" s="22">
        <f>VLOOKUP(TablaCalificaciones[[#This Row],[Coherencia y manejo del tiempo]],PESOS!A$25:B$29,2,0)</f>
        <v>10</v>
      </c>
      <c r="AC318" s="1"/>
      <c r="AD318" s="1" t="s">
        <v>45</v>
      </c>
      <c r="AE318" s="22">
        <f>VLOOKUP(TablaCalificaciones[[#This Row],[Diapositivas como apoyo]],PESOS!A$25:B$29,2,0)</f>
        <v>10</v>
      </c>
      <c r="AF318" s="1"/>
      <c r="AG318" s="1" t="s">
        <v>45</v>
      </c>
      <c r="AH318" s="22">
        <f>VLOOKUP(TablaCalificaciones[[#This Row],[Respuestas a preguntas]],PESOS!A$25:B$29,2,0)</f>
        <v>10</v>
      </c>
      <c r="AI318" s="1"/>
      <c r="AJ318" s="1" t="s">
        <v>45</v>
      </c>
      <c r="AK318" s="22">
        <f>VLOOKUP(TablaCalificaciones[[#This Row],[Cierre: aporte a próximos pasos]],PESOS!A$25:B$29,2,0)</f>
        <v>10</v>
      </c>
      <c r="AL318" s="1"/>
      <c r="AM318" s="1"/>
    </row>
    <row r="319" spans="1:39">
      <c r="A319">
        <v>320</v>
      </c>
      <c r="B319" s="2">
        <v>46135.325300925899</v>
      </c>
      <c r="C319" s="2">
        <v>46135.3930555556</v>
      </c>
      <c r="D319" s="1" t="s">
        <v>39</v>
      </c>
      <c r="E319" s="1" t="s">
        <v>40</v>
      </c>
      <c r="G319" s="1"/>
      <c r="H319" s="2"/>
      <c r="I319" s="1" t="s">
        <v>229</v>
      </c>
      <c r="K319" s="1"/>
      <c r="L319" s="1" t="s">
        <v>42</v>
      </c>
      <c r="M319" s="26" t="str">
        <f>CONCATENATE(TablaCalificaciones[[#This Row],[Seleccione su nombre (Evaluador)]],TablaCalificaciones[[#This Row],[Seleccione el nombre del Estudiante]])</f>
        <v>Patricio David PonceBetancourt Guamán Sixto Vinicio</v>
      </c>
      <c r="N319" s="1"/>
      <c r="O319" s="1" t="s">
        <v>237</v>
      </c>
      <c r="Q319" s="1"/>
      <c r="R319" s="1" t="s">
        <v>50</v>
      </c>
      <c r="S319" s="22">
        <f>VLOOKUP(TablaCalificaciones[[#This Row],[Apertura: problema y objetivo ]],PESOS!A$16:B$20,2,0)</f>
        <v>16</v>
      </c>
      <c r="T319" s="1"/>
      <c r="U319" s="1" t="s">
        <v>50</v>
      </c>
      <c r="V319" s="22">
        <f>VLOOKUP(TablaCalificaciones[[#This Row],[Metodología (nivel adecuado)]],PESOS!A$16:B$20,2,0)</f>
        <v>16</v>
      </c>
      <c r="W319" s="1"/>
      <c r="X319" s="1" t="s">
        <v>105</v>
      </c>
      <c r="Y319" s="22">
        <f>VLOOKUP(TablaCalificaciones[[#This Row],[Resultados y evidencia ]],PESOS!A$16:B$20,2,0)</f>
        <v>12</v>
      </c>
      <c r="Z319" s="1"/>
      <c r="AA319" s="1" t="s">
        <v>83</v>
      </c>
      <c r="AB319" s="22">
        <f>VLOOKUP(TablaCalificaciones[[#This Row],[Coherencia y manejo del tiempo]],PESOS!A$25:B$29,2,0)</f>
        <v>6</v>
      </c>
      <c r="AC319" s="1"/>
      <c r="AD319" s="1" t="s">
        <v>45</v>
      </c>
      <c r="AE319" s="22">
        <f>VLOOKUP(TablaCalificaciones[[#This Row],[Diapositivas como apoyo]],PESOS!A$25:B$29,2,0)</f>
        <v>10</v>
      </c>
      <c r="AF319" s="1"/>
      <c r="AG319" s="1" t="s">
        <v>83</v>
      </c>
      <c r="AH319" s="22">
        <f>VLOOKUP(TablaCalificaciones[[#This Row],[Respuestas a preguntas]],PESOS!A$25:B$29,2,0)</f>
        <v>6</v>
      </c>
      <c r="AI319" s="1"/>
      <c r="AJ319" s="1" t="s">
        <v>83</v>
      </c>
      <c r="AK319" s="22">
        <f>VLOOKUP(TablaCalificaciones[[#This Row],[Cierre: aporte a próximos pasos]],PESOS!A$25:B$29,2,0)</f>
        <v>6</v>
      </c>
      <c r="AL319" s="1"/>
      <c r="AM319" s="1"/>
    </row>
    <row r="320" spans="1:39">
      <c r="A320">
        <v>321</v>
      </c>
      <c r="B320" s="2">
        <v>46135.393067129597</v>
      </c>
      <c r="C320" s="2">
        <v>46135.393472222197</v>
      </c>
      <c r="D320" s="1" t="s">
        <v>39</v>
      </c>
      <c r="E320" s="1" t="s">
        <v>40</v>
      </c>
      <c r="G320" s="1"/>
      <c r="H320" s="2"/>
      <c r="I320" s="1" t="s">
        <v>229</v>
      </c>
      <c r="K320" s="1"/>
      <c r="L320" s="1" t="s">
        <v>42</v>
      </c>
      <c r="M320" s="26" t="str">
        <f>CONCATENATE(TablaCalificaciones[[#This Row],[Seleccione su nombre (Evaluador)]],TablaCalificaciones[[#This Row],[Seleccione el nombre del Estudiante]])</f>
        <v>Patricio David PonceSánchez Espinosa Jhon Bryan</v>
      </c>
      <c r="N320" s="1"/>
      <c r="O320" s="1" t="s">
        <v>238</v>
      </c>
      <c r="Q320" s="1"/>
      <c r="R320" s="1" t="s">
        <v>50</v>
      </c>
      <c r="S320" s="22">
        <f>VLOOKUP(TablaCalificaciones[[#This Row],[Apertura: problema y objetivo ]],PESOS!A$16:B$20,2,0)</f>
        <v>16</v>
      </c>
      <c r="T320" s="1"/>
      <c r="U320" s="1" t="s">
        <v>50</v>
      </c>
      <c r="V320" s="22">
        <f>VLOOKUP(TablaCalificaciones[[#This Row],[Metodología (nivel adecuado)]],PESOS!A$16:B$20,2,0)</f>
        <v>16</v>
      </c>
      <c r="W320" s="1"/>
      <c r="X320" s="1" t="s">
        <v>105</v>
      </c>
      <c r="Y320" s="22">
        <f>VLOOKUP(TablaCalificaciones[[#This Row],[Resultados y evidencia ]],PESOS!A$16:B$20,2,0)</f>
        <v>12</v>
      </c>
      <c r="Z320" s="1"/>
      <c r="AA320" s="1" t="s">
        <v>83</v>
      </c>
      <c r="AB320" s="22">
        <f>VLOOKUP(TablaCalificaciones[[#This Row],[Coherencia y manejo del tiempo]],PESOS!A$25:B$29,2,0)</f>
        <v>6</v>
      </c>
      <c r="AC320" s="1"/>
      <c r="AD320" s="1" t="s">
        <v>45</v>
      </c>
      <c r="AE320" s="22">
        <f>VLOOKUP(TablaCalificaciones[[#This Row],[Diapositivas como apoyo]],PESOS!A$25:B$29,2,0)</f>
        <v>10</v>
      </c>
      <c r="AF320" s="1"/>
      <c r="AG320" s="1" t="s">
        <v>83</v>
      </c>
      <c r="AH320" s="22">
        <f>VLOOKUP(TablaCalificaciones[[#This Row],[Respuestas a preguntas]],PESOS!A$25:B$29,2,0)</f>
        <v>6</v>
      </c>
      <c r="AI320" s="1"/>
      <c r="AJ320" s="1" t="s">
        <v>83</v>
      </c>
      <c r="AK320" s="22">
        <f>VLOOKUP(TablaCalificaciones[[#This Row],[Cierre: aporte a próximos pasos]],PESOS!A$25:B$29,2,0)</f>
        <v>6</v>
      </c>
      <c r="AL320" s="1"/>
      <c r="AM320" s="1"/>
    </row>
    <row r="321" spans="1:39">
      <c r="A321">
        <v>322</v>
      </c>
      <c r="B321" s="2">
        <v>46135.377511574101</v>
      </c>
      <c r="C321" s="2">
        <v>46135.393472222197</v>
      </c>
      <c r="D321" s="1" t="s">
        <v>54</v>
      </c>
      <c r="E321" s="1" t="s">
        <v>55</v>
      </c>
      <c r="G321" s="1"/>
      <c r="H321" s="2"/>
      <c r="I321" s="1" t="s">
        <v>229</v>
      </c>
      <c r="K321" s="1"/>
      <c r="L321" s="1" t="s">
        <v>56</v>
      </c>
      <c r="M321" s="26" t="str">
        <f>CONCATENATE(TablaCalificaciones[[#This Row],[Seleccione su nombre (Evaluador)]],TablaCalificaciones[[#This Row],[Seleccione el nombre del Estudiante]])</f>
        <v>Marco Antonio Galarza CastilloLópez Arboleda Carla Stephanya</v>
      </c>
      <c r="N321" s="1"/>
      <c r="O321" s="1" t="s">
        <v>242</v>
      </c>
      <c r="Q321" s="1"/>
      <c r="R321" s="1" t="s">
        <v>44</v>
      </c>
      <c r="S321" s="22">
        <f>VLOOKUP(TablaCalificaciones[[#This Row],[Apertura: problema y objetivo ]],PESOS!A$16:B$20,2,0)</f>
        <v>20</v>
      </c>
      <c r="T321" s="1"/>
      <c r="U321" s="1" t="s">
        <v>44</v>
      </c>
      <c r="V321" s="22">
        <f>VLOOKUP(TablaCalificaciones[[#This Row],[Metodología (nivel adecuado)]],PESOS!A$16:B$20,2,0)</f>
        <v>20</v>
      </c>
      <c r="W321" s="1"/>
      <c r="X321" s="1" t="s">
        <v>44</v>
      </c>
      <c r="Y321" s="22">
        <f>VLOOKUP(TablaCalificaciones[[#This Row],[Resultados y evidencia ]],PESOS!A$16:B$20,2,0)</f>
        <v>20</v>
      </c>
      <c r="Z321" s="1"/>
      <c r="AA321" s="1" t="s">
        <v>45</v>
      </c>
      <c r="AB321" s="22">
        <f>VLOOKUP(TablaCalificaciones[[#This Row],[Coherencia y manejo del tiempo]],PESOS!A$25:B$29,2,0)</f>
        <v>10</v>
      </c>
      <c r="AC321" s="1"/>
      <c r="AD321" s="1" t="s">
        <v>45</v>
      </c>
      <c r="AE321" s="22">
        <f>VLOOKUP(TablaCalificaciones[[#This Row],[Diapositivas como apoyo]],PESOS!A$25:B$29,2,0)</f>
        <v>10</v>
      </c>
      <c r="AF321" s="1"/>
      <c r="AG321" s="1" t="s">
        <v>51</v>
      </c>
      <c r="AH321" s="22">
        <f>VLOOKUP(TablaCalificaciones[[#This Row],[Respuestas a preguntas]],PESOS!A$25:B$29,2,0)</f>
        <v>8</v>
      </c>
      <c r="AI321" s="1"/>
      <c r="AJ321" s="1" t="s">
        <v>45</v>
      </c>
      <c r="AK321" s="22">
        <f>VLOOKUP(TablaCalificaciones[[#This Row],[Cierre: aporte a próximos pasos]],PESOS!A$25:B$29,2,0)</f>
        <v>10</v>
      </c>
      <c r="AL321" s="1"/>
      <c r="AM321" s="1"/>
    </row>
    <row r="322" spans="1:39">
      <c r="A322">
        <v>323</v>
      </c>
      <c r="B322" s="2">
        <v>46135.387430555602</v>
      </c>
      <c r="C322" s="2">
        <v>46135.393634259301</v>
      </c>
      <c r="D322" s="1" t="s">
        <v>97</v>
      </c>
      <c r="E322" s="1" t="s">
        <v>98</v>
      </c>
      <c r="G322" s="1"/>
      <c r="H322" s="2"/>
      <c r="I322" s="1" t="s">
        <v>229</v>
      </c>
      <c r="K322" s="1"/>
      <c r="L322" s="1" t="s">
        <v>99</v>
      </c>
      <c r="M322" s="26" t="str">
        <f>CONCATENATE(TablaCalificaciones[[#This Row],[Seleccione su nombre (Evaluador)]],TablaCalificaciones[[#This Row],[Seleccione el nombre del Estudiante]])</f>
        <v>Víctor Javier Gómez RegaladoMora Di Mattia Andrés Antonio</v>
      </c>
      <c r="N322" s="1"/>
      <c r="O322" s="1" t="s">
        <v>235</v>
      </c>
      <c r="Q322" s="1"/>
      <c r="R322" s="1" t="s">
        <v>44</v>
      </c>
      <c r="S322" s="22">
        <f>VLOOKUP(TablaCalificaciones[[#This Row],[Apertura: problema y objetivo ]],PESOS!A$16:B$20,2,0)</f>
        <v>20</v>
      </c>
      <c r="T322" s="1"/>
      <c r="U322" s="1" t="s">
        <v>44</v>
      </c>
      <c r="V322" s="22">
        <f>VLOOKUP(TablaCalificaciones[[#This Row],[Metodología (nivel adecuado)]],PESOS!A$16:B$20,2,0)</f>
        <v>20</v>
      </c>
      <c r="W322" s="1"/>
      <c r="X322" s="1" t="s">
        <v>44</v>
      </c>
      <c r="Y322" s="22">
        <f>VLOOKUP(TablaCalificaciones[[#This Row],[Resultados y evidencia ]],PESOS!A$16:B$20,2,0)</f>
        <v>20</v>
      </c>
      <c r="Z322" s="1"/>
      <c r="AA322" s="1" t="s">
        <v>45</v>
      </c>
      <c r="AB322" s="22">
        <f>VLOOKUP(TablaCalificaciones[[#This Row],[Coherencia y manejo del tiempo]],PESOS!A$25:B$29,2,0)</f>
        <v>10</v>
      </c>
      <c r="AC322" s="1"/>
      <c r="AD322" s="1" t="s">
        <v>45</v>
      </c>
      <c r="AE322" s="22">
        <f>VLOOKUP(TablaCalificaciones[[#This Row],[Diapositivas como apoyo]],PESOS!A$25:B$29,2,0)</f>
        <v>10</v>
      </c>
      <c r="AF322" s="1"/>
      <c r="AG322" s="1" t="s">
        <v>45</v>
      </c>
      <c r="AH322" s="22">
        <f>VLOOKUP(TablaCalificaciones[[#This Row],[Respuestas a preguntas]],PESOS!A$25:B$29,2,0)</f>
        <v>10</v>
      </c>
      <c r="AI322" s="1"/>
      <c r="AJ322" s="1" t="s">
        <v>45</v>
      </c>
      <c r="AK322" s="22">
        <f>VLOOKUP(TablaCalificaciones[[#This Row],[Cierre: aporte a próximos pasos]],PESOS!A$25:B$29,2,0)</f>
        <v>10</v>
      </c>
      <c r="AL322" s="1"/>
      <c r="AM322" s="1"/>
    </row>
    <row r="323" spans="1:39">
      <c r="A323">
        <v>324</v>
      </c>
      <c r="B323" s="2">
        <v>46135.393553240698</v>
      </c>
      <c r="C323" s="2">
        <v>46135.393865740698</v>
      </c>
      <c r="D323" s="1" t="s">
        <v>54</v>
      </c>
      <c r="E323" s="1" t="s">
        <v>55</v>
      </c>
      <c r="G323" s="1"/>
      <c r="H323" s="2"/>
      <c r="I323" s="1" t="s">
        <v>229</v>
      </c>
      <c r="K323" s="1"/>
      <c r="L323" s="1" t="s">
        <v>56</v>
      </c>
      <c r="M323" s="26" t="str">
        <f>CONCATENATE(TablaCalificaciones[[#This Row],[Seleccione su nombre (Evaluador)]],TablaCalificaciones[[#This Row],[Seleccione el nombre del Estudiante]])</f>
        <v>Marco Antonio Galarza CastilloMartínez Porte Daniela Stephania</v>
      </c>
      <c r="N323" s="1"/>
      <c r="O323" s="1" t="s">
        <v>243</v>
      </c>
      <c r="Q323" s="1"/>
      <c r="R323" s="1" t="s">
        <v>44</v>
      </c>
      <c r="S323" s="22">
        <f>VLOOKUP(TablaCalificaciones[[#This Row],[Apertura: problema y objetivo ]],PESOS!A$16:B$20,2,0)</f>
        <v>20</v>
      </c>
      <c r="T323" s="1"/>
      <c r="U323" s="1" t="s">
        <v>44</v>
      </c>
      <c r="V323" s="22">
        <f>VLOOKUP(TablaCalificaciones[[#This Row],[Metodología (nivel adecuado)]],PESOS!A$16:B$20,2,0)</f>
        <v>20</v>
      </c>
      <c r="W323" s="1"/>
      <c r="X323" s="1" t="s">
        <v>44</v>
      </c>
      <c r="Y323" s="22">
        <f>VLOOKUP(TablaCalificaciones[[#This Row],[Resultados y evidencia ]],PESOS!A$16:B$20,2,0)</f>
        <v>20</v>
      </c>
      <c r="Z323" s="1"/>
      <c r="AA323" s="1" t="s">
        <v>45</v>
      </c>
      <c r="AB323" s="22">
        <f>VLOOKUP(TablaCalificaciones[[#This Row],[Coherencia y manejo del tiempo]],PESOS!A$25:B$29,2,0)</f>
        <v>10</v>
      </c>
      <c r="AC323" s="1"/>
      <c r="AD323" s="1" t="s">
        <v>45</v>
      </c>
      <c r="AE323" s="22">
        <f>VLOOKUP(TablaCalificaciones[[#This Row],[Diapositivas como apoyo]],PESOS!A$25:B$29,2,0)</f>
        <v>10</v>
      </c>
      <c r="AF323" s="1"/>
      <c r="AG323" s="1" t="s">
        <v>45</v>
      </c>
      <c r="AH323" s="22">
        <f>VLOOKUP(TablaCalificaciones[[#This Row],[Respuestas a preguntas]],PESOS!A$25:B$29,2,0)</f>
        <v>10</v>
      </c>
      <c r="AI323" s="1"/>
      <c r="AJ323" s="1" t="s">
        <v>45</v>
      </c>
      <c r="AK323" s="22">
        <f>VLOOKUP(TablaCalificaciones[[#This Row],[Cierre: aporte a próximos pasos]],PESOS!A$25:B$29,2,0)</f>
        <v>10</v>
      </c>
      <c r="AL323" s="1"/>
      <c r="AM323" s="1"/>
    </row>
    <row r="324" spans="1:39">
      <c r="A324">
        <v>325</v>
      </c>
      <c r="B324" s="2">
        <v>46135.393483796302</v>
      </c>
      <c r="C324" s="2">
        <v>46135.393946759301</v>
      </c>
      <c r="D324" s="1" t="s">
        <v>39</v>
      </c>
      <c r="E324" s="1" t="s">
        <v>40</v>
      </c>
      <c r="G324" s="1"/>
      <c r="H324" s="2"/>
      <c r="I324" s="1" t="s">
        <v>229</v>
      </c>
      <c r="K324" s="1"/>
      <c r="L324" s="1" t="s">
        <v>42</v>
      </c>
      <c r="M324" s="26" t="str">
        <f>CONCATENATE(TablaCalificaciones[[#This Row],[Seleccione su nombre (Evaluador)]],TablaCalificaciones[[#This Row],[Seleccione el nombre del Estudiante]])</f>
        <v>Patricio David PonceJaramillo Alcázar Erika Salomé</v>
      </c>
      <c r="N324" s="1"/>
      <c r="O324" s="1" t="s">
        <v>231</v>
      </c>
      <c r="Q324" s="1"/>
      <c r="R324" s="1" t="s">
        <v>44</v>
      </c>
      <c r="S324" s="22">
        <f>VLOOKUP(TablaCalificaciones[[#This Row],[Apertura: problema y objetivo ]],PESOS!A$16:B$20,2,0)</f>
        <v>20</v>
      </c>
      <c r="T324" s="1"/>
      <c r="U324" s="1" t="s">
        <v>44</v>
      </c>
      <c r="V324" s="22">
        <f>VLOOKUP(TablaCalificaciones[[#This Row],[Metodología (nivel adecuado)]],PESOS!A$16:B$20,2,0)</f>
        <v>20</v>
      </c>
      <c r="W324" s="1"/>
      <c r="X324" s="1" t="s">
        <v>44</v>
      </c>
      <c r="Y324" s="22">
        <f>VLOOKUP(TablaCalificaciones[[#This Row],[Resultados y evidencia ]],PESOS!A$16:B$20,2,0)</f>
        <v>20</v>
      </c>
      <c r="Z324" s="1"/>
      <c r="AA324" s="1" t="s">
        <v>45</v>
      </c>
      <c r="AB324" s="22">
        <f>VLOOKUP(TablaCalificaciones[[#This Row],[Coherencia y manejo del tiempo]],PESOS!A$25:B$29,2,0)</f>
        <v>10</v>
      </c>
      <c r="AC324" s="1"/>
      <c r="AD324" s="1" t="s">
        <v>45</v>
      </c>
      <c r="AE324" s="22">
        <f>VLOOKUP(TablaCalificaciones[[#This Row],[Diapositivas como apoyo]],PESOS!A$25:B$29,2,0)</f>
        <v>10</v>
      </c>
      <c r="AF324" s="1"/>
      <c r="AG324" s="1" t="s">
        <v>45</v>
      </c>
      <c r="AH324" s="22">
        <f>VLOOKUP(TablaCalificaciones[[#This Row],[Respuestas a preguntas]],PESOS!A$25:B$29,2,0)</f>
        <v>10</v>
      </c>
      <c r="AI324" s="1"/>
      <c r="AJ324" s="1" t="s">
        <v>45</v>
      </c>
      <c r="AK324" s="22">
        <f>VLOOKUP(TablaCalificaciones[[#This Row],[Cierre: aporte a próximos pasos]],PESOS!A$25:B$29,2,0)</f>
        <v>10</v>
      </c>
      <c r="AL324" s="1"/>
      <c r="AM324" s="1"/>
    </row>
    <row r="325" spans="1:39">
      <c r="A325">
        <v>326</v>
      </c>
      <c r="B325" s="2">
        <v>46135.393969907404</v>
      </c>
      <c r="C325" s="2">
        <v>46135.394363425898</v>
      </c>
      <c r="D325" s="1" t="s">
        <v>39</v>
      </c>
      <c r="E325" s="1" t="s">
        <v>40</v>
      </c>
      <c r="G325" s="1"/>
      <c r="H325" s="2"/>
      <c r="I325" s="1" t="s">
        <v>229</v>
      </c>
      <c r="K325" s="1"/>
      <c r="L325" s="1" t="s">
        <v>42</v>
      </c>
      <c r="M325" s="26" t="str">
        <f>CONCATENATE(TablaCalificaciones[[#This Row],[Seleccione su nombre (Evaluador)]],TablaCalificaciones[[#This Row],[Seleccione el nombre del Estudiante]])</f>
        <v>Patricio David PonceLicto Iler Erick Javier</v>
      </c>
      <c r="N325" s="1"/>
      <c r="O325" s="1" t="s">
        <v>232</v>
      </c>
      <c r="Q325" s="1"/>
      <c r="R325" s="1" t="s">
        <v>44</v>
      </c>
      <c r="S325" s="22">
        <f>VLOOKUP(TablaCalificaciones[[#This Row],[Apertura: problema y objetivo ]],PESOS!A$16:B$20,2,0)</f>
        <v>20</v>
      </c>
      <c r="T325" s="1"/>
      <c r="U325" s="1" t="s">
        <v>44</v>
      </c>
      <c r="V325" s="22">
        <f>VLOOKUP(TablaCalificaciones[[#This Row],[Metodología (nivel adecuado)]],PESOS!A$16:B$20,2,0)</f>
        <v>20</v>
      </c>
      <c r="W325" s="1"/>
      <c r="X325" s="1" t="s">
        <v>44</v>
      </c>
      <c r="Y325" s="22">
        <f>VLOOKUP(TablaCalificaciones[[#This Row],[Resultados y evidencia ]],PESOS!A$16:B$20,2,0)</f>
        <v>20</v>
      </c>
      <c r="Z325" s="1"/>
      <c r="AA325" s="1" t="s">
        <v>45</v>
      </c>
      <c r="AB325" s="22">
        <f>VLOOKUP(TablaCalificaciones[[#This Row],[Coherencia y manejo del tiempo]],PESOS!A$25:B$29,2,0)</f>
        <v>10</v>
      </c>
      <c r="AC325" s="1"/>
      <c r="AD325" s="1" t="s">
        <v>45</v>
      </c>
      <c r="AE325" s="22">
        <f>VLOOKUP(TablaCalificaciones[[#This Row],[Diapositivas como apoyo]],PESOS!A$25:B$29,2,0)</f>
        <v>10</v>
      </c>
      <c r="AF325" s="1"/>
      <c r="AG325" s="1" t="s">
        <v>45</v>
      </c>
      <c r="AH325" s="22">
        <f>VLOOKUP(TablaCalificaciones[[#This Row],[Respuestas a preguntas]],PESOS!A$25:B$29,2,0)</f>
        <v>10</v>
      </c>
      <c r="AI325" s="1"/>
      <c r="AJ325" s="1" t="s">
        <v>45</v>
      </c>
      <c r="AK325" s="22">
        <f>VLOOKUP(TablaCalificaciones[[#This Row],[Cierre: aporte a próximos pasos]],PESOS!A$25:B$29,2,0)</f>
        <v>10</v>
      </c>
      <c r="AL325" s="1"/>
      <c r="AM325" s="1"/>
    </row>
    <row r="326" spans="1:39">
      <c r="A326">
        <v>327</v>
      </c>
      <c r="B326" s="2">
        <v>46135.393819444398</v>
      </c>
      <c r="C326" s="2">
        <v>46135.394999999997</v>
      </c>
      <c r="D326" s="1" t="s">
        <v>97</v>
      </c>
      <c r="E326" s="1" t="s">
        <v>98</v>
      </c>
      <c r="G326" s="1"/>
      <c r="H326" s="2"/>
      <c r="I326" s="1" t="s">
        <v>229</v>
      </c>
      <c r="K326" s="1"/>
      <c r="L326" s="1" t="s">
        <v>99</v>
      </c>
      <c r="M326" s="26" t="str">
        <f>CONCATENATE(TablaCalificaciones[[#This Row],[Seleccione su nombre (Evaluador)]],TablaCalificaciones[[#This Row],[Seleccione el nombre del Estudiante]])</f>
        <v>Víctor Javier Gómez RegaladoLópez Sosa Gabriela Elizabeth</v>
      </c>
      <c r="N326" s="1"/>
      <c r="O326" s="1" t="s">
        <v>236</v>
      </c>
      <c r="Q326" s="1"/>
      <c r="R326" s="1" t="s">
        <v>44</v>
      </c>
      <c r="S326" s="22">
        <f>VLOOKUP(TablaCalificaciones[[#This Row],[Apertura: problema y objetivo ]],PESOS!A$16:B$20,2,0)</f>
        <v>20</v>
      </c>
      <c r="T326" s="1"/>
      <c r="U326" s="1" t="s">
        <v>44</v>
      </c>
      <c r="V326" s="22">
        <f>VLOOKUP(TablaCalificaciones[[#This Row],[Metodología (nivel adecuado)]],PESOS!A$16:B$20,2,0)</f>
        <v>20</v>
      </c>
      <c r="W326" s="1"/>
      <c r="X326" s="1" t="s">
        <v>44</v>
      </c>
      <c r="Y326" s="22">
        <f>VLOOKUP(TablaCalificaciones[[#This Row],[Resultados y evidencia ]],PESOS!A$16:B$20,2,0)</f>
        <v>20</v>
      </c>
      <c r="Z326" s="1"/>
      <c r="AA326" s="1" t="s">
        <v>45</v>
      </c>
      <c r="AB326" s="22">
        <f>VLOOKUP(TablaCalificaciones[[#This Row],[Coherencia y manejo del tiempo]],PESOS!A$25:B$29,2,0)</f>
        <v>10</v>
      </c>
      <c r="AC326" s="1"/>
      <c r="AD326" s="1" t="s">
        <v>45</v>
      </c>
      <c r="AE326" s="22">
        <f>VLOOKUP(TablaCalificaciones[[#This Row],[Diapositivas como apoyo]],PESOS!A$25:B$29,2,0)</f>
        <v>10</v>
      </c>
      <c r="AF326" s="1"/>
      <c r="AG326" s="1" t="s">
        <v>45</v>
      </c>
      <c r="AH326" s="22">
        <f>VLOOKUP(TablaCalificaciones[[#This Row],[Respuestas a preguntas]],PESOS!A$25:B$29,2,0)</f>
        <v>10</v>
      </c>
      <c r="AI326" s="1"/>
      <c r="AJ326" s="1" t="s">
        <v>45</v>
      </c>
      <c r="AK326" s="22">
        <f>VLOOKUP(TablaCalificaciones[[#This Row],[Cierre: aporte a próximos pasos]],PESOS!A$25:B$29,2,0)</f>
        <v>10</v>
      </c>
      <c r="AL326" s="1"/>
      <c r="AM326" s="1"/>
    </row>
    <row r="327" spans="1:39">
      <c r="A327">
        <v>328</v>
      </c>
      <c r="B327" s="2">
        <v>46135.395057870403</v>
      </c>
      <c r="C327" s="2">
        <v>46135.399722222202</v>
      </c>
      <c r="D327" s="1" t="s">
        <v>97</v>
      </c>
      <c r="E327" s="1" t="s">
        <v>98</v>
      </c>
      <c r="G327" s="1"/>
      <c r="H327" s="2"/>
      <c r="I327" s="1" t="s">
        <v>229</v>
      </c>
      <c r="K327" s="1"/>
      <c r="L327" s="1" t="s">
        <v>99</v>
      </c>
      <c r="M327" s="26" t="str">
        <f>CONCATENATE(TablaCalificaciones[[#This Row],[Seleccione su nombre (Evaluador)]],TablaCalificaciones[[#This Row],[Seleccione el nombre del Estudiante]])</f>
        <v>Víctor Javier Gómez RegaladoViteri Mesías Fabián Nicolás</v>
      </c>
      <c r="N327" s="1"/>
      <c r="O327" s="1" t="s">
        <v>244</v>
      </c>
      <c r="Q327" s="1"/>
      <c r="R327" s="1" t="s">
        <v>44</v>
      </c>
      <c r="S327" s="22">
        <f>VLOOKUP(TablaCalificaciones[[#This Row],[Apertura: problema y objetivo ]],PESOS!A$16:B$20,2,0)</f>
        <v>20</v>
      </c>
      <c r="T327" s="1"/>
      <c r="U327" s="1" t="s">
        <v>44</v>
      </c>
      <c r="V327" s="22">
        <f>VLOOKUP(TablaCalificaciones[[#This Row],[Metodología (nivel adecuado)]],PESOS!A$16:B$20,2,0)</f>
        <v>20</v>
      </c>
      <c r="W327" s="1"/>
      <c r="X327" s="1" t="s">
        <v>44</v>
      </c>
      <c r="Y327" s="22">
        <f>VLOOKUP(TablaCalificaciones[[#This Row],[Resultados y evidencia ]],PESOS!A$16:B$20,2,0)</f>
        <v>20</v>
      </c>
      <c r="Z327" s="1"/>
      <c r="AA327" s="1" t="s">
        <v>45</v>
      </c>
      <c r="AB327" s="22">
        <f>VLOOKUP(TablaCalificaciones[[#This Row],[Coherencia y manejo del tiempo]],PESOS!A$25:B$29,2,0)</f>
        <v>10</v>
      </c>
      <c r="AC327" s="1"/>
      <c r="AD327" s="1" t="s">
        <v>45</v>
      </c>
      <c r="AE327" s="22">
        <f>VLOOKUP(TablaCalificaciones[[#This Row],[Diapositivas como apoyo]],PESOS!A$25:B$29,2,0)</f>
        <v>10</v>
      </c>
      <c r="AF327" s="1"/>
      <c r="AG327" s="1" t="s">
        <v>45</v>
      </c>
      <c r="AH327" s="22">
        <f>VLOOKUP(TablaCalificaciones[[#This Row],[Respuestas a preguntas]],PESOS!A$25:B$29,2,0)</f>
        <v>10</v>
      </c>
      <c r="AI327" s="1"/>
      <c r="AJ327" s="1" t="s">
        <v>45</v>
      </c>
      <c r="AK327" s="22">
        <f>VLOOKUP(TablaCalificaciones[[#This Row],[Cierre: aporte a próximos pasos]],PESOS!A$25:B$29,2,0)</f>
        <v>10</v>
      </c>
      <c r="AL327" s="1"/>
      <c r="AM327" s="1"/>
    </row>
    <row r="328" spans="1:39">
      <c r="A328">
        <v>329</v>
      </c>
      <c r="B328" s="2">
        <v>46135.3997453704</v>
      </c>
      <c r="C328" s="2">
        <v>46135.4011342593</v>
      </c>
      <c r="D328" s="1" t="s">
        <v>97</v>
      </c>
      <c r="E328" s="1" t="s">
        <v>98</v>
      </c>
      <c r="G328" s="1"/>
      <c r="H328" s="2"/>
      <c r="I328" s="1" t="s">
        <v>229</v>
      </c>
      <c r="K328" s="1"/>
      <c r="L328" s="1" t="s">
        <v>99</v>
      </c>
      <c r="M328" s="26" t="str">
        <f>CONCATENATE(TablaCalificaciones[[#This Row],[Seleccione su nombre (Evaluador)]],TablaCalificaciones[[#This Row],[Seleccione el nombre del Estudiante]])</f>
        <v>Víctor Javier Gómez RegaladoJiménez Soto Luis Javier</v>
      </c>
      <c r="N328" s="1"/>
      <c r="O328" s="1" t="s">
        <v>245</v>
      </c>
      <c r="Q328" s="1"/>
      <c r="R328" s="1" t="s">
        <v>44</v>
      </c>
      <c r="S328" s="22">
        <f>VLOOKUP(TablaCalificaciones[[#This Row],[Apertura: problema y objetivo ]],PESOS!A$16:B$20,2,0)</f>
        <v>20</v>
      </c>
      <c r="T328" s="1"/>
      <c r="U328" s="1" t="s">
        <v>44</v>
      </c>
      <c r="V328" s="22">
        <f>VLOOKUP(TablaCalificaciones[[#This Row],[Metodología (nivel adecuado)]],PESOS!A$16:B$20,2,0)</f>
        <v>20</v>
      </c>
      <c r="W328" s="1"/>
      <c r="X328" s="1" t="s">
        <v>44</v>
      </c>
      <c r="Y328" s="22">
        <f>VLOOKUP(TablaCalificaciones[[#This Row],[Resultados y evidencia ]],PESOS!A$16:B$20,2,0)</f>
        <v>20</v>
      </c>
      <c r="Z328" s="1"/>
      <c r="AA328" s="1" t="s">
        <v>45</v>
      </c>
      <c r="AB328" s="22">
        <f>VLOOKUP(TablaCalificaciones[[#This Row],[Coherencia y manejo del tiempo]],PESOS!A$25:B$29,2,0)</f>
        <v>10</v>
      </c>
      <c r="AC328" s="1"/>
      <c r="AD328" s="1" t="s">
        <v>45</v>
      </c>
      <c r="AE328" s="22">
        <f>VLOOKUP(TablaCalificaciones[[#This Row],[Diapositivas como apoyo]],PESOS!A$25:B$29,2,0)</f>
        <v>10</v>
      </c>
      <c r="AF328" s="1"/>
      <c r="AG328" s="1" t="s">
        <v>45</v>
      </c>
      <c r="AH328" s="22">
        <f>VLOOKUP(TablaCalificaciones[[#This Row],[Respuestas a preguntas]],PESOS!A$25:B$29,2,0)</f>
        <v>10</v>
      </c>
      <c r="AI328" s="1"/>
      <c r="AJ328" s="1" t="s">
        <v>45</v>
      </c>
      <c r="AK328" s="22">
        <f>VLOOKUP(TablaCalificaciones[[#This Row],[Cierre: aporte a próximos pasos]],PESOS!A$25:B$29,2,0)</f>
        <v>10</v>
      </c>
      <c r="AL328" s="1"/>
      <c r="AM328" s="1"/>
    </row>
    <row r="329" spans="1:39">
      <c r="A329">
        <v>330</v>
      </c>
      <c r="B329" s="2">
        <v>46135.396354166704</v>
      </c>
      <c r="C329" s="2">
        <v>46135.401273148098</v>
      </c>
      <c r="D329" s="1" t="s">
        <v>246</v>
      </c>
      <c r="E329" s="1" t="s">
        <v>247</v>
      </c>
      <c r="G329" s="1"/>
      <c r="H329" s="2"/>
      <c r="I329" s="1" t="s">
        <v>68</v>
      </c>
      <c r="K329" s="1"/>
      <c r="L329" s="1" t="s">
        <v>248</v>
      </c>
      <c r="M329" s="26" t="str">
        <f>CONCATENATE(TablaCalificaciones[[#This Row],[Seleccione su nombre (Evaluador)]],TablaCalificaciones[[#This Row],[Seleccione el nombre del Estudiante]])</f>
        <v>María Fernanada JaramilloOchoa Larreategui Mateo Nicolás</v>
      </c>
      <c r="N329" s="1"/>
      <c r="O329" s="1" t="s">
        <v>222</v>
      </c>
      <c r="Q329" s="1"/>
      <c r="R329" s="1" t="s">
        <v>44</v>
      </c>
      <c r="S329" s="22">
        <f>VLOOKUP(TablaCalificaciones[[#This Row],[Apertura: problema y objetivo ]],PESOS!A$16:B$20,2,0)</f>
        <v>20</v>
      </c>
      <c r="T329" s="1"/>
      <c r="U329" s="1" t="s">
        <v>44</v>
      </c>
      <c r="V329" s="22">
        <f>VLOOKUP(TablaCalificaciones[[#This Row],[Metodología (nivel adecuado)]],PESOS!A$16:B$20,2,0)</f>
        <v>20</v>
      </c>
      <c r="W329" s="1"/>
      <c r="X329" s="1" t="s">
        <v>44</v>
      </c>
      <c r="Y329" s="22">
        <f>VLOOKUP(TablaCalificaciones[[#This Row],[Resultados y evidencia ]],PESOS!A$16:B$20,2,0)</f>
        <v>20</v>
      </c>
      <c r="Z329" s="1"/>
      <c r="AA329" s="1" t="s">
        <v>45</v>
      </c>
      <c r="AB329" s="22">
        <f>VLOOKUP(TablaCalificaciones[[#This Row],[Coherencia y manejo del tiempo]],PESOS!A$25:B$29,2,0)</f>
        <v>10</v>
      </c>
      <c r="AC329" s="1"/>
      <c r="AD329" s="1" t="s">
        <v>45</v>
      </c>
      <c r="AE329" s="22">
        <f>VLOOKUP(TablaCalificaciones[[#This Row],[Diapositivas como apoyo]],PESOS!A$25:B$29,2,0)</f>
        <v>10</v>
      </c>
      <c r="AF329" s="1"/>
      <c r="AG329" s="1" t="s">
        <v>45</v>
      </c>
      <c r="AH329" s="22">
        <f>VLOOKUP(TablaCalificaciones[[#This Row],[Respuestas a preguntas]],PESOS!A$25:B$29,2,0)</f>
        <v>10</v>
      </c>
      <c r="AI329" s="1"/>
      <c r="AJ329" s="1" t="s">
        <v>45</v>
      </c>
      <c r="AK329" s="22">
        <f>VLOOKUP(TablaCalificaciones[[#This Row],[Cierre: aporte a próximos pasos]],PESOS!A$25:B$29,2,0)</f>
        <v>10</v>
      </c>
      <c r="AL329" s="1"/>
      <c r="AM329" s="1"/>
    </row>
    <row r="330" spans="1:39">
      <c r="A330">
        <v>331</v>
      </c>
      <c r="B330" s="2">
        <v>46135.401608796303</v>
      </c>
      <c r="C330" s="2">
        <v>46135.402511574102</v>
      </c>
      <c r="D330" s="1" t="s">
        <v>246</v>
      </c>
      <c r="E330" s="1" t="s">
        <v>247</v>
      </c>
      <c r="G330" s="1"/>
      <c r="H330" s="2"/>
      <c r="I330" s="1" t="s">
        <v>68</v>
      </c>
      <c r="K330" s="1"/>
      <c r="L330" s="1" t="s">
        <v>248</v>
      </c>
      <c r="M330" s="26" t="str">
        <f>CONCATENATE(TablaCalificaciones[[#This Row],[Seleccione su nombre (Evaluador)]],TablaCalificaciones[[#This Row],[Seleccione el nombre del Estudiante]])</f>
        <v>María Fernanada JaramilloLeón Fuenmayor Emily Antonella</v>
      </c>
      <c r="N330" s="1"/>
      <c r="O330" s="1" t="s">
        <v>223</v>
      </c>
      <c r="Q330" s="1"/>
      <c r="R330" s="1" t="s">
        <v>44</v>
      </c>
      <c r="S330" s="22">
        <f>VLOOKUP(TablaCalificaciones[[#This Row],[Apertura: problema y objetivo ]],PESOS!A$16:B$20,2,0)</f>
        <v>20</v>
      </c>
      <c r="T330" s="1"/>
      <c r="U330" s="1" t="s">
        <v>44</v>
      </c>
      <c r="V330" s="22">
        <f>VLOOKUP(TablaCalificaciones[[#This Row],[Metodología (nivel adecuado)]],PESOS!A$16:B$20,2,0)</f>
        <v>20</v>
      </c>
      <c r="W330" s="1"/>
      <c r="X330" s="1" t="s">
        <v>44</v>
      </c>
      <c r="Y330" s="22">
        <f>VLOOKUP(TablaCalificaciones[[#This Row],[Resultados y evidencia ]],PESOS!A$16:B$20,2,0)</f>
        <v>20</v>
      </c>
      <c r="Z330" s="1"/>
      <c r="AA330" s="1" t="s">
        <v>45</v>
      </c>
      <c r="AB330" s="22">
        <f>VLOOKUP(TablaCalificaciones[[#This Row],[Coherencia y manejo del tiempo]],PESOS!A$25:B$29,2,0)</f>
        <v>10</v>
      </c>
      <c r="AC330" s="1"/>
      <c r="AD330" s="1" t="s">
        <v>45</v>
      </c>
      <c r="AE330" s="22">
        <f>VLOOKUP(TablaCalificaciones[[#This Row],[Diapositivas como apoyo]],PESOS!A$25:B$29,2,0)</f>
        <v>10</v>
      </c>
      <c r="AF330" s="1"/>
      <c r="AG330" s="1" t="s">
        <v>45</v>
      </c>
      <c r="AH330" s="22">
        <f>VLOOKUP(TablaCalificaciones[[#This Row],[Respuestas a preguntas]],PESOS!A$25:B$29,2,0)</f>
        <v>10</v>
      </c>
      <c r="AI330" s="1"/>
      <c r="AJ330" s="1" t="s">
        <v>45</v>
      </c>
      <c r="AK330" s="22">
        <f>VLOOKUP(TablaCalificaciones[[#This Row],[Cierre: aporte a próximos pasos]],PESOS!A$25:B$29,2,0)</f>
        <v>10</v>
      </c>
      <c r="AL330" s="1"/>
      <c r="AM330" s="1"/>
    </row>
    <row r="331" spans="1:39">
      <c r="A331">
        <v>332</v>
      </c>
      <c r="B331" s="2">
        <v>46135.402650463002</v>
      </c>
      <c r="C331" s="2">
        <v>46135.404166666704</v>
      </c>
      <c r="D331" s="1" t="s">
        <v>246</v>
      </c>
      <c r="E331" s="1" t="s">
        <v>247</v>
      </c>
      <c r="G331" s="1"/>
      <c r="H331" s="2"/>
      <c r="I331" s="1" t="s">
        <v>68</v>
      </c>
      <c r="K331" s="1"/>
      <c r="L331" s="1" t="s">
        <v>248</v>
      </c>
      <c r="M331" s="26" t="str">
        <f>CONCATENATE(TablaCalificaciones[[#This Row],[Seleccione su nombre (Evaluador)]],TablaCalificaciones[[#This Row],[Seleccione el nombre del Estudiante]])</f>
        <v>María Fernanada JaramilloRosero Guevara Ariana Micaela</v>
      </c>
      <c r="N331" s="1"/>
      <c r="O331" s="1" t="s">
        <v>190</v>
      </c>
      <c r="Q331" s="1"/>
      <c r="R331" s="1" t="s">
        <v>44</v>
      </c>
      <c r="S331" s="22">
        <f>VLOOKUP(TablaCalificaciones[[#This Row],[Apertura: problema y objetivo ]],PESOS!A$16:B$20,2,0)</f>
        <v>20</v>
      </c>
      <c r="T331" s="1"/>
      <c r="U331" s="1" t="s">
        <v>44</v>
      </c>
      <c r="V331" s="22">
        <f>VLOOKUP(TablaCalificaciones[[#This Row],[Metodología (nivel adecuado)]],PESOS!A$16:B$20,2,0)</f>
        <v>20</v>
      </c>
      <c r="W331" s="1"/>
      <c r="X331" s="1" t="s">
        <v>44</v>
      </c>
      <c r="Y331" s="22">
        <f>VLOOKUP(TablaCalificaciones[[#This Row],[Resultados y evidencia ]],PESOS!A$16:B$20,2,0)</f>
        <v>20</v>
      </c>
      <c r="Z331" s="1"/>
      <c r="AA331" s="1" t="s">
        <v>45</v>
      </c>
      <c r="AB331" s="22">
        <f>VLOOKUP(TablaCalificaciones[[#This Row],[Coherencia y manejo del tiempo]],PESOS!A$25:B$29,2,0)</f>
        <v>10</v>
      </c>
      <c r="AC331" s="1"/>
      <c r="AD331" s="1" t="s">
        <v>45</v>
      </c>
      <c r="AE331" s="22">
        <f>VLOOKUP(TablaCalificaciones[[#This Row],[Diapositivas como apoyo]],PESOS!A$25:B$29,2,0)</f>
        <v>10</v>
      </c>
      <c r="AF331" s="1"/>
      <c r="AG331" s="1" t="s">
        <v>45</v>
      </c>
      <c r="AH331" s="22">
        <f>VLOOKUP(TablaCalificaciones[[#This Row],[Respuestas a preguntas]],PESOS!A$25:B$29,2,0)</f>
        <v>10</v>
      </c>
      <c r="AI331" s="1"/>
      <c r="AJ331" s="1" t="s">
        <v>45</v>
      </c>
      <c r="AK331" s="22">
        <f>VLOOKUP(TablaCalificaciones[[#This Row],[Cierre: aporte a próximos pasos]],PESOS!A$25:B$29,2,0)</f>
        <v>10</v>
      </c>
      <c r="AL331" s="1"/>
      <c r="AM331" s="1"/>
    </row>
    <row r="332" spans="1:39">
      <c r="A332">
        <v>333</v>
      </c>
      <c r="B332" s="2">
        <v>46135.404305555603</v>
      </c>
      <c r="C332" s="2">
        <v>46135.405092592599</v>
      </c>
      <c r="D332" s="1" t="s">
        <v>246</v>
      </c>
      <c r="E332" s="1" t="s">
        <v>247</v>
      </c>
      <c r="G332" s="1"/>
      <c r="H332" s="2"/>
      <c r="I332" s="1" t="s">
        <v>68</v>
      </c>
      <c r="K332" s="1"/>
      <c r="L332" s="1" t="s">
        <v>248</v>
      </c>
      <c r="M332" s="26" t="str">
        <f>CONCATENATE(TablaCalificaciones[[#This Row],[Seleccione su nombre (Evaluador)]],TablaCalificaciones[[#This Row],[Seleccione el nombre del Estudiante]])</f>
        <v>María Fernanada JaramilloPáez Cevallos Santiago Alejandro</v>
      </c>
      <c r="N332" s="1"/>
      <c r="O332" s="1" t="s">
        <v>192</v>
      </c>
      <c r="Q332" s="1"/>
      <c r="R332" s="1" t="s">
        <v>44</v>
      </c>
      <c r="S332" s="22">
        <f>VLOOKUP(TablaCalificaciones[[#This Row],[Apertura: problema y objetivo ]],PESOS!A$16:B$20,2,0)</f>
        <v>20</v>
      </c>
      <c r="T332" s="1"/>
      <c r="U332" s="1" t="s">
        <v>44</v>
      </c>
      <c r="V332" s="22">
        <f>VLOOKUP(TablaCalificaciones[[#This Row],[Metodología (nivel adecuado)]],PESOS!A$16:B$20,2,0)</f>
        <v>20</v>
      </c>
      <c r="W332" s="1"/>
      <c r="X332" s="1" t="s">
        <v>44</v>
      </c>
      <c r="Y332" s="22">
        <f>VLOOKUP(TablaCalificaciones[[#This Row],[Resultados y evidencia ]],PESOS!A$16:B$20,2,0)</f>
        <v>20</v>
      </c>
      <c r="Z332" s="1"/>
      <c r="AA332" s="1" t="s">
        <v>45</v>
      </c>
      <c r="AB332" s="22">
        <f>VLOOKUP(TablaCalificaciones[[#This Row],[Coherencia y manejo del tiempo]],PESOS!A$25:B$29,2,0)</f>
        <v>10</v>
      </c>
      <c r="AC332" s="1"/>
      <c r="AD332" s="1" t="s">
        <v>45</v>
      </c>
      <c r="AE332" s="22">
        <f>VLOOKUP(TablaCalificaciones[[#This Row],[Diapositivas como apoyo]],PESOS!A$25:B$29,2,0)</f>
        <v>10</v>
      </c>
      <c r="AF332" s="1"/>
      <c r="AG332" s="1" t="s">
        <v>45</v>
      </c>
      <c r="AH332" s="22">
        <f>VLOOKUP(TablaCalificaciones[[#This Row],[Respuestas a preguntas]],PESOS!A$25:B$29,2,0)</f>
        <v>10</v>
      </c>
      <c r="AI332" s="1"/>
      <c r="AJ332" s="1" t="s">
        <v>45</v>
      </c>
      <c r="AK332" s="22">
        <f>VLOOKUP(TablaCalificaciones[[#This Row],[Cierre: aporte a próximos pasos]],PESOS!A$25:B$29,2,0)</f>
        <v>10</v>
      </c>
      <c r="AL332" s="1"/>
      <c r="AM332" s="1"/>
    </row>
    <row r="333" spans="1:39">
      <c r="A333">
        <v>334</v>
      </c>
      <c r="B333" s="2">
        <v>46135.405196759297</v>
      </c>
      <c r="C333" s="2">
        <v>46135.4063425926</v>
      </c>
      <c r="D333" s="1" t="s">
        <v>246</v>
      </c>
      <c r="E333" s="1" t="s">
        <v>247</v>
      </c>
      <c r="G333" s="1"/>
      <c r="H333" s="2"/>
      <c r="I333" s="1" t="s">
        <v>68</v>
      </c>
      <c r="K333" s="1"/>
      <c r="L333" s="1" t="s">
        <v>248</v>
      </c>
      <c r="M333" s="26" t="str">
        <f>CONCATENATE(TablaCalificaciones[[#This Row],[Seleccione su nombre (Evaluador)]],TablaCalificaciones[[#This Row],[Seleccione el nombre del Estudiante]])</f>
        <v>María Fernanada JaramilloUsiña Esteban Wladimir</v>
      </c>
      <c r="N333" s="1"/>
      <c r="O333" s="1" t="s">
        <v>193</v>
      </c>
      <c r="Q333" s="1"/>
      <c r="R333" s="1" t="s">
        <v>44</v>
      </c>
      <c r="S333" s="22">
        <f>VLOOKUP(TablaCalificaciones[[#This Row],[Apertura: problema y objetivo ]],PESOS!A$16:B$20,2,0)</f>
        <v>20</v>
      </c>
      <c r="T333" s="1"/>
      <c r="U333" s="1" t="s">
        <v>44</v>
      </c>
      <c r="V333" s="22">
        <f>VLOOKUP(TablaCalificaciones[[#This Row],[Metodología (nivel adecuado)]],PESOS!A$16:B$20,2,0)</f>
        <v>20</v>
      </c>
      <c r="W333" s="1"/>
      <c r="X333" s="1" t="s">
        <v>44</v>
      </c>
      <c r="Y333" s="22">
        <f>VLOOKUP(TablaCalificaciones[[#This Row],[Resultados y evidencia ]],PESOS!A$16:B$20,2,0)</f>
        <v>20</v>
      </c>
      <c r="Z333" s="1"/>
      <c r="AA333" s="1" t="s">
        <v>45</v>
      </c>
      <c r="AB333" s="22">
        <f>VLOOKUP(TablaCalificaciones[[#This Row],[Coherencia y manejo del tiempo]],PESOS!A$25:B$29,2,0)</f>
        <v>10</v>
      </c>
      <c r="AC333" s="1"/>
      <c r="AD333" s="1" t="s">
        <v>45</v>
      </c>
      <c r="AE333" s="22">
        <f>VLOOKUP(TablaCalificaciones[[#This Row],[Diapositivas como apoyo]],PESOS!A$25:B$29,2,0)</f>
        <v>10</v>
      </c>
      <c r="AF333" s="1"/>
      <c r="AG333" s="1" t="s">
        <v>51</v>
      </c>
      <c r="AH333" s="22">
        <f>VLOOKUP(TablaCalificaciones[[#This Row],[Respuestas a preguntas]],PESOS!A$25:B$29,2,0)</f>
        <v>8</v>
      </c>
      <c r="AI333" s="1"/>
      <c r="AJ333" s="1" t="s">
        <v>51</v>
      </c>
      <c r="AK333" s="22">
        <f>VLOOKUP(TablaCalificaciones[[#This Row],[Cierre: aporte a próximos pasos]],PESOS!A$25:B$29,2,0)</f>
        <v>8</v>
      </c>
      <c r="AL333" s="1"/>
      <c r="AM333" s="1"/>
    </row>
    <row r="334" spans="1:39">
      <c r="A334">
        <v>348</v>
      </c>
      <c r="B334" s="2">
        <v>46135.439409722203</v>
      </c>
      <c r="C334" s="2">
        <v>46135.457430555602</v>
      </c>
      <c r="D334" s="1" t="s">
        <v>87</v>
      </c>
      <c r="E334" s="1" t="s">
        <v>88</v>
      </c>
      <c r="G334" s="1"/>
      <c r="H334" s="2"/>
      <c r="I334" s="1" t="s">
        <v>229</v>
      </c>
      <c r="K334" s="1"/>
      <c r="L334" s="1" t="s">
        <v>88</v>
      </c>
      <c r="M334" s="26" t="str">
        <f>CONCATENATE(TablaCalificaciones[[#This Row],[Seleccione su nombre (Evaluador)]],TablaCalificaciones[[#This Row],[Seleccione el nombre del Estudiante]])</f>
        <v>Ana María Pazmiño DelgadoJátiva Ubillús José André</v>
      </c>
      <c r="N334" s="1"/>
      <c r="O334" s="1" t="s">
        <v>249</v>
      </c>
      <c r="Q334" s="1"/>
      <c r="R334" s="1" t="s">
        <v>44</v>
      </c>
      <c r="S334" s="22">
        <f>VLOOKUP(TablaCalificaciones[[#This Row],[Apertura: problema y objetivo ]],PESOS!A$16:B$20,2,0)</f>
        <v>20</v>
      </c>
      <c r="T334" s="1"/>
      <c r="U334" s="1" t="s">
        <v>44</v>
      </c>
      <c r="V334" s="22">
        <f>VLOOKUP(TablaCalificaciones[[#This Row],[Metodología (nivel adecuado)]],PESOS!A$16:B$20,2,0)</f>
        <v>20</v>
      </c>
      <c r="W334" s="1"/>
      <c r="X334" s="1" t="s">
        <v>44</v>
      </c>
      <c r="Y334" s="22">
        <f>VLOOKUP(TablaCalificaciones[[#This Row],[Resultados y evidencia ]],PESOS!A$16:B$20,2,0)</f>
        <v>20</v>
      </c>
      <c r="Z334" s="1"/>
      <c r="AA334" s="1" t="s">
        <v>45</v>
      </c>
      <c r="AB334" s="22">
        <f>VLOOKUP(TablaCalificaciones[[#This Row],[Coherencia y manejo del tiempo]],PESOS!A$25:B$29,2,0)</f>
        <v>10</v>
      </c>
      <c r="AC334" s="1"/>
      <c r="AD334" s="1" t="s">
        <v>45</v>
      </c>
      <c r="AE334" s="22">
        <f>VLOOKUP(TablaCalificaciones[[#This Row],[Diapositivas como apoyo]],PESOS!A$25:B$29,2,0)</f>
        <v>10</v>
      </c>
      <c r="AF334" s="1"/>
      <c r="AG334" s="1" t="s">
        <v>83</v>
      </c>
      <c r="AH334" s="22">
        <f>VLOOKUP(TablaCalificaciones[[#This Row],[Respuestas a preguntas]],PESOS!A$25:B$29,2,0)</f>
        <v>6</v>
      </c>
      <c r="AI334" s="1"/>
      <c r="AJ334" s="1" t="s">
        <v>45</v>
      </c>
      <c r="AK334" s="22">
        <f>VLOOKUP(TablaCalificaciones[[#This Row],[Cierre: aporte a próximos pasos]],PESOS!A$25:B$29,2,0)</f>
        <v>10</v>
      </c>
      <c r="AL334" s="1"/>
      <c r="AM334" s="1"/>
    </row>
    <row r="335" spans="1:39">
      <c r="A335">
        <v>337</v>
      </c>
      <c r="B335" s="2">
        <v>46135.398541666698</v>
      </c>
      <c r="C335" s="2">
        <v>46135.418206018498</v>
      </c>
      <c r="D335" s="1" t="s">
        <v>54</v>
      </c>
      <c r="E335" s="1" t="s">
        <v>55</v>
      </c>
      <c r="G335" s="1"/>
      <c r="H335" s="2"/>
      <c r="I335" s="1" t="s">
        <v>229</v>
      </c>
      <c r="K335" s="1"/>
      <c r="L335" s="1" t="s">
        <v>56</v>
      </c>
      <c r="M335" s="26" t="str">
        <f>CONCATENATE(TablaCalificaciones[[#This Row],[Seleccione su nombre (Evaluador)]],TablaCalificaciones[[#This Row],[Seleccione el nombre del Estudiante]])</f>
        <v>Marco Antonio Galarza CastilloBenalcazar Redroban Jhon Robert</v>
      </c>
      <c r="N335" s="1"/>
      <c r="O335" s="1" t="s">
        <v>250</v>
      </c>
      <c r="Q335" s="1"/>
      <c r="R335" s="1" t="s">
        <v>44</v>
      </c>
      <c r="S335" s="22">
        <f>VLOOKUP(TablaCalificaciones[[#This Row],[Apertura: problema y objetivo ]],PESOS!A$16:B$20,2,0)</f>
        <v>20</v>
      </c>
      <c r="T335" s="1"/>
      <c r="U335" s="1" t="s">
        <v>44</v>
      </c>
      <c r="V335" s="22">
        <f>VLOOKUP(TablaCalificaciones[[#This Row],[Metodología (nivel adecuado)]],PESOS!A$16:B$20,2,0)</f>
        <v>20</v>
      </c>
      <c r="W335" s="1"/>
      <c r="X335" s="1" t="s">
        <v>44</v>
      </c>
      <c r="Y335" s="22">
        <f>VLOOKUP(TablaCalificaciones[[#This Row],[Resultados y evidencia ]],PESOS!A$16:B$20,2,0)</f>
        <v>20</v>
      </c>
      <c r="Z335" s="1"/>
      <c r="AA335" s="1" t="s">
        <v>83</v>
      </c>
      <c r="AB335" s="22">
        <f>VLOOKUP(TablaCalificaciones[[#This Row],[Coherencia y manejo del tiempo]],PESOS!A$25:B$29,2,0)</f>
        <v>6</v>
      </c>
      <c r="AC335" s="1"/>
      <c r="AD335" s="1" t="s">
        <v>45</v>
      </c>
      <c r="AE335" s="22">
        <f>VLOOKUP(TablaCalificaciones[[#This Row],[Diapositivas como apoyo]],PESOS!A$25:B$29,2,0)</f>
        <v>10</v>
      </c>
      <c r="AF335" s="1"/>
      <c r="AG335" s="1" t="s">
        <v>45</v>
      </c>
      <c r="AH335" s="22">
        <f>VLOOKUP(TablaCalificaciones[[#This Row],[Respuestas a preguntas]],PESOS!A$25:B$29,2,0)</f>
        <v>10</v>
      </c>
      <c r="AI335" s="1"/>
      <c r="AJ335" s="1" t="s">
        <v>45</v>
      </c>
      <c r="AK335" s="22">
        <f>VLOOKUP(TablaCalificaciones[[#This Row],[Cierre: aporte a próximos pasos]],PESOS!A$25:B$29,2,0)</f>
        <v>10</v>
      </c>
      <c r="AL335" s="1"/>
      <c r="AM335" s="1"/>
    </row>
    <row r="336" spans="1:39">
      <c r="A336">
        <v>338</v>
      </c>
      <c r="B336" s="2">
        <v>46135.4143287037</v>
      </c>
      <c r="C336" s="2">
        <v>46135.419652777797</v>
      </c>
      <c r="D336" s="1" t="s">
        <v>239</v>
      </c>
      <c r="E336" s="1" t="s">
        <v>240</v>
      </c>
      <c r="G336" s="1"/>
      <c r="H336" s="2"/>
      <c r="I336" s="1" t="s">
        <v>229</v>
      </c>
      <c r="K336" s="1"/>
      <c r="L336" s="1" t="s">
        <v>240</v>
      </c>
      <c r="M336" s="26" t="str">
        <f>CONCATENATE(TablaCalificaciones[[#This Row],[Seleccione su nombre (Evaluador)]],TablaCalificaciones[[#This Row],[Seleccione el nombre del Estudiante]])</f>
        <v>David PozoBenalcazar Redroban Jhon Robert</v>
      </c>
      <c r="N336" s="1"/>
      <c r="O336" s="1" t="s">
        <v>250</v>
      </c>
      <c r="Q336" s="1"/>
      <c r="R336" s="1" t="s">
        <v>44</v>
      </c>
      <c r="S336" s="22">
        <f>VLOOKUP(TablaCalificaciones[[#This Row],[Apertura: problema y objetivo ]],PESOS!A$16:B$20,2,0)</f>
        <v>20</v>
      </c>
      <c r="T336" s="1"/>
      <c r="U336" s="1" t="s">
        <v>50</v>
      </c>
      <c r="V336" s="22">
        <f>VLOOKUP(TablaCalificaciones[[#This Row],[Metodología (nivel adecuado)]],PESOS!A$16:B$20,2,0)</f>
        <v>16</v>
      </c>
      <c r="W336" s="1"/>
      <c r="X336" s="1" t="s">
        <v>44</v>
      </c>
      <c r="Y336" s="22">
        <f>VLOOKUP(TablaCalificaciones[[#This Row],[Resultados y evidencia ]],PESOS!A$16:B$20,2,0)</f>
        <v>20</v>
      </c>
      <c r="Z336" s="1"/>
      <c r="AA336" s="1" t="s">
        <v>51</v>
      </c>
      <c r="AB336" s="22">
        <f>VLOOKUP(TablaCalificaciones[[#This Row],[Coherencia y manejo del tiempo]],PESOS!A$25:B$29,2,0)</f>
        <v>8</v>
      </c>
      <c r="AC336" s="1"/>
      <c r="AD336" s="1" t="s">
        <v>45</v>
      </c>
      <c r="AE336" s="22">
        <f>VLOOKUP(TablaCalificaciones[[#This Row],[Diapositivas como apoyo]],PESOS!A$25:B$29,2,0)</f>
        <v>10</v>
      </c>
      <c r="AF336" s="1"/>
      <c r="AG336" s="1" t="s">
        <v>45</v>
      </c>
      <c r="AH336" s="22">
        <f>VLOOKUP(TablaCalificaciones[[#This Row],[Respuestas a preguntas]],PESOS!A$25:B$29,2,0)</f>
        <v>10</v>
      </c>
      <c r="AI336" s="1"/>
      <c r="AJ336" s="1" t="s">
        <v>45</v>
      </c>
      <c r="AK336" s="22">
        <f>VLOOKUP(TablaCalificaciones[[#This Row],[Cierre: aporte a próximos pasos]],PESOS!A$25:B$29,2,0)</f>
        <v>10</v>
      </c>
      <c r="AL336" s="1"/>
      <c r="AM336" s="1"/>
    </row>
    <row r="337" spans="1:39">
      <c r="A337">
        <v>339</v>
      </c>
      <c r="B337" s="2">
        <v>46135.418240740699</v>
      </c>
      <c r="C337" s="2">
        <v>46135.435405092598</v>
      </c>
      <c r="D337" s="1" t="s">
        <v>54</v>
      </c>
      <c r="E337" s="1" t="s">
        <v>55</v>
      </c>
      <c r="G337" s="1"/>
      <c r="H337" s="2"/>
      <c r="I337" s="1" t="s">
        <v>229</v>
      </c>
      <c r="K337" s="1"/>
      <c r="L337" s="1" t="s">
        <v>56</v>
      </c>
      <c r="M337" s="26" t="str">
        <f>CONCATENATE(TablaCalificaciones[[#This Row],[Seleccione su nombre (Evaluador)]],TablaCalificaciones[[#This Row],[Seleccione el nombre del Estudiante]])</f>
        <v>Marco Antonio Galarza CastilloGuachamín Guevara Santiago David</v>
      </c>
      <c r="N337" s="1"/>
      <c r="O337" s="1" t="s">
        <v>251</v>
      </c>
      <c r="Q337" s="1"/>
      <c r="R337" s="1" t="s">
        <v>44</v>
      </c>
      <c r="S337" s="22">
        <f>VLOOKUP(TablaCalificaciones[[#This Row],[Apertura: problema y objetivo ]],PESOS!A$16:B$20,2,0)</f>
        <v>20</v>
      </c>
      <c r="T337" s="1"/>
      <c r="U337" s="1" t="s">
        <v>44</v>
      </c>
      <c r="V337" s="22">
        <f>VLOOKUP(TablaCalificaciones[[#This Row],[Metodología (nivel adecuado)]],PESOS!A$16:B$20,2,0)</f>
        <v>20</v>
      </c>
      <c r="W337" s="1"/>
      <c r="X337" s="1" t="s">
        <v>44</v>
      </c>
      <c r="Y337" s="22">
        <f>VLOOKUP(TablaCalificaciones[[#This Row],[Resultados y evidencia ]],PESOS!A$16:B$20,2,0)</f>
        <v>20</v>
      </c>
      <c r="Z337" s="1"/>
      <c r="AA337" s="1" t="s">
        <v>45</v>
      </c>
      <c r="AB337" s="22">
        <f>VLOOKUP(TablaCalificaciones[[#This Row],[Coherencia y manejo del tiempo]],PESOS!A$25:B$29,2,0)</f>
        <v>10</v>
      </c>
      <c r="AC337" s="1"/>
      <c r="AD337" s="1" t="s">
        <v>45</v>
      </c>
      <c r="AE337" s="22">
        <f>VLOOKUP(TablaCalificaciones[[#This Row],[Diapositivas como apoyo]],PESOS!A$25:B$29,2,0)</f>
        <v>10</v>
      </c>
      <c r="AF337" s="1"/>
      <c r="AG337" s="1" t="s">
        <v>45</v>
      </c>
      <c r="AH337" s="22">
        <f>VLOOKUP(TablaCalificaciones[[#This Row],[Respuestas a preguntas]],PESOS!A$25:B$29,2,0)</f>
        <v>10</v>
      </c>
      <c r="AI337" s="1"/>
      <c r="AJ337" s="1" t="s">
        <v>45</v>
      </c>
      <c r="AK337" s="22">
        <f>VLOOKUP(TablaCalificaciones[[#This Row],[Cierre: aporte a próximos pasos]],PESOS!A$25:B$29,2,0)</f>
        <v>10</v>
      </c>
      <c r="AL337" s="1"/>
      <c r="AM337" s="1"/>
    </row>
    <row r="338" spans="1:39">
      <c r="A338">
        <v>340</v>
      </c>
      <c r="B338" s="2">
        <v>46135.401192129597</v>
      </c>
      <c r="C338" s="2">
        <v>46135.4355208333</v>
      </c>
      <c r="D338" s="1" t="s">
        <v>97</v>
      </c>
      <c r="E338" s="1" t="s">
        <v>98</v>
      </c>
      <c r="G338" s="1"/>
      <c r="H338" s="2"/>
      <c r="I338" s="1" t="s">
        <v>229</v>
      </c>
      <c r="K338" s="1"/>
      <c r="L338" s="1" t="s">
        <v>99</v>
      </c>
      <c r="M338" s="26" t="str">
        <f>CONCATENATE(TablaCalificaciones[[#This Row],[Seleccione su nombre (Evaluador)]],TablaCalificaciones[[#This Row],[Seleccione el nombre del Estudiante]])</f>
        <v>Víctor Javier Gómez RegaladoGuachamín Guevara Santiago David</v>
      </c>
      <c r="N338" s="1"/>
      <c r="O338" s="1" t="s">
        <v>251</v>
      </c>
      <c r="Q338" s="1"/>
      <c r="R338" s="1" t="s">
        <v>44</v>
      </c>
      <c r="S338" s="22">
        <f>VLOOKUP(TablaCalificaciones[[#This Row],[Apertura: problema y objetivo ]],PESOS!A$16:B$20,2,0)</f>
        <v>20</v>
      </c>
      <c r="T338" s="1"/>
      <c r="U338" s="1" t="s">
        <v>44</v>
      </c>
      <c r="V338" s="22">
        <f>VLOOKUP(TablaCalificaciones[[#This Row],[Metodología (nivel adecuado)]],PESOS!A$16:B$20,2,0)</f>
        <v>20</v>
      </c>
      <c r="W338" s="1"/>
      <c r="X338" s="1" t="s">
        <v>44</v>
      </c>
      <c r="Y338" s="22">
        <f>VLOOKUP(TablaCalificaciones[[#This Row],[Resultados y evidencia ]],PESOS!A$16:B$20,2,0)</f>
        <v>20</v>
      </c>
      <c r="Z338" s="1"/>
      <c r="AA338" s="1" t="s">
        <v>45</v>
      </c>
      <c r="AB338" s="22">
        <f>VLOOKUP(TablaCalificaciones[[#This Row],[Coherencia y manejo del tiempo]],PESOS!A$25:B$29,2,0)</f>
        <v>10</v>
      </c>
      <c r="AC338" s="1"/>
      <c r="AD338" s="1" t="s">
        <v>51</v>
      </c>
      <c r="AE338" s="22">
        <f>VLOOKUP(TablaCalificaciones[[#This Row],[Diapositivas como apoyo]],PESOS!A$25:B$29,2,0)</f>
        <v>8</v>
      </c>
      <c r="AF338" s="1"/>
      <c r="AG338" s="1" t="s">
        <v>51</v>
      </c>
      <c r="AH338" s="22">
        <f>VLOOKUP(TablaCalificaciones[[#This Row],[Respuestas a preguntas]],PESOS!A$25:B$29,2,0)</f>
        <v>8</v>
      </c>
      <c r="AI338" s="1"/>
      <c r="AJ338" s="1" t="s">
        <v>51</v>
      </c>
      <c r="AK338" s="22">
        <f>VLOOKUP(TablaCalificaciones[[#This Row],[Cierre: aporte a próximos pasos]],PESOS!A$25:B$29,2,0)</f>
        <v>8</v>
      </c>
      <c r="AL338" s="1"/>
      <c r="AM338" s="1"/>
    </row>
    <row r="339" spans="1:39">
      <c r="A339">
        <v>341</v>
      </c>
      <c r="B339" s="2">
        <v>46135.4354282407</v>
      </c>
      <c r="C339" s="2">
        <v>46135.435787037</v>
      </c>
      <c r="D339" s="1" t="s">
        <v>54</v>
      </c>
      <c r="E339" s="1" t="s">
        <v>55</v>
      </c>
      <c r="G339" s="1"/>
      <c r="H339" s="2"/>
      <c r="I339" s="1" t="s">
        <v>229</v>
      </c>
      <c r="K339" s="1"/>
      <c r="L339" s="1" t="s">
        <v>56</v>
      </c>
      <c r="M339" s="26" t="str">
        <f>CONCATENATE(TablaCalificaciones[[#This Row],[Seleccione su nombre (Evaluador)]],TablaCalificaciones[[#This Row],[Seleccione el nombre del Estudiante]])</f>
        <v>Marco Antonio Galarza CastilloMasache Narváez Valeria Estefanía</v>
      </c>
      <c r="N339" s="1"/>
      <c r="O339" s="1" t="s">
        <v>252</v>
      </c>
      <c r="Q339" s="1"/>
      <c r="R339" s="1" t="s">
        <v>44</v>
      </c>
      <c r="S339" s="22">
        <f>VLOOKUP(TablaCalificaciones[[#This Row],[Apertura: problema y objetivo ]],PESOS!A$16:B$20,2,0)</f>
        <v>20</v>
      </c>
      <c r="T339" s="1"/>
      <c r="U339" s="1" t="s">
        <v>44</v>
      </c>
      <c r="V339" s="22">
        <f>VLOOKUP(TablaCalificaciones[[#This Row],[Metodología (nivel adecuado)]],PESOS!A$16:B$20,2,0)</f>
        <v>20</v>
      </c>
      <c r="W339" s="1"/>
      <c r="X339" s="1" t="s">
        <v>44</v>
      </c>
      <c r="Y339" s="22">
        <f>VLOOKUP(TablaCalificaciones[[#This Row],[Resultados y evidencia ]],PESOS!A$16:B$20,2,0)</f>
        <v>20</v>
      </c>
      <c r="Z339" s="1"/>
      <c r="AA339" s="1" t="s">
        <v>45</v>
      </c>
      <c r="AB339" s="22">
        <f>VLOOKUP(TablaCalificaciones[[#This Row],[Coherencia y manejo del tiempo]],PESOS!A$25:B$29,2,0)</f>
        <v>10</v>
      </c>
      <c r="AC339" s="1"/>
      <c r="AD339" s="1" t="s">
        <v>45</v>
      </c>
      <c r="AE339" s="22">
        <f>VLOOKUP(TablaCalificaciones[[#This Row],[Diapositivas como apoyo]],PESOS!A$25:B$29,2,0)</f>
        <v>10</v>
      </c>
      <c r="AF339" s="1"/>
      <c r="AG339" s="1" t="s">
        <v>45</v>
      </c>
      <c r="AH339" s="22">
        <f>VLOOKUP(TablaCalificaciones[[#This Row],[Respuestas a preguntas]],PESOS!A$25:B$29,2,0)</f>
        <v>10</v>
      </c>
      <c r="AI339" s="1"/>
      <c r="AJ339" s="1" t="s">
        <v>45</v>
      </c>
      <c r="AK339" s="22">
        <f>VLOOKUP(TablaCalificaciones[[#This Row],[Cierre: aporte a próximos pasos]],PESOS!A$25:B$29,2,0)</f>
        <v>10</v>
      </c>
      <c r="AL339" s="1"/>
      <c r="AM339" s="1"/>
    </row>
    <row r="340" spans="1:39">
      <c r="A340">
        <v>342</v>
      </c>
      <c r="B340" s="2">
        <v>46135.435636574097</v>
      </c>
      <c r="C340" s="2">
        <v>46135.436307870397</v>
      </c>
      <c r="D340" s="1" t="s">
        <v>97</v>
      </c>
      <c r="E340" s="1" t="s">
        <v>98</v>
      </c>
      <c r="G340" s="1"/>
      <c r="H340" s="2"/>
      <c r="I340" s="1" t="s">
        <v>229</v>
      </c>
      <c r="K340" s="1"/>
      <c r="L340" s="1" t="s">
        <v>99</v>
      </c>
      <c r="M340" s="26" t="str">
        <f>CONCATENATE(TablaCalificaciones[[#This Row],[Seleccione su nombre (Evaluador)]],TablaCalificaciones[[#This Row],[Seleccione el nombre del Estudiante]])</f>
        <v>Víctor Javier Gómez RegaladoMasache Narváez Valeria Estefanía</v>
      </c>
      <c r="N340" s="1"/>
      <c r="O340" s="1" t="s">
        <v>252</v>
      </c>
      <c r="Q340" s="1"/>
      <c r="R340" s="1" t="s">
        <v>44</v>
      </c>
      <c r="S340" s="22">
        <f>VLOOKUP(TablaCalificaciones[[#This Row],[Apertura: problema y objetivo ]],PESOS!A$16:B$20,2,0)</f>
        <v>20</v>
      </c>
      <c r="T340" s="1"/>
      <c r="U340" s="1" t="s">
        <v>44</v>
      </c>
      <c r="V340" s="22">
        <f>VLOOKUP(TablaCalificaciones[[#This Row],[Metodología (nivel adecuado)]],PESOS!A$16:B$20,2,0)</f>
        <v>20</v>
      </c>
      <c r="W340" s="1"/>
      <c r="X340" s="1" t="s">
        <v>44</v>
      </c>
      <c r="Y340" s="22">
        <f>VLOOKUP(TablaCalificaciones[[#This Row],[Resultados y evidencia ]],PESOS!A$16:B$20,2,0)</f>
        <v>20</v>
      </c>
      <c r="Z340" s="1"/>
      <c r="AA340" s="1" t="s">
        <v>45</v>
      </c>
      <c r="AB340" s="22">
        <f>VLOOKUP(TablaCalificaciones[[#This Row],[Coherencia y manejo del tiempo]],PESOS!A$25:B$29,2,0)</f>
        <v>10</v>
      </c>
      <c r="AC340" s="1"/>
      <c r="AD340" s="1" t="s">
        <v>51</v>
      </c>
      <c r="AE340" s="22">
        <f>VLOOKUP(TablaCalificaciones[[#This Row],[Diapositivas como apoyo]],PESOS!A$25:B$29,2,0)</f>
        <v>8</v>
      </c>
      <c r="AF340" s="1"/>
      <c r="AG340" s="1" t="s">
        <v>51</v>
      </c>
      <c r="AH340" s="22">
        <f>VLOOKUP(TablaCalificaciones[[#This Row],[Respuestas a preguntas]],PESOS!A$25:B$29,2,0)</f>
        <v>8</v>
      </c>
      <c r="AI340" s="1"/>
      <c r="AJ340" s="1" t="s">
        <v>51</v>
      </c>
      <c r="AK340" s="22">
        <f>VLOOKUP(TablaCalificaciones[[#This Row],[Cierre: aporte a próximos pasos]],PESOS!A$25:B$29,2,0)</f>
        <v>8</v>
      </c>
      <c r="AL340" s="1"/>
      <c r="AM340" s="1"/>
    </row>
    <row r="341" spans="1:39">
      <c r="A341">
        <v>343</v>
      </c>
      <c r="B341" s="2">
        <v>46135.438923611102</v>
      </c>
      <c r="C341" s="2">
        <v>46135.439375000002</v>
      </c>
      <c r="D341" s="1" t="s">
        <v>87</v>
      </c>
      <c r="E341" s="1" t="s">
        <v>88</v>
      </c>
      <c r="G341" s="1"/>
      <c r="H341" s="2"/>
      <c r="I341" s="1" t="s">
        <v>229</v>
      </c>
      <c r="K341" s="1"/>
      <c r="L341" s="1" t="s">
        <v>88</v>
      </c>
      <c r="M341" s="26" t="str">
        <f>CONCATENATE(TablaCalificaciones[[#This Row],[Seleccione su nombre (Evaluador)]],TablaCalificaciones[[#This Row],[Seleccione el nombre del Estudiante]])</f>
        <v>Ana María Pazmiño DelgadoAguaisa Moreno Victor Andres</v>
      </c>
      <c r="N341" s="1"/>
      <c r="O341" s="1" t="s">
        <v>253</v>
      </c>
      <c r="Q341" s="1"/>
      <c r="R341" s="1" t="s">
        <v>44</v>
      </c>
      <c r="S341" s="22">
        <f>VLOOKUP(TablaCalificaciones[[#This Row],[Apertura: problema y objetivo ]],PESOS!A$16:B$20,2,0)</f>
        <v>20</v>
      </c>
      <c r="T341" s="1"/>
      <c r="U341" s="1" t="s">
        <v>44</v>
      </c>
      <c r="V341" s="22">
        <f>VLOOKUP(TablaCalificaciones[[#This Row],[Metodología (nivel adecuado)]],PESOS!A$16:B$20,2,0)</f>
        <v>20</v>
      </c>
      <c r="W341" s="1"/>
      <c r="X341" s="1" t="s">
        <v>44</v>
      </c>
      <c r="Y341" s="22">
        <f>VLOOKUP(TablaCalificaciones[[#This Row],[Resultados y evidencia ]],PESOS!A$16:B$20,2,0)</f>
        <v>20</v>
      </c>
      <c r="Z341" s="1"/>
      <c r="AA341" s="1" t="s">
        <v>45</v>
      </c>
      <c r="AB341" s="22">
        <f>VLOOKUP(TablaCalificaciones[[#This Row],[Coherencia y manejo del tiempo]],PESOS!A$25:B$29,2,0)</f>
        <v>10</v>
      </c>
      <c r="AC341" s="1"/>
      <c r="AD341" s="1" t="s">
        <v>45</v>
      </c>
      <c r="AE341" s="22">
        <f>VLOOKUP(TablaCalificaciones[[#This Row],[Diapositivas como apoyo]],PESOS!A$25:B$29,2,0)</f>
        <v>10</v>
      </c>
      <c r="AF341" s="1"/>
      <c r="AG341" s="1" t="s">
        <v>45</v>
      </c>
      <c r="AH341" s="22">
        <f>VLOOKUP(TablaCalificaciones[[#This Row],[Respuestas a preguntas]],PESOS!A$25:B$29,2,0)</f>
        <v>10</v>
      </c>
      <c r="AI341" s="1"/>
      <c r="AJ341" s="1" t="s">
        <v>45</v>
      </c>
      <c r="AK341" s="22">
        <f>VLOOKUP(TablaCalificaciones[[#This Row],[Cierre: aporte a próximos pasos]],PESOS!A$25:B$29,2,0)</f>
        <v>10</v>
      </c>
      <c r="AL341" s="1"/>
      <c r="AM341" s="1"/>
    </row>
    <row r="342" spans="1:39">
      <c r="A342">
        <v>344</v>
      </c>
      <c r="B342" s="2">
        <v>46135.440671296303</v>
      </c>
      <c r="C342" s="2">
        <v>46135.454259259299</v>
      </c>
      <c r="D342" s="1" t="s">
        <v>93</v>
      </c>
      <c r="E342" s="1" t="s">
        <v>94</v>
      </c>
      <c r="G342" s="1"/>
      <c r="H342" s="2"/>
      <c r="I342" s="1" t="s">
        <v>229</v>
      </c>
      <c r="K342" s="1"/>
      <c r="L342" s="1" t="s">
        <v>95</v>
      </c>
      <c r="M342" s="26" t="str">
        <f>CONCATENATE(TablaCalificaciones[[#This Row],[Seleccione su nombre (Evaluador)]],TablaCalificaciones[[#This Row],[Seleccione el nombre del Estudiante]])</f>
        <v>Nelly Patricia Acosta VargasIza Jiménez Santiago Francisco</v>
      </c>
      <c r="N342" s="1"/>
      <c r="O342" s="1" t="s">
        <v>254</v>
      </c>
      <c r="Q342" s="1"/>
      <c r="R342" s="1" t="s">
        <v>44</v>
      </c>
      <c r="S342" s="22">
        <f>VLOOKUP(TablaCalificaciones[[#This Row],[Apertura: problema y objetivo ]],PESOS!A$16:B$20,2,0)</f>
        <v>20</v>
      </c>
      <c r="T342" s="1"/>
      <c r="U342" s="1" t="s">
        <v>44</v>
      </c>
      <c r="V342" s="22">
        <f>VLOOKUP(TablaCalificaciones[[#This Row],[Metodología (nivel adecuado)]],PESOS!A$16:B$20,2,0)</f>
        <v>20</v>
      </c>
      <c r="W342" s="1"/>
      <c r="X342" s="1" t="s">
        <v>44</v>
      </c>
      <c r="Y342" s="22">
        <f>VLOOKUP(TablaCalificaciones[[#This Row],[Resultados y evidencia ]],PESOS!A$16:B$20,2,0)</f>
        <v>20</v>
      </c>
      <c r="Z342" s="1"/>
      <c r="AA342" s="1" t="s">
        <v>45</v>
      </c>
      <c r="AB342" s="22">
        <f>VLOOKUP(TablaCalificaciones[[#This Row],[Coherencia y manejo del tiempo]],PESOS!A$25:B$29,2,0)</f>
        <v>10</v>
      </c>
      <c r="AC342" s="1"/>
      <c r="AD342" s="1" t="s">
        <v>45</v>
      </c>
      <c r="AE342" s="22">
        <f>VLOOKUP(TablaCalificaciones[[#This Row],[Diapositivas como apoyo]],PESOS!A$25:B$29,2,0)</f>
        <v>10</v>
      </c>
      <c r="AF342" s="1"/>
      <c r="AG342" s="1" t="s">
        <v>45</v>
      </c>
      <c r="AH342" s="22">
        <f>VLOOKUP(TablaCalificaciones[[#This Row],[Respuestas a preguntas]],PESOS!A$25:B$29,2,0)</f>
        <v>10</v>
      </c>
      <c r="AI342" s="1"/>
      <c r="AJ342" s="1" t="s">
        <v>45</v>
      </c>
      <c r="AK342" s="22">
        <f>VLOOKUP(TablaCalificaciones[[#This Row],[Cierre: aporte a próximos pasos]],PESOS!A$25:B$29,2,0)</f>
        <v>10</v>
      </c>
      <c r="AL342" s="1"/>
      <c r="AM342" s="1"/>
    </row>
    <row r="343" spans="1:39">
      <c r="A343">
        <v>345</v>
      </c>
      <c r="B343" s="2">
        <v>46135.454328703701</v>
      </c>
      <c r="C343" s="2">
        <v>46135.454942129603</v>
      </c>
      <c r="D343" s="1" t="s">
        <v>93</v>
      </c>
      <c r="E343" s="1" t="s">
        <v>94</v>
      </c>
      <c r="G343" s="1"/>
      <c r="H343" s="2"/>
      <c r="I343" s="1" t="s">
        <v>229</v>
      </c>
      <c r="K343" s="1"/>
      <c r="L343" s="1" t="s">
        <v>95</v>
      </c>
      <c r="M343" s="26" t="str">
        <f>CONCATENATE(TablaCalificaciones[[#This Row],[Seleccione su nombre (Evaluador)]],TablaCalificaciones[[#This Row],[Seleccione el nombre del Estudiante]])</f>
        <v>Nelly Patricia Acosta VargasSalazar Guallichico José Luis</v>
      </c>
      <c r="N343" s="1"/>
      <c r="O343" s="1" t="s">
        <v>255</v>
      </c>
      <c r="Q343" s="1"/>
      <c r="R343" s="1" t="s">
        <v>44</v>
      </c>
      <c r="S343" s="22">
        <f>VLOOKUP(TablaCalificaciones[[#This Row],[Apertura: problema y objetivo ]],PESOS!A$16:B$20,2,0)</f>
        <v>20</v>
      </c>
      <c r="T343" s="1"/>
      <c r="U343" s="1" t="s">
        <v>44</v>
      </c>
      <c r="V343" s="22">
        <f>VLOOKUP(TablaCalificaciones[[#This Row],[Metodología (nivel adecuado)]],PESOS!A$16:B$20,2,0)</f>
        <v>20</v>
      </c>
      <c r="W343" s="1"/>
      <c r="X343" s="1" t="s">
        <v>44</v>
      </c>
      <c r="Y343" s="22">
        <f>VLOOKUP(TablaCalificaciones[[#This Row],[Resultados y evidencia ]],PESOS!A$16:B$20,2,0)</f>
        <v>20</v>
      </c>
      <c r="Z343" s="1"/>
      <c r="AA343" s="1" t="s">
        <v>45</v>
      </c>
      <c r="AB343" s="22">
        <f>VLOOKUP(TablaCalificaciones[[#This Row],[Coherencia y manejo del tiempo]],PESOS!A$25:B$29,2,0)</f>
        <v>10</v>
      </c>
      <c r="AC343" s="1"/>
      <c r="AD343" s="1" t="s">
        <v>45</v>
      </c>
      <c r="AE343" s="22">
        <f>VLOOKUP(TablaCalificaciones[[#This Row],[Diapositivas como apoyo]],PESOS!A$25:B$29,2,0)</f>
        <v>10</v>
      </c>
      <c r="AF343" s="1"/>
      <c r="AG343" s="1" t="s">
        <v>45</v>
      </c>
      <c r="AH343" s="22">
        <f>VLOOKUP(TablaCalificaciones[[#This Row],[Respuestas a preguntas]],PESOS!A$25:B$29,2,0)</f>
        <v>10</v>
      </c>
      <c r="AI343" s="1"/>
      <c r="AJ343" s="1" t="s">
        <v>45</v>
      </c>
      <c r="AK343" s="22">
        <f>VLOOKUP(TablaCalificaciones[[#This Row],[Cierre: aporte a próximos pasos]],PESOS!A$25:B$29,2,0)</f>
        <v>10</v>
      </c>
      <c r="AL343" s="1"/>
      <c r="AM343" s="1"/>
    </row>
    <row r="344" spans="1:39">
      <c r="A344">
        <v>346</v>
      </c>
      <c r="B344" s="2">
        <v>46135.442592592597</v>
      </c>
      <c r="C344" s="2">
        <v>46135.456458333298</v>
      </c>
      <c r="D344" s="1" t="s">
        <v>54</v>
      </c>
      <c r="E344" s="1" t="s">
        <v>55</v>
      </c>
      <c r="G344" s="1"/>
      <c r="H344" s="2"/>
      <c r="I344" s="1" t="s">
        <v>229</v>
      </c>
      <c r="K344" s="1"/>
      <c r="L344" s="1" t="s">
        <v>56</v>
      </c>
      <c r="M344" s="26" t="str">
        <f>CONCATENATE(TablaCalificaciones[[#This Row],[Seleccione su nombre (Evaluador)]],TablaCalificaciones[[#This Row],[Seleccione el nombre del Estudiante]])</f>
        <v>Marco Antonio Galarza CastilloIza Jiménez Santiago Francisco</v>
      </c>
      <c r="N344" s="1"/>
      <c r="O344" s="1" t="s">
        <v>254</v>
      </c>
      <c r="Q344" s="1"/>
      <c r="R344" s="1" t="s">
        <v>44</v>
      </c>
      <c r="S344" s="22">
        <f>VLOOKUP(TablaCalificaciones[[#This Row],[Apertura: problema y objetivo ]],PESOS!A$16:B$20,2,0)</f>
        <v>20</v>
      </c>
      <c r="T344" s="1"/>
      <c r="U344" s="1" t="s">
        <v>44</v>
      </c>
      <c r="V344" s="22">
        <f>VLOOKUP(TablaCalificaciones[[#This Row],[Metodología (nivel adecuado)]],PESOS!A$16:B$20,2,0)</f>
        <v>20</v>
      </c>
      <c r="W344" s="1"/>
      <c r="X344" s="1" t="s">
        <v>44</v>
      </c>
      <c r="Y344" s="22">
        <f>VLOOKUP(TablaCalificaciones[[#This Row],[Resultados y evidencia ]],PESOS!A$16:B$20,2,0)</f>
        <v>20</v>
      </c>
      <c r="Z344" s="1"/>
      <c r="AA344" s="1" t="s">
        <v>45</v>
      </c>
      <c r="AB344" s="22">
        <f>VLOOKUP(TablaCalificaciones[[#This Row],[Coherencia y manejo del tiempo]],PESOS!A$25:B$29,2,0)</f>
        <v>10</v>
      </c>
      <c r="AC344" s="1"/>
      <c r="AD344" s="1" t="s">
        <v>45</v>
      </c>
      <c r="AE344" s="22">
        <f>VLOOKUP(TablaCalificaciones[[#This Row],[Diapositivas como apoyo]],PESOS!A$25:B$29,2,0)</f>
        <v>10</v>
      </c>
      <c r="AF344" s="1"/>
      <c r="AG344" s="1" t="s">
        <v>45</v>
      </c>
      <c r="AH344" s="22">
        <f>VLOOKUP(TablaCalificaciones[[#This Row],[Respuestas a preguntas]],PESOS!A$25:B$29,2,0)</f>
        <v>10</v>
      </c>
      <c r="AI344" s="1"/>
      <c r="AJ344" s="1" t="s">
        <v>45</v>
      </c>
      <c r="AK344" s="22">
        <f>VLOOKUP(TablaCalificaciones[[#This Row],[Cierre: aporte a próximos pasos]],PESOS!A$25:B$29,2,0)</f>
        <v>10</v>
      </c>
      <c r="AL344" s="1"/>
      <c r="AM344" s="1"/>
    </row>
    <row r="345" spans="1:39">
      <c r="A345">
        <v>347</v>
      </c>
      <c r="B345" s="2">
        <v>46135.456469907404</v>
      </c>
      <c r="C345" s="2">
        <v>46135.456898148099</v>
      </c>
      <c r="D345" s="1" t="s">
        <v>54</v>
      </c>
      <c r="E345" s="1" t="s">
        <v>55</v>
      </c>
      <c r="G345" s="1"/>
      <c r="H345" s="2"/>
      <c r="I345" s="1" t="s">
        <v>229</v>
      </c>
      <c r="K345" s="1"/>
      <c r="L345" s="1" t="s">
        <v>56</v>
      </c>
      <c r="M345" s="26" t="str">
        <f>CONCATENATE(TablaCalificaciones[[#This Row],[Seleccione su nombre (Evaluador)]],TablaCalificaciones[[#This Row],[Seleccione el nombre del Estudiante]])</f>
        <v>Marco Antonio Galarza CastilloSalazar Guallichico José Luis</v>
      </c>
      <c r="N345" s="1"/>
      <c r="O345" s="1" t="s">
        <v>255</v>
      </c>
      <c r="Q345" s="1"/>
      <c r="R345" s="1" t="s">
        <v>44</v>
      </c>
      <c r="S345" s="22">
        <f>VLOOKUP(TablaCalificaciones[[#This Row],[Apertura: problema y objetivo ]],PESOS!A$16:B$20,2,0)</f>
        <v>20</v>
      </c>
      <c r="T345" s="1"/>
      <c r="U345" s="1" t="s">
        <v>44</v>
      </c>
      <c r="V345" s="22">
        <f>VLOOKUP(TablaCalificaciones[[#This Row],[Metodología (nivel adecuado)]],PESOS!A$16:B$20,2,0)</f>
        <v>20</v>
      </c>
      <c r="W345" s="1"/>
      <c r="X345" s="1" t="s">
        <v>44</v>
      </c>
      <c r="Y345" s="22">
        <f>VLOOKUP(TablaCalificaciones[[#This Row],[Resultados y evidencia ]],PESOS!A$16:B$20,2,0)</f>
        <v>20</v>
      </c>
      <c r="Z345" s="1"/>
      <c r="AA345" s="1" t="s">
        <v>45</v>
      </c>
      <c r="AB345" s="22">
        <f>VLOOKUP(TablaCalificaciones[[#This Row],[Coherencia y manejo del tiempo]],PESOS!A$25:B$29,2,0)</f>
        <v>10</v>
      </c>
      <c r="AC345" s="1"/>
      <c r="AD345" s="1" t="s">
        <v>45</v>
      </c>
      <c r="AE345" s="22">
        <f>VLOOKUP(TablaCalificaciones[[#This Row],[Diapositivas como apoyo]],PESOS!A$25:B$29,2,0)</f>
        <v>10</v>
      </c>
      <c r="AF345" s="1"/>
      <c r="AG345" s="1" t="s">
        <v>45</v>
      </c>
      <c r="AH345" s="22">
        <f>VLOOKUP(TablaCalificaciones[[#This Row],[Respuestas a preguntas]],PESOS!A$25:B$29,2,0)</f>
        <v>10</v>
      </c>
      <c r="AI345" s="1"/>
      <c r="AJ345" s="1" t="s">
        <v>45</v>
      </c>
      <c r="AK345" s="22">
        <f>VLOOKUP(TablaCalificaciones[[#This Row],[Cierre: aporte a próximos pasos]],PESOS!A$25:B$29,2,0)</f>
        <v>10</v>
      </c>
      <c r="AL345" s="1"/>
      <c r="AM345" s="1"/>
    </row>
    <row r="346" spans="1:39">
      <c r="A346">
        <v>335</v>
      </c>
      <c r="B346" s="2">
        <v>46135.413680555597</v>
      </c>
      <c r="C346" s="2">
        <v>46135.414490740703</v>
      </c>
      <c r="D346" s="1" t="s">
        <v>173</v>
      </c>
      <c r="E346" s="1" t="s">
        <v>174</v>
      </c>
      <c r="G346" s="1"/>
      <c r="H346" s="2"/>
      <c r="I346" s="1" t="s">
        <v>229</v>
      </c>
      <c r="K346" s="1"/>
      <c r="L346" s="1" t="s">
        <v>174</v>
      </c>
      <c r="M346" s="26" t="str">
        <f>CONCATENATE(TablaCalificaciones[[#This Row],[Seleccione su nombre (Evaluador)]],TablaCalificaciones[[#This Row],[Seleccione el nombre del Estudiante]])</f>
        <v>Pavlova SigchaJiménez Soto Luis Javier</v>
      </c>
      <c r="N346" s="1"/>
      <c r="O346" s="1" t="s">
        <v>245</v>
      </c>
      <c r="Q346" s="1"/>
      <c r="R346" s="1" t="s">
        <v>44</v>
      </c>
      <c r="S346" s="22">
        <f>VLOOKUP(TablaCalificaciones[[#This Row],[Apertura: problema y objetivo ]],PESOS!A$16:B$20,2,0)</f>
        <v>20</v>
      </c>
      <c r="T346" s="1"/>
      <c r="U346" s="1" t="s">
        <v>44</v>
      </c>
      <c r="V346" s="22">
        <f>VLOOKUP(TablaCalificaciones[[#This Row],[Metodología (nivel adecuado)]],PESOS!A$16:B$20,2,0)</f>
        <v>20</v>
      </c>
      <c r="W346" s="1"/>
      <c r="X346" s="1" t="s">
        <v>44</v>
      </c>
      <c r="Y346" s="22">
        <f>VLOOKUP(TablaCalificaciones[[#This Row],[Resultados y evidencia ]],PESOS!A$16:B$20,2,0)</f>
        <v>20</v>
      </c>
      <c r="Z346" s="1"/>
      <c r="AA346" s="1" t="s">
        <v>45</v>
      </c>
      <c r="AB346" s="22">
        <f>VLOOKUP(TablaCalificaciones[[#This Row],[Coherencia y manejo del tiempo]],PESOS!A$25:B$29,2,0)</f>
        <v>10</v>
      </c>
      <c r="AC346" s="1"/>
      <c r="AD346" s="1" t="s">
        <v>45</v>
      </c>
      <c r="AE346" s="22">
        <f>VLOOKUP(TablaCalificaciones[[#This Row],[Diapositivas como apoyo]],PESOS!A$25:B$29,2,0)</f>
        <v>10</v>
      </c>
      <c r="AF346" s="1"/>
      <c r="AG346" s="1" t="s">
        <v>45</v>
      </c>
      <c r="AH346" s="22">
        <f>VLOOKUP(TablaCalificaciones[[#This Row],[Respuestas a preguntas]],PESOS!A$25:B$29,2,0)</f>
        <v>10</v>
      </c>
      <c r="AI346" s="1"/>
      <c r="AJ346" s="1" t="s">
        <v>45</v>
      </c>
      <c r="AK346" s="22">
        <f>VLOOKUP(TablaCalificaciones[[#This Row],[Cierre: aporte a próximos pasos]],PESOS!A$25:B$29,2,0)</f>
        <v>10</v>
      </c>
      <c r="AL346" s="1"/>
      <c r="AM346" s="1"/>
    </row>
    <row r="347" spans="1:39">
      <c r="A347">
        <v>349</v>
      </c>
      <c r="B347" s="2">
        <v>46135.473854166703</v>
      </c>
      <c r="C347" s="2">
        <v>46135.474259259303</v>
      </c>
      <c r="D347" s="1" t="s">
        <v>54</v>
      </c>
      <c r="E347" s="1" t="s">
        <v>55</v>
      </c>
      <c r="G347" s="1"/>
      <c r="H347" s="2"/>
      <c r="I347" s="1" t="s">
        <v>229</v>
      </c>
      <c r="K347" s="1"/>
      <c r="L347" s="1" t="s">
        <v>56</v>
      </c>
      <c r="M347" s="26" t="str">
        <f>CONCATENATE(TablaCalificaciones[[#This Row],[Seleccione su nombre (Evaluador)]],TablaCalificaciones[[#This Row],[Seleccione el nombre del Estudiante]])</f>
        <v>Marco Antonio Galarza CastilloCarrasco Meneses Johan Marcelo</v>
      </c>
      <c r="N347" s="1"/>
      <c r="O347" s="1" t="s">
        <v>256</v>
      </c>
      <c r="Q347" s="1"/>
      <c r="R347" s="1" t="s">
        <v>44</v>
      </c>
      <c r="S347" s="22">
        <f>VLOOKUP(TablaCalificaciones[[#This Row],[Apertura: problema y objetivo ]],PESOS!A$16:B$20,2,0)</f>
        <v>20</v>
      </c>
      <c r="T347" s="1"/>
      <c r="U347" s="1" t="s">
        <v>50</v>
      </c>
      <c r="V347" s="22">
        <f>VLOOKUP(TablaCalificaciones[[#This Row],[Metodología (nivel adecuado)]],PESOS!A$16:B$20,2,0)</f>
        <v>16</v>
      </c>
      <c r="W347" s="1"/>
      <c r="X347" s="1" t="s">
        <v>50</v>
      </c>
      <c r="Y347" s="22">
        <f>VLOOKUP(TablaCalificaciones[[#This Row],[Resultados y evidencia ]],PESOS!A$16:B$20,2,0)</f>
        <v>16</v>
      </c>
      <c r="Z347" s="1"/>
      <c r="AA347" s="1" t="s">
        <v>45</v>
      </c>
      <c r="AB347" s="22">
        <f>VLOOKUP(TablaCalificaciones[[#This Row],[Coherencia y manejo del tiempo]],PESOS!A$25:B$29,2,0)</f>
        <v>10</v>
      </c>
      <c r="AC347" s="1"/>
      <c r="AD347" s="1" t="s">
        <v>45</v>
      </c>
      <c r="AE347" s="22">
        <f>VLOOKUP(TablaCalificaciones[[#This Row],[Diapositivas como apoyo]],PESOS!A$25:B$29,2,0)</f>
        <v>10</v>
      </c>
      <c r="AF347" s="1"/>
      <c r="AG347" s="1" t="s">
        <v>51</v>
      </c>
      <c r="AH347" s="22">
        <f>VLOOKUP(TablaCalificaciones[[#This Row],[Respuestas a preguntas]],PESOS!A$25:B$29,2,0)</f>
        <v>8</v>
      </c>
      <c r="AI347" s="1"/>
      <c r="AJ347" s="1" t="s">
        <v>45</v>
      </c>
      <c r="AK347" s="22">
        <f>VLOOKUP(TablaCalificaciones[[#This Row],[Cierre: aporte a próximos pasos]],PESOS!A$25:B$29,2,0)</f>
        <v>10</v>
      </c>
      <c r="AL347" s="1"/>
      <c r="AM347" s="1"/>
    </row>
    <row r="348" spans="1:39">
      <c r="A348">
        <v>350</v>
      </c>
      <c r="B348" s="2">
        <v>46135.4742708333</v>
      </c>
      <c r="C348" s="2">
        <v>46135.474641203698</v>
      </c>
      <c r="D348" s="1" t="s">
        <v>54</v>
      </c>
      <c r="E348" s="1" t="s">
        <v>55</v>
      </c>
      <c r="G348" s="1"/>
      <c r="H348" s="2"/>
      <c r="I348" s="1" t="s">
        <v>229</v>
      </c>
      <c r="K348" s="1"/>
      <c r="L348" s="1" t="s">
        <v>56</v>
      </c>
      <c r="M348" s="26" t="str">
        <f>CONCATENATE(TablaCalificaciones[[#This Row],[Seleccione su nombre (Evaluador)]],TablaCalificaciones[[#This Row],[Seleccione el nombre del Estudiante]])</f>
        <v>Marco Antonio Galarza CastilloGuillen Balarezo David Andrés</v>
      </c>
      <c r="N348" s="1"/>
      <c r="O348" s="1" t="s">
        <v>257</v>
      </c>
      <c r="Q348" s="1"/>
      <c r="R348" s="1" t="s">
        <v>44</v>
      </c>
      <c r="S348" s="22">
        <f>VLOOKUP(TablaCalificaciones[[#This Row],[Apertura: problema y objetivo ]],PESOS!A$16:B$20,2,0)</f>
        <v>20</v>
      </c>
      <c r="T348" s="1"/>
      <c r="U348" s="1" t="s">
        <v>50</v>
      </c>
      <c r="V348" s="22">
        <f>VLOOKUP(TablaCalificaciones[[#This Row],[Metodología (nivel adecuado)]],PESOS!A$16:B$20,2,0)</f>
        <v>16</v>
      </c>
      <c r="W348" s="1"/>
      <c r="X348" s="1" t="s">
        <v>50</v>
      </c>
      <c r="Y348" s="22">
        <f>VLOOKUP(TablaCalificaciones[[#This Row],[Resultados y evidencia ]],PESOS!A$16:B$20,2,0)</f>
        <v>16</v>
      </c>
      <c r="Z348" s="1"/>
      <c r="AA348" s="1" t="s">
        <v>45</v>
      </c>
      <c r="AB348" s="22">
        <f>VLOOKUP(TablaCalificaciones[[#This Row],[Coherencia y manejo del tiempo]],PESOS!A$25:B$29,2,0)</f>
        <v>10</v>
      </c>
      <c r="AC348" s="1"/>
      <c r="AD348" s="1" t="s">
        <v>45</v>
      </c>
      <c r="AE348" s="22">
        <f>VLOOKUP(TablaCalificaciones[[#This Row],[Diapositivas como apoyo]],PESOS!A$25:B$29,2,0)</f>
        <v>10</v>
      </c>
      <c r="AF348" s="1"/>
      <c r="AG348" s="1" t="s">
        <v>51</v>
      </c>
      <c r="AH348" s="22">
        <f>VLOOKUP(TablaCalificaciones[[#This Row],[Respuestas a preguntas]],PESOS!A$25:B$29,2,0)</f>
        <v>8</v>
      </c>
      <c r="AI348" s="1"/>
      <c r="AJ348" s="1" t="s">
        <v>45</v>
      </c>
      <c r="AK348" s="22">
        <f>VLOOKUP(TablaCalificaciones[[#This Row],[Cierre: aporte a próximos pasos]],PESOS!A$25:B$29,2,0)</f>
        <v>10</v>
      </c>
      <c r="AL348" s="1"/>
      <c r="AM348" s="1"/>
    </row>
    <row r="349" spans="1:39">
      <c r="A349">
        <v>351</v>
      </c>
      <c r="B349" s="2">
        <v>46135.474664351903</v>
      </c>
      <c r="C349" s="2">
        <v>46135.474965277797</v>
      </c>
      <c r="D349" s="1" t="s">
        <v>54</v>
      </c>
      <c r="E349" s="1" t="s">
        <v>55</v>
      </c>
      <c r="G349" s="1"/>
      <c r="H349" s="2"/>
      <c r="I349" s="1" t="s">
        <v>229</v>
      </c>
      <c r="K349" s="1"/>
      <c r="L349" s="1" t="s">
        <v>56</v>
      </c>
      <c r="M349" s="26" t="str">
        <f>CONCATENATE(TablaCalificaciones[[#This Row],[Seleccione su nombre (Evaluador)]],TablaCalificaciones[[#This Row],[Seleccione el nombre del Estudiante]])</f>
        <v>Marco Antonio Galarza CastilloTrujillo Robalino David Antonio</v>
      </c>
      <c r="N349" s="1"/>
      <c r="O349" s="1" t="s">
        <v>258</v>
      </c>
      <c r="Q349" s="1"/>
      <c r="R349" s="1" t="s">
        <v>44</v>
      </c>
      <c r="S349" s="22">
        <f>VLOOKUP(TablaCalificaciones[[#This Row],[Apertura: problema y objetivo ]],PESOS!A$16:B$20,2,0)</f>
        <v>20</v>
      </c>
      <c r="T349" s="1"/>
      <c r="U349" s="1" t="s">
        <v>50</v>
      </c>
      <c r="V349" s="22">
        <f>VLOOKUP(TablaCalificaciones[[#This Row],[Metodología (nivel adecuado)]],PESOS!A$16:B$20,2,0)</f>
        <v>16</v>
      </c>
      <c r="W349" s="1"/>
      <c r="X349" s="1" t="s">
        <v>50</v>
      </c>
      <c r="Y349" s="22">
        <f>VLOOKUP(TablaCalificaciones[[#This Row],[Resultados y evidencia ]],PESOS!A$16:B$20,2,0)</f>
        <v>16</v>
      </c>
      <c r="Z349" s="1"/>
      <c r="AA349" s="1" t="s">
        <v>45</v>
      </c>
      <c r="AB349" s="22">
        <f>VLOOKUP(TablaCalificaciones[[#This Row],[Coherencia y manejo del tiempo]],PESOS!A$25:B$29,2,0)</f>
        <v>10</v>
      </c>
      <c r="AC349" s="1"/>
      <c r="AD349" s="1" t="s">
        <v>45</v>
      </c>
      <c r="AE349" s="22">
        <f>VLOOKUP(TablaCalificaciones[[#This Row],[Diapositivas como apoyo]],PESOS!A$25:B$29,2,0)</f>
        <v>10</v>
      </c>
      <c r="AF349" s="1"/>
      <c r="AG349" s="1" t="s">
        <v>51</v>
      </c>
      <c r="AH349" s="22">
        <f>VLOOKUP(TablaCalificaciones[[#This Row],[Respuestas a preguntas]],PESOS!A$25:B$29,2,0)</f>
        <v>8</v>
      </c>
      <c r="AI349" s="1"/>
      <c r="AJ349" s="1" t="s">
        <v>45</v>
      </c>
      <c r="AK349" s="22">
        <f>VLOOKUP(TablaCalificaciones[[#This Row],[Cierre: aporte a próximos pasos]],PESOS!A$25:B$29,2,0)</f>
        <v>10</v>
      </c>
      <c r="AL349" s="1"/>
      <c r="AM349" s="1"/>
    </row>
    <row r="350" spans="1:39">
      <c r="A350">
        <v>352</v>
      </c>
      <c r="B350" s="2">
        <v>46135.4746296296</v>
      </c>
      <c r="C350" s="2">
        <v>46135.477303240703</v>
      </c>
      <c r="D350" s="1" t="s">
        <v>259</v>
      </c>
      <c r="E350" s="1" t="s">
        <v>260</v>
      </c>
      <c r="G350" s="1"/>
      <c r="H350" s="2"/>
      <c r="I350" s="1" t="s">
        <v>229</v>
      </c>
      <c r="K350" s="1"/>
      <c r="L350" s="1" t="s">
        <v>261</v>
      </c>
      <c r="M350" s="26" t="str">
        <f>CONCATENATE(TablaCalificaciones[[#This Row],[Seleccione su nombre (Evaluador)]],TablaCalificaciones[[#This Row],[Seleccione el nombre del Estudiante]])</f>
        <v>Erislán MartínezCarrasco Meneses Johan Marcelo</v>
      </c>
      <c r="N350" s="1"/>
      <c r="O350" s="1" t="s">
        <v>256</v>
      </c>
      <c r="Q350" s="1"/>
      <c r="R350" s="1" t="s">
        <v>44</v>
      </c>
      <c r="S350" s="22">
        <f>VLOOKUP(TablaCalificaciones[[#This Row],[Apertura: problema y objetivo ]],PESOS!A$16:B$20,2,0)</f>
        <v>20</v>
      </c>
      <c r="T350" s="1"/>
      <c r="U350" s="1" t="s">
        <v>44</v>
      </c>
      <c r="V350" s="22">
        <f>VLOOKUP(TablaCalificaciones[[#This Row],[Metodología (nivel adecuado)]],PESOS!A$16:B$20,2,0)</f>
        <v>20</v>
      </c>
      <c r="W350" s="1"/>
      <c r="X350" s="1" t="s">
        <v>44</v>
      </c>
      <c r="Y350" s="22">
        <f>VLOOKUP(TablaCalificaciones[[#This Row],[Resultados y evidencia ]],PESOS!A$16:B$20,2,0)</f>
        <v>20</v>
      </c>
      <c r="Z350" s="1"/>
      <c r="AA350" s="1" t="s">
        <v>45</v>
      </c>
      <c r="AB350" s="22">
        <f>VLOOKUP(TablaCalificaciones[[#This Row],[Coherencia y manejo del tiempo]],PESOS!A$25:B$29,2,0)</f>
        <v>10</v>
      </c>
      <c r="AC350" s="1"/>
      <c r="AD350" s="1" t="s">
        <v>45</v>
      </c>
      <c r="AE350" s="22">
        <f>VLOOKUP(TablaCalificaciones[[#This Row],[Diapositivas como apoyo]],PESOS!A$25:B$29,2,0)</f>
        <v>10</v>
      </c>
      <c r="AF350" s="1"/>
      <c r="AG350" s="1" t="s">
        <v>83</v>
      </c>
      <c r="AH350" s="22">
        <f>VLOOKUP(TablaCalificaciones[[#This Row],[Respuestas a preguntas]],PESOS!A$25:B$29,2,0)</f>
        <v>6</v>
      </c>
      <c r="AI350" s="1"/>
      <c r="AJ350" s="1" t="s">
        <v>45</v>
      </c>
      <c r="AK350" s="22">
        <f>VLOOKUP(TablaCalificaciones[[#This Row],[Cierre: aporte a próximos pasos]],PESOS!A$25:B$29,2,0)</f>
        <v>10</v>
      </c>
      <c r="AL350" s="1"/>
      <c r="AM350" s="1"/>
    </row>
    <row r="351" spans="1:39">
      <c r="A351">
        <v>353</v>
      </c>
      <c r="B351" s="2">
        <v>46135.477337962999</v>
      </c>
      <c r="C351" s="2">
        <v>46135.478148148097</v>
      </c>
      <c r="D351" s="1" t="s">
        <v>259</v>
      </c>
      <c r="E351" s="1" t="s">
        <v>260</v>
      </c>
      <c r="G351" s="1"/>
      <c r="H351" s="2"/>
      <c r="I351" s="1" t="s">
        <v>229</v>
      </c>
      <c r="K351" s="1"/>
      <c r="L351" s="1" t="s">
        <v>261</v>
      </c>
      <c r="M351" s="26" t="str">
        <f>CONCATENATE(TablaCalificaciones[[#This Row],[Seleccione su nombre (Evaluador)]],TablaCalificaciones[[#This Row],[Seleccione el nombre del Estudiante]])</f>
        <v>Erislán MartínezGuillen Balarezo David Andrés</v>
      </c>
      <c r="N351" s="1"/>
      <c r="O351" s="1" t="s">
        <v>257</v>
      </c>
      <c r="Q351" s="1"/>
      <c r="R351" s="1" t="s">
        <v>44</v>
      </c>
      <c r="S351" s="22">
        <f>VLOOKUP(TablaCalificaciones[[#This Row],[Apertura: problema y objetivo ]],PESOS!A$16:B$20,2,0)</f>
        <v>20</v>
      </c>
      <c r="T351" s="1"/>
      <c r="U351" s="1" t="s">
        <v>44</v>
      </c>
      <c r="V351" s="22">
        <f>VLOOKUP(TablaCalificaciones[[#This Row],[Metodología (nivel adecuado)]],PESOS!A$16:B$20,2,0)</f>
        <v>20</v>
      </c>
      <c r="W351" s="1"/>
      <c r="X351" s="1" t="s">
        <v>44</v>
      </c>
      <c r="Y351" s="22">
        <f>VLOOKUP(TablaCalificaciones[[#This Row],[Resultados y evidencia ]],PESOS!A$16:B$20,2,0)</f>
        <v>20</v>
      </c>
      <c r="Z351" s="1"/>
      <c r="AA351" s="1" t="s">
        <v>45</v>
      </c>
      <c r="AB351" s="22">
        <f>VLOOKUP(TablaCalificaciones[[#This Row],[Coherencia y manejo del tiempo]],PESOS!A$25:B$29,2,0)</f>
        <v>10</v>
      </c>
      <c r="AC351" s="1"/>
      <c r="AD351" s="1" t="s">
        <v>45</v>
      </c>
      <c r="AE351" s="22">
        <f>VLOOKUP(TablaCalificaciones[[#This Row],[Diapositivas como apoyo]],PESOS!A$25:B$29,2,0)</f>
        <v>10</v>
      </c>
      <c r="AF351" s="1"/>
      <c r="AG351" s="1" t="s">
        <v>45</v>
      </c>
      <c r="AH351" s="22">
        <f>VLOOKUP(TablaCalificaciones[[#This Row],[Respuestas a preguntas]],PESOS!A$25:B$29,2,0)</f>
        <v>10</v>
      </c>
      <c r="AI351" s="1"/>
      <c r="AJ351" s="1" t="s">
        <v>45</v>
      </c>
      <c r="AK351" s="22">
        <f>VLOOKUP(TablaCalificaciones[[#This Row],[Cierre: aporte a próximos pasos]],PESOS!A$25:B$29,2,0)</f>
        <v>10</v>
      </c>
      <c r="AL351" s="1"/>
      <c r="AM351" s="1"/>
    </row>
    <row r="352" spans="1:39">
      <c r="A352">
        <v>354</v>
      </c>
      <c r="B352" s="2">
        <v>46135.4782291667</v>
      </c>
      <c r="C352" s="2">
        <v>46135.478865740697</v>
      </c>
      <c r="D352" s="1" t="s">
        <v>259</v>
      </c>
      <c r="E352" s="1" t="s">
        <v>260</v>
      </c>
      <c r="G352" s="1"/>
      <c r="H352" s="2"/>
      <c r="I352" s="1" t="s">
        <v>229</v>
      </c>
      <c r="K352" s="1"/>
      <c r="L352" s="1" t="s">
        <v>261</v>
      </c>
      <c r="M352" s="26" t="str">
        <f>CONCATENATE(TablaCalificaciones[[#This Row],[Seleccione su nombre (Evaluador)]],TablaCalificaciones[[#This Row],[Seleccione el nombre del Estudiante]])</f>
        <v>Erislán MartínezTrujillo Robalino David Antonio</v>
      </c>
      <c r="N352" s="1"/>
      <c r="O352" s="1" t="s">
        <v>258</v>
      </c>
      <c r="Q352" s="1"/>
      <c r="R352" s="1" t="s">
        <v>44</v>
      </c>
      <c r="S352" s="22">
        <f>VLOOKUP(TablaCalificaciones[[#This Row],[Apertura: problema y objetivo ]],PESOS!A$16:B$20,2,0)</f>
        <v>20</v>
      </c>
      <c r="T352" s="1"/>
      <c r="U352" s="1" t="s">
        <v>44</v>
      </c>
      <c r="V352" s="22">
        <f>VLOOKUP(TablaCalificaciones[[#This Row],[Metodología (nivel adecuado)]],PESOS!A$16:B$20,2,0)</f>
        <v>20</v>
      </c>
      <c r="W352" s="1"/>
      <c r="X352" s="1" t="s">
        <v>44</v>
      </c>
      <c r="Y352" s="22">
        <f>VLOOKUP(TablaCalificaciones[[#This Row],[Resultados y evidencia ]],PESOS!A$16:B$20,2,0)</f>
        <v>20</v>
      </c>
      <c r="Z352" s="1"/>
      <c r="AA352" s="1" t="s">
        <v>45</v>
      </c>
      <c r="AB352" s="22">
        <f>VLOOKUP(TablaCalificaciones[[#This Row],[Coherencia y manejo del tiempo]],PESOS!A$25:B$29,2,0)</f>
        <v>10</v>
      </c>
      <c r="AC352" s="1"/>
      <c r="AD352" s="1" t="s">
        <v>45</v>
      </c>
      <c r="AE352" s="22">
        <f>VLOOKUP(TablaCalificaciones[[#This Row],[Diapositivas como apoyo]],PESOS!A$25:B$29,2,0)</f>
        <v>10</v>
      </c>
      <c r="AF352" s="1"/>
      <c r="AG352" s="1" t="s">
        <v>45</v>
      </c>
      <c r="AH352" s="22">
        <f>VLOOKUP(TablaCalificaciones[[#This Row],[Respuestas a preguntas]],PESOS!A$25:B$29,2,0)</f>
        <v>10</v>
      </c>
      <c r="AI352" s="1"/>
      <c r="AJ352" s="1" t="s">
        <v>45</v>
      </c>
      <c r="AK352" s="22">
        <f>VLOOKUP(TablaCalificaciones[[#This Row],[Cierre: aporte a próximos pasos]],PESOS!A$25:B$29,2,0)</f>
        <v>10</v>
      </c>
      <c r="AL352" s="1"/>
      <c r="AM352" s="1"/>
    </row>
    <row r="353" spans="1:39">
      <c r="A353">
        <v>355</v>
      </c>
      <c r="B353" s="2">
        <v>46134.835914351803</v>
      </c>
      <c r="C353" s="2">
        <v>46135.497835648101</v>
      </c>
      <c r="D353" s="1" t="s">
        <v>78</v>
      </c>
      <c r="E353" s="1" t="s">
        <v>79</v>
      </c>
      <c r="G353" s="1"/>
      <c r="H353" s="2"/>
      <c r="I353" s="1" t="s">
        <v>229</v>
      </c>
      <c r="K353" s="1"/>
      <c r="L353" s="1" t="s">
        <v>79</v>
      </c>
      <c r="M353" s="26" t="str">
        <f>CONCATENATE(TablaCalificaciones[[#This Row],[Seleccione su nombre (Evaluador)]],TablaCalificaciones[[#This Row],[Seleccione el nombre del Estudiante]])</f>
        <v>César Alberto Larrea AraujoPérez Toapanta Carlos Ramiro</v>
      </c>
      <c r="N353" s="1"/>
      <c r="O353" s="1" t="s">
        <v>262</v>
      </c>
      <c r="Q353" s="1"/>
      <c r="R353" s="1" t="s">
        <v>44</v>
      </c>
      <c r="S353" s="22">
        <f>VLOOKUP(TablaCalificaciones[[#This Row],[Apertura: problema y objetivo ]],PESOS!A$16:B$20,2,0)</f>
        <v>20</v>
      </c>
      <c r="T353" s="1"/>
      <c r="U353" s="1" t="s">
        <v>44</v>
      </c>
      <c r="V353" s="22">
        <f>VLOOKUP(TablaCalificaciones[[#This Row],[Metodología (nivel adecuado)]],PESOS!A$16:B$20,2,0)</f>
        <v>20</v>
      </c>
      <c r="W353" s="1"/>
      <c r="X353" s="1" t="s">
        <v>44</v>
      </c>
      <c r="Y353" s="22">
        <f>VLOOKUP(TablaCalificaciones[[#This Row],[Resultados y evidencia ]],PESOS!A$16:B$20,2,0)</f>
        <v>20</v>
      </c>
      <c r="Z353" s="1"/>
      <c r="AA353" s="1" t="s">
        <v>45</v>
      </c>
      <c r="AB353" s="22">
        <f>VLOOKUP(TablaCalificaciones[[#This Row],[Coherencia y manejo del tiempo]],PESOS!A$25:B$29,2,0)</f>
        <v>10</v>
      </c>
      <c r="AC353" s="1"/>
      <c r="AD353" s="1" t="s">
        <v>51</v>
      </c>
      <c r="AE353" s="22">
        <f>VLOOKUP(TablaCalificaciones[[#This Row],[Diapositivas como apoyo]],PESOS!A$25:B$29,2,0)</f>
        <v>8</v>
      </c>
      <c r="AF353" s="1"/>
      <c r="AG353" s="1" t="s">
        <v>45</v>
      </c>
      <c r="AH353" s="22">
        <f>VLOOKUP(TablaCalificaciones[[#This Row],[Respuestas a preguntas]],PESOS!A$25:B$29,2,0)</f>
        <v>10</v>
      </c>
      <c r="AI353" s="1"/>
      <c r="AJ353" s="1" t="s">
        <v>45</v>
      </c>
      <c r="AK353" s="22">
        <f>VLOOKUP(TablaCalificaciones[[#This Row],[Cierre: aporte a próximos pasos]],PESOS!A$25:B$29,2,0)</f>
        <v>10</v>
      </c>
      <c r="AL353" s="1"/>
      <c r="AM353" s="1"/>
    </row>
    <row r="354" spans="1:39">
      <c r="A354">
        <v>356</v>
      </c>
      <c r="B354" s="2">
        <v>46135.479375000003</v>
      </c>
      <c r="C354" s="2">
        <v>46135.497893518499</v>
      </c>
      <c r="D354" s="1" t="s">
        <v>59</v>
      </c>
      <c r="E354" s="1" t="s">
        <v>60</v>
      </c>
      <c r="G354" s="1"/>
      <c r="H354" s="2"/>
      <c r="I354" s="1" t="s">
        <v>229</v>
      </c>
      <c r="K354" s="1"/>
      <c r="L354" s="1" t="s">
        <v>60</v>
      </c>
      <c r="M354" s="26" t="str">
        <f>CONCATENATE(TablaCalificaciones[[#This Row],[Seleccione su nombre (Evaluador)]],TablaCalificaciones[[#This Row],[Seleccione el nombre del Estudiante]])</f>
        <v>Santiago Leonardo SolórzanoPérez Toapanta Carlos Ramiro</v>
      </c>
      <c r="N354" s="1"/>
      <c r="O354" s="1" t="s">
        <v>262</v>
      </c>
      <c r="Q354" s="1"/>
      <c r="R354" s="1" t="s">
        <v>44</v>
      </c>
      <c r="S354" s="22">
        <f>VLOOKUP(TablaCalificaciones[[#This Row],[Apertura: problema y objetivo ]],PESOS!A$16:B$20,2,0)</f>
        <v>20</v>
      </c>
      <c r="T354" s="1"/>
      <c r="U354" s="1" t="s">
        <v>44</v>
      </c>
      <c r="V354" s="22">
        <f>VLOOKUP(TablaCalificaciones[[#This Row],[Metodología (nivel adecuado)]],PESOS!A$16:B$20,2,0)</f>
        <v>20</v>
      </c>
      <c r="W354" s="1"/>
      <c r="X354" s="1" t="s">
        <v>50</v>
      </c>
      <c r="Y354" s="22">
        <f>VLOOKUP(TablaCalificaciones[[#This Row],[Resultados y evidencia ]],PESOS!A$16:B$20,2,0)</f>
        <v>16</v>
      </c>
      <c r="Z354" s="1"/>
      <c r="AA354" s="1" t="s">
        <v>51</v>
      </c>
      <c r="AB354" s="22">
        <f>VLOOKUP(TablaCalificaciones[[#This Row],[Coherencia y manejo del tiempo]],PESOS!A$25:B$29,2,0)</f>
        <v>8</v>
      </c>
      <c r="AC354" s="1"/>
      <c r="AD354" s="1" t="s">
        <v>51</v>
      </c>
      <c r="AE354" s="22">
        <f>VLOOKUP(TablaCalificaciones[[#This Row],[Diapositivas como apoyo]],PESOS!A$25:B$29,2,0)</f>
        <v>8</v>
      </c>
      <c r="AF354" s="1"/>
      <c r="AG354" s="1" t="s">
        <v>83</v>
      </c>
      <c r="AH354" s="22">
        <f>VLOOKUP(TablaCalificaciones[[#This Row],[Respuestas a preguntas]],PESOS!A$25:B$29,2,0)</f>
        <v>6</v>
      </c>
      <c r="AI354" s="1"/>
      <c r="AJ354" s="1" t="s">
        <v>51</v>
      </c>
      <c r="AK354" s="22">
        <f>VLOOKUP(TablaCalificaciones[[#This Row],[Cierre: aporte a próximos pasos]],PESOS!A$25:B$29,2,0)</f>
        <v>8</v>
      </c>
      <c r="AL354" s="1"/>
      <c r="AM354" s="1"/>
    </row>
    <row r="355" spans="1:39">
      <c r="A355">
        <v>357</v>
      </c>
      <c r="B355" s="2">
        <v>46135.486840277801</v>
      </c>
      <c r="C355" s="2">
        <v>46135.498078703698</v>
      </c>
      <c r="D355" s="1" t="s">
        <v>54</v>
      </c>
      <c r="E355" s="1" t="s">
        <v>55</v>
      </c>
      <c r="G355" s="1"/>
      <c r="H355" s="2"/>
      <c r="I355" s="1" t="s">
        <v>229</v>
      </c>
      <c r="K355" s="1"/>
      <c r="L355" s="1" t="s">
        <v>56</v>
      </c>
      <c r="M355" s="26" t="str">
        <f>CONCATENATE(TablaCalificaciones[[#This Row],[Seleccione su nombre (Evaluador)]],TablaCalificaciones[[#This Row],[Seleccione el nombre del Estudiante]])</f>
        <v>Marco Antonio Galarza CastilloPérez Toapanta Carlos Ramiro</v>
      </c>
      <c r="N355" s="1"/>
      <c r="O355" s="1" t="s">
        <v>262</v>
      </c>
      <c r="Q355" s="1"/>
      <c r="R355" s="1" t="s">
        <v>44</v>
      </c>
      <c r="S355" s="22">
        <f>VLOOKUP(TablaCalificaciones[[#This Row],[Apertura: problema y objetivo ]],PESOS!A$16:B$20,2,0)</f>
        <v>20</v>
      </c>
      <c r="T355" s="1"/>
      <c r="U355" s="1" t="s">
        <v>44</v>
      </c>
      <c r="V355" s="22">
        <f>VLOOKUP(TablaCalificaciones[[#This Row],[Metodología (nivel adecuado)]],PESOS!A$16:B$20,2,0)</f>
        <v>20</v>
      </c>
      <c r="W355" s="1"/>
      <c r="X355" s="1" t="s">
        <v>50</v>
      </c>
      <c r="Y355" s="22">
        <f>VLOOKUP(TablaCalificaciones[[#This Row],[Resultados y evidencia ]],PESOS!A$16:B$20,2,0)</f>
        <v>16</v>
      </c>
      <c r="Z355" s="1"/>
      <c r="AA355" s="1" t="s">
        <v>51</v>
      </c>
      <c r="AB355" s="22">
        <f>VLOOKUP(TablaCalificaciones[[#This Row],[Coherencia y manejo del tiempo]],PESOS!A$25:B$29,2,0)</f>
        <v>8</v>
      </c>
      <c r="AC355" s="1"/>
      <c r="AD355" s="1" t="s">
        <v>45</v>
      </c>
      <c r="AE355" s="22">
        <f>VLOOKUP(TablaCalificaciones[[#This Row],[Diapositivas como apoyo]],PESOS!A$25:B$29,2,0)</f>
        <v>10</v>
      </c>
      <c r="AF355" s="1"/>
      <c r="AG355" s="1" t="s">
        <v>51</v>
      </c>
      <c r="AH355" s="22">
        <f>VLOOKUP(TablaCalificaciones[[#This Row],[Respuestas a preguntas]],PESOS!A$25:B$29,2,0)</f>
        <v>8</v>
      </c>
      <c r="AI355" s="1"/>
      <c r="AJ355" s="1" t="s">
        <v>45</v>
      </c>
      <c r="AK355" s="22">
        <f>VLOOKUP(TablaCalificaciones[[#This Row],[Cierre: aporte a próximos pasos]],PESOS!A$25:B$29,2,0)</f>
        <v>10</v>
      </c>
      <c r="AL355" s="1"/>
      <c r="AM355" s="1"/>
    </row>
    <row r="356" spans="1:39">
      <c r="A356">
        <v>513</v>
      </c>
      <c r="B356" s="2">
        <v>46136.558773148201</v>
      </c>
      <c r="C356" s="2">
        <v>46136.559953703698</v>
      </c>
      <c r="D356" s="1" t="s">
        <v>212</v>
      </c>
      <c r="E356" s="1" t="s">
        <v>213</v>
      </c>
      <c r="G356" s="1"/>
      <c r="H356" s="2"/>
      <c r="I356" s="1" t="s">
        <v>134</v>
      </c>
      <c r="K356" s="1"/>
      <c r="L356" s="1" t="s">
        <v>214</v>
      </c>
      <c r="M356" s="26" t="str">
        <f>CONCATENATE(TablaCalificaciones[[#This Row],[Seleccione su nombre (Evaluador)]],TablaCalificaciones[[#This Row],[Seleccione el nombre del Estudiante]])</f>
        <v>Andrea Mariana Escobar GarcíaLeón Narváez Bryan Mateo</v>
      </c>
      <c r="N356" s="1"/>
      <c r="O356" s="1" t="s">
        <v>263</v>
      </c>
      <c r="Q356" s="1"/>
      <c r="R356" s="1" t="s">
        <v>50</v>
      </c>
      <c r="S356" s="22">
        <f>VLOOKUP(TablaCalificaciones[[#This Row],[Apertura: problema y objetivo ]],PESOS!A$16:B$20,2,0)</f>
        <v>16</v>
      </c>
      <c r="T356" s="1"/>
      <c r="U356" s="1" t="s">
        <v>50</v>
      </c>
      <c r="V356" s="22">
        <f>VLOOKUP(TablaCalificaciones[[#This Row],[Metodología (nivel adecuado)]],PESOS!A$16:B$20,2,0)</f>
        <v>16</v>
      </c>
      <c r="W356" s="1"/>
      <c r="X356" s="1" t="s">
        <v>50</v>
      </c>
      <c r="Y356" s="22">
        <f>VLOOKUP(TablaCalificaciones[[#This Row],[Resultados y evidencia ]],PESOS!A$16:B$20,2,0)</f>
        <v>16</v>
      </c>
      <c r="Z356" s="1"/>
      <c r="AA356" s="1" t="s">
        <v>51</v>
      </c>
      <c r="AB356" s="22">
        <f>VLOOKUP(TablaCalificaciones[[#This Row],[Coherencia y manejo del tiempo]],PESOS!A$25:B$29,2,0)</f>
        <v>8</v>
      </c>
      <c r="AC356" s="1"/>
      <c r="AD356" s="1" t="s">
        <v>51</v>
      </c>
      <c r="AE356" s="22">
        <f>VLOOKUP(TablaCalificaciones[[#This Row],[Diapositivas como apoyo]],PESOS!A$25:B$29,2,0)</f>
        <v>8</v>
      </c>
      <c r="AF356" s="1"/>
      <c r="AG356" s="1" t="s">
        <v>51</v>
      </c>
      <c r="AH356" s="22">
        <f>VLOOKUP(TablaCalificaciones[[#This Row],[Respuestas a preguntas]],PESOS!A$25:B$29,2,0)</f>
        <v>8</v>
      </c>
      <c r="AI356" s="1"/>
      <c r="AJ356" s="1" t="s">
        <v>51</v>
      </c>
      <c r="AK356" s="22">
        <f>VLOOKUP(TablaCalificaciones[[#This Row],[Cierre: aporte a próximos pasos]],PESOS!A$25:B$29,2,0)</f>
        <v>8</v>
      </c>
      <c r="AL356" s="1"/>
      <c r="AM356" s="1"/>
    </row>
    <row r="357" spans="1:39">
      <c r="A357">
        <v>360</v>
      </c>
      <c r="B357" s="2">
        <v>46135.512673611098</v>
      </c>
      <c r="C357" s="2">
        <v>46135.513368055603</v>
      </c>
      <c r="D357" s="1" t="s">
        <v>69</v>
      </c>
      <c r="E357" s="1" t="s">
        <v>70</v>
      </c>
      <c r="G357" s="1"/>
      <c r="H357" s="2"/>
      <c r="I357" s="1" t="s">
        <v>229</v>
      </c>
      <c r="K357" s="1"/>
      <c r="L357" s="1" t="s">
        <v>71</v>
      </c>
      <c r="M357" s="26" t="str">
        <f>CONCATENATE(TablaCalificaciones[[#This Row],[Seleccione su nombre (Evaluador)]],TablaCalificaciones[[#This Row],[Seleccione el nombre del Estudiante]])</f>
        <v>Ana Belén Tulcanaza PrietoTerán Ballagán Alisson Camila</v>
      </c>
      <c r="N357" s="1"/>
      <c r="O357" s="1" t="s">
        <v>264</v>
      </c>
      <c r="Q357" s="1"/>
      <c r="R357" s="1" t="s">
        <v>44</v>
      </c>
      <c r="S357" s="22">
        <f>VLOOKUP(TablaCalificaciones[[#This Row],[Apertura: problema y objetivo ]],PESOS!A$16:B$20,2,0)</f>
        <v>20</v>
      </c>
      <c r="T357" s="1"/>
      <c r="U357" s="1" t="s">
        <v>44</v>
      </c>
      <c r="V357" s="22">
        <f>VLOOKUP(TablaCalificaciones[[#This Row],[Metodología (nivel adecuado)]],PESOS!A$16:B$20,2,0)</f>
        <v>20</v>
      </c>
      <c r="W357" s="1"/>
      <c r="X357" s="1" t="s">
        <v>44</v>
      </c>
      <c r="Y357" s="22">
        <f>VLOOKUP(TablaCalificaciones[[#This Row],[Resultados y evidencia ]],PESOS!A$16:B$20,2,0)</f>
        <v>20</v>
      </c>
      <c r="Z357" s="1"/>
      <c r="AA357" s="1" t="s">
        <v>45</v>
      </c>
      <c r="AB357" s="22">
        <f>VLOOKUP(TablaCalificaciones[[#This Row],[Coherencia y manejo del tiempo]],PESOS!A$25:B$29,2,0)</f>
        <v>10</v>
      </c>
      <c r="AC357" s="1"/>
      <c r="AD357" s="1" t="s">
        <v>45</v>
      </c>
      <c r="AE357" s="22">
        <f>VLOOKUP(TablaCalificaciones[[#This Row],[Diapositivas como apoyo]],PESOS!A$25:B$29,2,0)</f>
        <v>10</v>
      </c>
      <c r="AF357" s="1"/>
      <c r="AG357" s="1" t="s">
        <v>45</v>
      </c>
      <c r="AH357" s="22">
        <f>VLOOKUP(TablaCalificaciones[[#This Row],[Respuestas a preguntas]],PESOS!A$25:B$29,2,0)</f>
        <v>10</v>
      </c>
      <c r="AI357" s="1"/>
      <c r="AJ357" s="1" t="s">
        <v>45</v>
      </c>
      <c r="AK357" s="22">
        <f>VLOOKUP(TablaCalificaciones[[#This Row],[Cierre: aporte a próximos pasos]],PESOS!A$25:B$29,2,0)</f>
        <v>10</v>
      </c>
      <c r="AL357" s="1"/>
      <c r="AM357" s="1"/>
    </row>
    <row r="358" spans="1:39">
      <c r="A358">
        <v>361</v>
      </c>
      <c r="B358" s="2">
        <v>46135.462974536997</v>
      </c>
      <c r="C358" s="2">
        <v>46135.518379629597</v>
      </c>
      <c r="D358" s="1" t="s">
        <v>93</v>
      </c>
      <c r="E358" s="1" t="s">
        <v>94</v>
      </c>
      <c r="G358" s="1"/>
      <c r="H358" s="2"/>
      <c r="I358" s="1" t="s">
        <v>229</v>
      </c>
      <c r="K358" s="1"/>
      <c r="L358" s="1" t="s">
        <v>95</v>
      </c>
      <c r="M358" s="26" t="str">
        <f>CONCATENATE(TablaCalificaciones[[#This Row],[Seleccione su nombre (Evaluador)]],TablaCalificaciones[[#This Row],[Seleccione el nombre del Estudiante]])</f>
        <v>Nelly Patricia Acosta VargasCachipuendo Contero Inti Josue</v>
      </c>
      <c r="N358" s="1"/>
      <c r="O358" s="1" t="s">
        <v>265</v>
      </c>
      <c r="Q358" s="1"/>
      <c r="R358" s="1" t="s">
        <v>50</v>
      </c>
      <c r="S358" s="22">
        <f>VLOOKUP(TablaCalificaciones[[#This Row],[Apertura: problema y objetivo ]],PESOS!A$16:B$20,2,0)</f>
        <v>16</v>
      </c>
      <c r="T358" s="1"/>
      <c r="U358" s="1" t="s">
        <v>50</v>
      </c>
      <c r="V358" s="22">
        <f>VLOOKUP(TablaCalificaciones[[#This Row],[Metodología (nivel adecuado)]],PESOS!A$16:B$20,2,0)</f>
        <v>16</v>
      </c>
      <c r="W358" s="1"/>
      <c r="X358" s="1" t="s">
        <v>50</v>
      </c>
      <c r="Y358" s="22">
        <f>VLOOKUP(TablaCalificaciones[[#This Row],[Resultados y evidencia ]],PESOS!A$16:B$20,2,0)</f>
        <v>16</v>
      </c>
      <c r="Z358" s="1"/>
      <c r="AA358" s="1" t="s">
        <v>51</v>
      </c>
      <c r="AB358" s="22">
        <f>VLOOKUP(TablaCalificaciones[[#This Row],[Coherencia y manejo del tiempo]],PESOS!A$25:B$29,2,0)</f>
        <v>8</v>
      </c>
      <c r="AC358" s="1"/>
      <c r="AD358" s="1" t="s">
        <v>51</v>
      </c>
      <c r="AE358" s="22">
        <f>VLOOKUP(TablaCalificaciones[[#This Row],[Diapositivas como apoyo]],PESOS!A$25:B$29,2,0)</f>
        <v>8</v>
      </c>
      <c r="AF358" s="1"/>
      <c r="AG358" s="1" t="s">
        <v>51</v>
      </c>
      <c r="AH358" s="22">
        <f>VLOOKUP(TablaCalificaciones[[#This Row],[Respuestas a preguntas]],PESOS!A$25:B$29,2,0)</f>
        <v>8</v>
      </c>
      <c r="AI358" s="1"/>
      <c r="AJ358" s="1" t="s">
        <v>51</v>
      </c>
      <c r="AK358" s="22">
        <f>VLOOKUP(TablaCalificaciones[[#This Row],[Cierre: aporte a próximos pasos]],PESOS!A$25:B$29,2,0)</f>
        <v>8</v>
      </c>
      <c r="AL358" s="1"/>
      <c r="AM358" s="1"/>
    </row>
    <row r="359" spans="1:39">
      <c r="A359">
        <v>362</v>
      </c>
      <c r="B359" s="2">
        <v>46135.4952430556</v>
      </c>
      <c r="C359" s="2">
        <v>46135.522013888898</v>
      </c>
      <c r="D359" s="1" t="s">
        <v>266</v>
      </c>
      <c r="E359" s="1" t="s">
        <v>267</v>
      </c>
      <c r="G359" s="1"/>
      <c r="H359" s="2"/>
      <c r="I359" s="1" t="s">
        <v>229</v>
      </c>
      <c r="K359" s="1"/>
      <c r="L359" s="1" t="s">
        <v>267</v>
      </c>
      <c r="M359" s="26" t="str">
        <f>CONCATENATE(TablaCalificaciones[[#This Row],[Seleccione su nombre (Evaluador)]],TablaCalificaciones[[#This Row],[Seleccione el nombre del Estudiante]])</f>
        <v>Hernán Andrés Morales NavarreteTerán Ballagán Alisson Camila</v>
      </c>
      <c r="N359" s="1"/>
      <c r="O359" s="1" t="s">
        <v>264</v>
      </c>
      <c r="Q359" s="1"/>
      <c r="R359" s="1" t="s">
        <v>44</v>
      </c>
      <c r="S359" s="22">
        <f>VLOOKUP(TablaCalificaciones[[#This Row],[Apertura: problema y objetivo ]],PESOS!A$16:B$20,2,0)</f>
        <v>20</v>
      </c>
      <c r="T359" s="1"/>
      <c r="U359" s="1" t="s">
        <v>44</v>
      </c>
      <c r="V359" s="22">
        <f>VLOOKUP(TablaCalificaciones[[#This Row],[Metodología (nivel adecuado)]],PESOS!A$16:B$20,2,0)</f>
        <v>20</v>
      </c>
      <c r="W359" s="1"/>
      <c r="X359" s="1" t="s">
        <v>44</v>
      </c>
      <c r="Y359" s="22">
        <f>VLOOKUP(TablaCalificaciones[[#This Row],[Resultados y evidencia ]],PESOS!A$16:B$20,2,0)</f>
        <v>20</v>
      </c>
      <c r="Z359" s="1"/>
      <c r="AA359" s="1" t="s">
        <v>45</v>
      </c>
      <c r="AB359" s="22">
        <f>VLOOKUP(TablaCalificaciones[[#This Row],[Coherencia y manejo del tiempo]],PESOS!A$25:B$29,2,0)</f>
        <v>10</v>
      </c>
      <c r="AC359" s="1"/>
      <c r="AD359" s="1" t="s">
        <v>45</v>
      </c>
      <c r="AE359" s="22">
        <f>VLOOKUP(TablaCalificaciones[[#This Row],[Diapositivas como apoyo]],PESOS!A$25:B$29,2,0)</f>
        <v>10</v>
      </c>
      <c r="AF359" s="1"/>
      <c r="AG359" s="1" t="s">
        <v>45</v>
      </c>
      <c r="AH359" s="22">
        <f>VLOOKUP(TablaCalificaciones[[#This Row],[Respuestas a preguntas]],PESOS!A$25:B$29,2,0)</f>
        <v>10</v>
      </c>
      <c r="AI359" s="1"/>
      <c r="AJ359" s="1" t="s">
        <v>45</v>
      </c>
      <c r="AK359" s="22">
        <f>VLOOKUP(TablaCalificaciones[[#This Row],[Cierre: aporte a próximos pasos]],PESOS!A$25:B$29,2,0)</f>
        <v>10</v>
      </c>
      <c r="AL359" s="1"/>
      <c r="AM359" s="1"/>
    </row>
    <row r="360" spans="1:39">
      <c r="A360">
        <v>363</v>
      </c>
      <c r="B360" s="2">
        <v>46135.503148148098</v>
      </c>
      <c r="C360" s="2">
        <v>46135.523900462998</v>
      </c>
      <c r="D360" s="1" t="s">
        <v>54</v>
      </c>
      <c r="E360" s="1" t="s">
        <v>55</v>
      </c>
      <c r="G360" s="1"/>
      <c r="H360" s="2"/>
      <c r="I360" s="1" t="s">
        <v>229</v>
      </c>
      <c r="K360" s="1"/>
      <c r="L360" s="1" t="s">
        <v>56</v>
      </c>
      <c r="M360" s="26" t="str">
        <f>CONCATENATE(TablaCalificaciones[[#This Row],[Seleccione su nombre (Evaluador)]],TablaCalificaciones[[#This Row],[Seleccione el nombre del Estudiante]])</f>
        <v>Marco Antonio Galarza CastilloCachipuendo Contero Inti Josue</v>
      </c>
      <c r="N360" s="1"/>
      <c r="O360" s="1" t="s">
        <v>265</v>
      </c>
      <c r="Q360" s="1"/>
      <c r="R360" s="1" t="s">
        <v>44</v>
      </c>
      <c r="S360" s="22">
        <f>VLOOKUP(TablaCalificaciones[[#This Row],[Apertura: problema y objetivo ]],PESOS!A$16:B$20,2,0)</f>
        <v>20</v>
      </c>
      <c r="T360" s="1"/>
      <c r="U360" s="1" t="s">
        <v>44</v>
      </c>
      <c r="V360" s="22">
        <f>VLOOKUP(TablaCalificaciones[[#This Row],[Metodología (nivel adecuado)]],PESOS!A$16:B$20,2,0)</f>
        <v>20</v>
      </c>
      <c r="W360" s="1"/>
      <c r="X360" s="1" t="s">
        <v>44</v>
      </c>
      <c r="Y360" s="22">
        <f>VLOOKUP(TablaCalificaciones[[#This Row],[Resultados y evidencia ]],PESOS!A$16:B$20,2,0)</f>
        <v>20</v>
      </c>
      <c r="Z360" s="1"/>
      <c r="AA360" s="1" t="s">
        <v>51</v>
      </c>
      <c r="AB360" s="22">
        <f>VLOOKUP(TablaCalificaciones[[#This Row],[Coherencia y manejo del tiempo]],PESOS!A$25:B$29,2,0)</f>
        <v>8</v>
      </c>
      <c r="AC360" s="1"/>
      <c r="AD360" s="1" t="s">
        <v>45</v>
      </c>
      <c r="AE360" s="22">
        <f>VLOOKUP(TablaCalificaciones[[#This Row],[Diapositivas como apoyo]],PESOS!A$25:B$29,2,0)</f>
        <v>10</v>
      </c>
      <c r="AF360" s="1"/>
      <c r="AG360" s="1" t="s">
        <v>45</v>
      </c>
      <c r="AH360" s="22">
        <f>VLOOKUP(TablaCalificaciones[[#This Row],[Respuestas a preguntas]],PESOS!A$25:B$29,2,0)</f>
        <v>10</v>
      </c>
      <c r="AI360" s="1"/>
      <c r="AJ360" s="1" t="s">
        <v>45</v>
      </c>
      <c r="AK360" s="22">
        <f>VLOOKUP(TablaCalificaciones[[#This Row],[Cierre: aporte a próximos pasos]],PESOS!A$25:B$29,2,0)</f>
        <v>10</v>
      </c>
      <c r="AL360" s="1"/>
      <c r="AM360" s="1"/>
    </row>
    <row r="361" spans="1:39">
      <c r="A361">
        <v>364</v>
      </c>
      <c r="B361" s="2">
        <v>46135.524236111101</v>
      </c>
      <c r="C361" s="2">
        <v>46135.526481481502</v>
      </c>
      <c r="D361" s="1" t="s">
        <v>93</v>
      </c>
      <c r="E361" s="1" t="s">
        <v>94</v>
      </c>
      <c r="G361" s="1"/>
      <c r="H361" s="2"/>
      <c r="I361" s="1" t="s">
        <v>229</v>
      </c>
      <c r="K361" s="1"/>
      <c r="L361" s="1" t="s">
        <v>95</v>
      </c>
      <c r="M361" s="26" t="str">
        <f>CONCATENATE(TablaCalificaciones[[#This Row],[Seleccione su nombre (Evaluador)]],TablaCalificaciones[[#This Row],[Seleccione el nombre del Estudiante]])</f>
        <v>Nelly Patricia Acosta VargasAvilés Proaño Kevin Patricio</v>
      </c>
      <c r="N361" s="1"/>
      <c r="O361" s="1" t="s">
        <v>268</v>
      </c>
      <c r="Q361" s="1"/>
      <c r="R361" s="1" t="s">
        <v>44</v>
      </c>
      <c r="S361" s="22">
        <f>VLOOKUP(TablaCalificaciones[[#This Row],[Apertura: problema y objetivo ]],PESOS!A$16:B$20,2,0)</f>
        <v>20</v>
      </c>
      <c r="T361" s="1"/>
      <c r="U361" s="1" t="s">
        <v>44</v>
      </c>
      <c r="V361" s="22">
        <f>VLOOKUP(TablaCalificaciones[[#This Row],[Metodología (nivel adecuado)]],PESOS!A$16:B$20,2,0)</f>
        <v>20</v>
      </c>
      <c r="W361" s="1"/>
      <c r="X361" s="1" t="s">
        <v>44</v>
      </c>
      <c r="Y361" s="22">
        <f>VLOOKUP(TablaCalificaciones[[#This Row],[Resultados y evidencia ]],PESOS!A$16:B$20,2,0)</f>
        <v>20</v>
      </c>
      <c r="Z361" s="1"/>
      <c r="AA361" s="1" t="s">
        <v>45</v>
      </c>
      <c r="AB361" s="22">
        <f>VLOOKUP(TablaCalificaciones[[#This Row],[Coherencia y manejo del tiempo]],PESOS!A$25:B$29,2,0)</f>
        <v>10</v>
      </c>
      <c r="AC361" s="1"/>
      <c r="AD361" s="1" t="s">
        <v>45</v>
      </c>
      <c r="AE361" s="22">
        <f>VLOOKUP(TablaCalificaciones[[#This Row],[Diapositivas como apoyo]],PESOS!A$25:B$29,2,0)</f>
        <v>10</v>
      </c>
      <c r="AF361" s="1"/>
      <c r="AG361" s="1" t="s">
        <v>45</v>
      </c>
      <c r="AH361" s="22">
        <f>VLOOKUP(TablaCalificaciones[[#This Row],[Respuestas a preguntas]],PESOS!A$25:B$29,2,0)</f>
        <v>10</v>
      </c>
      <c r="AI361" s="1"/>
      <c r="AJ361" s="1" t="s">
        <v>45</v>
      </c>
      <c r="AK361" s="22">
        <f>VLOOKUP(TablaCalificaciones[[#This Row],[Cierre: aporte a próximos pasos]],PESOS!A$25:B$29,2,0)</f>
        <v>10</v>
      </c>
      <c r="AL361" s="1"/>
      <c r="AM361" s="1"/>
    </row>
    <row r="362" spans="1:39">
      <c r="A362">
        <v>365</v>
      </c>
      <c r="B362" s="2">
        <v>46135.526516203703</v>
      </c>
      <c r="C362" s="2">
        <v>46135.527187500003</v>
      </c>
      <c r="D362" s="1" t="s">
        <v>93</v>
      </c>
      <c r="E362" s="1" t="s">
        <v>94</v>
      </c>
      <c r="G362" s="1"/>
      <c r="H362" s="2"/>
      <c r="I362" s="1" t="s">
        <v>229</v>
      </c>
      <c r="K362" s="1"/>
      <c r="L362" s="1" t="s">
        <v>95</v>
      </c>
      <c r="M362" s="26" t="str">
        <f>CONCATENATE(TablaCalificaciones[[#This Row],[Seleccione su nombre (Evaluador)]],TablaCalificaciones[[#This Row],[Seleccione el nombre del Estudiante]])</f>
        <v>Nelly Patricia Acosta VargasSimbaña Macías Kevin Andrés</v>
      </c>
      <c r="N362" s="1"/>
      <c r="O362" s="1" t="s">
        <v>269</v>
      </c>
      <c r="Q362" s="1"/>
      <c r="R362" s="1" t="s">
        <v>44</v>
      </c>
      <c r="S362" s="22">
        <f>VLOOKUP(TablaCalificaciones[[#This Row],[Apertura: problema y objetivo ]],PESOS!A$16:B$20,2,0)</f>
        <v>20</v>
      </c>
      <c r="T362" s="1"/>
      <c r="U362" s="1" t="s">
        <v>44</v>
      </c>
      <c r="V362" s="22">
        <f>VLOOKUP(TablaCalificaciones[[#This Row],[Metodología (nivel adecuado)]],PESOS!A$16:B$20,2,0)</f>
        <v>20</v>
      </c>
      <c r="W362" s="1"/>
      <c r="X362" s="1" t="s">
        <v>44</v>
      </c>
      <c r="Y362" s="22">
        <f>VLOOKUP(TablaCalificaciones[[#This Row],[Resultados y evidencia ]],PESOS!A$16:B$20,2,0)</f>
        <v>20</v>
      </c>
      <c r="Z362" s="1"/>
      <c r="AA362" s="1" t="s">
        <v>45</v>
      </c>
      <c r="AB362" s="22">
        <f>VLOOKUP(TablaCalificaciones[[#This Row],[Coherencia y manejo del tiempo]],PESOS!A$25:B$29,2,0)</f>
        <v>10</v>
      </c>
      <c r="AC362" s="1"/>
      <c r="AD362" s="1" t="s">
        <v>45</v>
      </c>
      <c r="AE362" s="22">
        <f>VLOOKUP(TablaCalificaciones[[#This Row],[Diapositivas como apoyo]],PESOS!A$25:B$29,2,0)</f>
        <v>10</v>
      </c>
      <c r="AF362" s="1"/>
      <c r="AG362" s="1" t="s">
        <v>45</v>
      </c>
      <c r="AH362" s="22">
        <f>VLOOKUP(TablaCalificaciones[[#This Row],[Respuestas a preguntas]],PESOS!A$25:B$29,2,0)</f>
        <v>10</v>
      </c>
      <c r="AI362" s="1"/>
      <c r="AJ362" s="1" t="s">
        <v>45</v>
      </c>
      <c r="AK362" s="22">
        <f>VLOOKUP(TablaCalificaciones[[#This Row],[Cierre: aporte a próximos pasos]],PESOS!A$25:B$29,2,0)</f>
        <v>10</v>
      </c>
      <c r="AL362" s="1"/>
      <c r="AM362" s="1"/>
    </row>
    <row r="363" spans="1:39">
      <c r="A363">
        <v>366</v>
      </c>
      <c r="B363" s="2">
        <v>46135.537037037</v>
      </c>
      <c r="C363" s="2">
        <v>46135.537592592598</v>
      </c>
      <c r="D363" s="1" t="s">
        <v>87</v>
      </c>
      <c r="E363" s="1" t="s">
        <v>88</v>
      </c>
      <c r="G363" s="1"/>
      <c r="H363" s="2"/>
      <c r="I363" s="1" t="s">
        <v>229</v>
      </c>
      <c r="K363" s="1"/>
      <c r="L363" s="1" t="s">
        <v>88</v>
      </c>
      <c r="M363" s="26" t="str">
        <f>CONCATENATE(TablaCalificaciones[[#This Row],[Seleccione su nombre (Evaluador)]],TablaCalificaciones[[#This Row],[Seleccione el nombre del Estudiante]])</f>
        <v>Ana María Pazmiño DelgadoMontalvo Grunauer Esteban Francisco</v>
      </c>
      <c r="N363" s="1"/>
      <c r="O363" s="1" t="s">
        <v>270</v>
      </c>
      <c r="Q363" s="1"/>
      <c r="R363" s="1" t="s">
        <v>44</v>
      </c>
      <c r="S363" s="22">
        <f>VLOOKUP(TablaCalificaciones[[#This Row],[Apertura: problema y objetivo ]],PESOS!A$16:B$20,2,0)</f>
        <v>20</v>
      </c>
      <c r="T363" s="1"/>
      <c r="U363" s="1" t="s">
        <v>44</v>
      </c>
      <c r="V363" s="22">
        <f>VLOOKUP(TablaCalificaciones[[#This Row],[Metodología (nivel adecuado)]],PESOS!A$16:B$20,2,0)</f>
        <v>20</v>
      </c>
      <c r="W363" s="1"/>
      <c r="X363" s="1" t="s">
        <v>44</v>
      </c>
      <c r="Y363" s="22">
        <f>VLOOKUP(TablaCalificaciones[[#This Row],[Resultados y evidencia ]],PESOS!A$16:B$20,2,0)</f>
        <v>20</v>
      </c>
      <c r="Z363" s="1"/>
      <c r="AA363" s="1" t="s">
        <v>45</v>
      </c>
      <c r="AB363" s="22">
        <f>VLOOKUP(TablaCalificaciones[[#This Row],[Coherencia y manejo del tiempo]],PESOS!A$25:B$29,2,0)</f>
        <v>10</v>
      </c>
      <c r="AC363" s="1"/>
      <c r="AD363" s="1" t="s">
        <v>45</v>
      </c>
      <c r="AE363" s="22">
        <f>VLOOKUP(TablaCalificaciones[[#This Row],[Diapositivas como apoyo]],PESOS!A$25:B$29,2,0)</f>
        <v>10</v>
      </c>
      <c r="AF363" s="1"/>
      <c r="AG363" s="1" t="s">
        <v>51</v>
      </c>
      <c r="AH363" s="22">
        <f>VLOOKUP(TablaCalificaciones[[#This Row],[Respuestas a preguntas]],PESOS!A$25:B$29,2,0)</f>
        <v>8</v>
      </c>
      <c r="AI363" s="1"/>
      <c r="AJ363" s="1" t="s">
        <v>45</v>
      </c>
      <c r="AK363" s="22">
        <f>VLOOKUP(TablaCalificaciones[[#This Row],[Cierre: aporte a próximos pasos]],PESOS!A$25:B$29,2,0)</f>
        <v>10</v>
      </c>
      <c r="AL363" s="1"/>
      <c r="AM363" s="1"/>
    </row>
    <row r="364" spans="1:39">
      <c r="A364">
        <v>367</v>
      </c>
      <c r="B364" s="2">
        <v>46135.513472222199</v>
      </c>
      <c r="C364" s="2">
        <v>46135.5377546296</v>
      </c>
      <c r="D364" s="1" t="s">
        <v>69</v>
      </c>
      <c r="E364" s="1" t="s">
        <v>70</v>
      </c>
      <c r="G364" s="1"/>
      <c r="H364" s="2"/>
      <c r="I364" s="1" t="s">
        <v>229</v>
      </c>
      <c r="K364" s="1"/>
      <c r="L364" s="1" t="s">
        <v>71</v>
      </c>
      <c r="M364" s="26" t="str">
        <f>CONCATENATE(TablaCalificaciones[[#This Row],[Seleccione su nombre (Evaluador)]],TablaCalificaciones[[#This Row],[Seleccione el nombre del Estudiante]])</f>
        <v>Ana Belén Tulcanaza PrietoGarces Fuentes Andrés Steven</v>
      </c>
      <c r="N364" s="1"/>
      <c r="O364" s="1" t="s">
        <v>271</v>
      </c>
      <c r="Q364" s="1"/>
      <c r="R364" s="1" t="s">
        <v>44</v>
      </c>
      <c r="S364" s="22">
        <f>VLOOKUP(TablaCalificaciones[[#This Row],[Apertura: problema y objetivo ]],PESOS!A$16:B$20,2,0)</f>
        <v>20</v>
      </c>
      <c r="T364" s="1"/>
      <c r="U364" s="1" t="s">
        <v>44</v>
      </c>
      <c r="V364" s="22">
        <f>VLOOKUP(TablaCalificaciones[[#This Row],[Metodología (nivel adecuado)]],PESOS!A$16:B$20,2,0)</f>
        <v>20</v>
      </c>
      <c r="W364" s="1"/>
      <c r="X364" s="1" t="s">
        <v>44</v>
      </c>
      <c r="Y364" s="22">
        <f>VLOOKUP(TablaCalificaciones[[#This Row],[Resultados y evidencia ]],PESOS!A$16:B$20,2,0)</f>
        <v>20</v>
      </c>
      <c r="Z364" s="1"/>
      <c r="AA364" s="1" t="s">
        <v>45</v>
      </c>
      <c r="AB364" s="22">
        <f>VLOOKUP(TablaCalificaciones[[#This Row],[Coherencia y manejo del tiempo]],PESOS!A$25:B$29,2,0)</f>
        <v>10</v>
      </c>
      <c r="AC364" s="1"/>
      <c r="AD364" s="1" t="s">
        <v>45</v>
      </c>
      <c r="AE364" s="22">
        <f>VLOOKUP(TablaCalificaciones[[#This Row],[Diapositivas como apoyo]],PESOS!A$25:B$29,2,0)</f>
        <v>10</v>
      </c>
      <c r="AF364" s="1"/>
      <c r="AG364" s="1" t="s">
        <v>45</v>
      </c>
      <c r="AH364" s="22">
        <f>VLOOKUP(TablaCalificaciones[[#This Row],[Respuestas a preguntas]],PESOS!A$25:B$29,2,0)</f>
        <v>10</v>
      </c>
      <c r="AI364" s="1"/>
      <c r="AJ364" s="1" t="s">
        <v>45</v>
      </c>
      <c r="AK364" s="22">
        <f>VLOOKUP(TablaCalificaciones[[#This Row],[Cierre: aporte a próximos pasos]],PESOS!A$25:B$29,2,0)</f>
        <v>10</v>
      </c>
      <c r="AL364" s="1"/>
      <c r="AM364" s="1"/>
    </row>
    <row r="365" spans="1:39">
      <c r="A365">
        <v>368</v>
      </c>
      <c r="B365" s="2">
        <v>46135.513495370396</v>
      </c>
      <c r="C365" s="2">
        <v>46135.537928240701</v>
      </c>
      <c r="D365" s="1" t="s">
        <v>69</v>
      </c>
      <c r="E365" s="1" t="s">
        <v>70</v>
      </c>
      <c r="G365" s="1"/>
      <c r="H365" s="2"/>
      <c r="I365" s="1" t="s">
        <v>229</v>
      </c>
      <c r="K365" s="1"/>
      <c r="L365" s="1" t="s">
        <v>71</v>
      </c>
      <c r="M365" s="26" t="str">
        <f>CONCATENATE(TablaCalificaciones[[#This Row],[Seleccione su nombre (Evaluador)]],TablaCalificaciones[[#This Row],[Seleccione el nombre del Estudiante]])</f>
        <v>Ana Belén Tulcanaza PrietoPonce Jara Juan Diego</v>
      </c>
      <c r="N365" s="1"/>
      <c r="O365" s="1" t="s">
        <v>272</v>
      </c>
      <c r="Q365" s="1"/>
      <c r="R365" s="1" t="s">
        <v>44</v>
      </c>
      <c r="S365" s="22">
        <f>VLOOKUP(TablaCalificaciones[[#This Row],[Apertura: problema y objetivo ]],PESOS!A$16:B$20,2,0)</f>
        <v>20</v>
      </c>
      <c r="T365" s="1"/>
      <c r="U365" s="1" t="s">
        <v>44</v>
      </c>
      <c r="V365" s="22">
        <f>VLOOKUP(TablaCalificaciones[[#This Row],[Metodología (nivel adecuado)]],PESOS!A$16:B$20,2,0)</f>
        <v>20</v>
      </c>
      <c r="W365" s="1"/>
      <c r="X365" s="1" t="s">
        <v>44</v>
      </c>
      <c r="Y365" s="22">
        <f>VLOOKUP(TablaCalificaciones[[#This Row],[Resultados y evidencia ]],PESOS!A$16:B$20,2,0)</f>
        <v>20</v>
      </c>
      <c r="Z365" s="1"/>
      <c r="AA365" s="1" t="s">
        <v>45</v>
      </c>
      <c r="AB365" s="22">
        <f>VLOOKUP(TablaCalificaciones[[#This Row],[Coherencia y manejo del tiempo]],PESOS!A$25:B$29,2,0)</f>
        <v>10</v>
      </c>
      <c r="AC365" s="1"/>
      <c r="AD365" s="1" t="s">
        <v>45</v>
      </c>
      <c r="AE365" s="22">
        <f>VLOOKUP(TablaCalificaciones[[#This Row],[Diapositivas como apoyo]],PESOS!A$25:B$29,2,0)</f>
        <v>10</v>
      </c>
      <c r="AF365" s="1"/>
      <c r="AG365" s="1" t="s">
        <v>45</v>
      </c>
      <c r="AH365" s="22">
        <f>VLOOKUP(TablaCalificaciones[[#This Row],[Respuestas a preguntas]],PESOS!A$25:B$29,2,0)</f>
        <v>10</v>
      </c>
      <c r="AI365" s="1"/>
      <c r="AJ365" s="1" t="s">
        <v>45</v>
      </c>
      <c r="AK365" s="22">
        <f>VLOOKUP(TablaCalificaciones[[#This Row],[Cierre: aporte a próximos pasos]],PESOS!A$25:B$29,2,0)</f>
        <v>10</v>
      </c>
      <c r="AL365" s="1"/>
      <c r="AM365" s="1"/>
    </row>
    <row r="366" spans="1:39">
      <c r="A366">
        <v>369</v>
      </c>
      <c r="B366" s="2">
        <v>46135.537662037001</v>
      </c>
      <c r="C366" s="2">
        <v>46135.538090277798</v>
      </c>
      <c r="D366" s="1" t="s">
        <v>87</v>
      </c>
      <c r="E366" s="1" t="s">
        <v>88</v>
      </c>
      <c r="G366" s="1"/>
      <c r="H366" s="2"/>
      <c r="I366" s="1" t="s">
        <v>229</v>
      </c>
      <c r="K366" s="1"/>
      <c r="L366" s="1" t="s">
        <v>88</v>
      </c>
      <c r="M366" s="26" t="str">
        <f>CONCATENATE(TablaCalificaciones[[#This Row],[Seleccione su nombre (Evaluador)]],TablaCalificaciones[[#This Row],[Seleccione el nombre del Estudiante]])</f>
        <v>Ana María Pazmiño DelgadoCarrillo Herrera Isaac Francisco</v>
      </c>
      <c r="N366" s="1"/>
      <c r="O366" s="1" t="s">
        <v>273</v>
      </c>
      <c r="Q366" s="1"/>
      <c r="R366" s="1" t="s">
        <v>44</v>
      </c>
      <c r="S366" s="22">
        <f>VLOOKUP(TablaCalificaciones[[#This Row],[Apertura: problema y objetivo ]],PESOS!A$16:B$20,2,0)</f>
        <v>20</v>
      </c>
      <c r="T366" s="1"/>
      <c r="U366" s="1" t="s">
        <v>44</v>
      </c>
      <c r="V366" s="22">
        <f>VLOOKUP(TablaCalificaciones[[#This Row],[Metodología (nivel adecuado)]],PESOS!A$16:B$20,2,0)</f>
        <v>20</v>
      </c>
      <c r="W366" s="1"/>
      <c r="X366" s="1" t="s">
        <v>44</v>
      </c>
      <c r="Y366" s="22">
        <f>VLOOKUP(TablaCalificaciones[[#This Row],[Resultados y evidencia ]],PESOS!A$16:B$20,2,0)</f>
        <v>20</v>
      </c>
      <c r="Z366" s="1"/>
      <c r="AA366" s="1" t="s">
        <v>45</v>
      </c>
      <c r="AB366" s="22">
        <f>VLOOKUP(TablaCalificaciones[[#This Row],[Coherencia y manejo del tiempo]],PESOS!A$25:B$29,2,0)</f>
        <v>10</v>
      </c>
      <c r="AC366" s="1"/>
      <c r="AD366" s="1" t="s">
        <v>45</v>
      </c>
      <c r="AE366" s="22">
        <f>VLOOKUP(TablaCalificaciones[[#This Row],[Diapositivas como apoyo]],PESOS!A$25:B$29,2,0)</f>
        <v>10</v>
      </c>
      <c r="AF366" s="1"/>
      <c r="AG366" s="1" t="s">
        <v>51</v>
      </c>
      <c r="AH366" s="22">
        <f>VLOOKUP(TablaCalificaciones[[#This Row],[Respuestas a preguntas]],PESOS!A$25:B$29,2,0)</f>
        <v>8</v>
      </c>
      <c r="AI366" s="1"/>
      <c r="AJ366" s="1" t="s">
        <v>45</v>
      </c>
      <c r="AK366" s="22">
        <f>VLOOKUP(TablaCalificaciones[[#This Row],[Cierre: aporte a próximos pasos]],PESOS!A$25:B$29,2,0)</f>
        <v>10</v>
      </c>
      <c r="AL366" s="1"/>
      <c r="AM366" s="1"/>
    </row>
    <row r="367" spans="1:39">
      <c r="A367">
        <v>370</v>
      </c>
      <c r="B367" s="2">
        <v>46135.513518518499</v>
      </c>
      <c r="C367" s="2">
        <v>46135.538182870398</v>
      </c>
      <c r="D367" s="1" t="s">
        <v>69</v>
      </c>
      <c r="E367" s="1" t="s">
        <v>70</v>
      </c>
      <c r="G367" s="1"/>
      <c r="H367" s="2"/>
      <c r="I367" s="1" t="s">
        <v>229</v>
      </c>
      <c r="K367" s="1"/>
      <c r="L367" s="1" t="s">
        <v>71</v>
      </c>
      <c r="M367" s="26" t="str">
        <f>CONCATENATE(TablaCalificaciones[[#This Row],[Seleccione su nombre (Evaluador)]],TablaCalificaciones[[#This Row],[Seleccione el nombre del Estudiante]])</f>
        <v>Ana Belén Tulcanaza PrietoJácome Ruiz Pablo Andrés</v>
      </c>
      <c r="N367" s="1"/>
      <c r="O367" s="1" t="s">
        <v>274</v>
      </c>
      <c r="Q367" s="1"/>
      <c r="R367" s="1" t="s">
        <v>44</v>
      </c>
      <c r="S367" s="22">
        <f>VLOOKUP(TablaCalificaciones[[#This Row],[Apertura: problema y objetivo ]],PESOS!A$16:B$20,2,0)</f>
        <v>20</v>
      </c>
      <c r="T367" s="1"/>
      <c r="U367" s="1" t="s">
        <v>44</v>
      </c>
      <c r="V367" s="22">
        <f>VLOOKUP(TablaCalificaciones[[#This Row],[Metodología (nivel adecuado)]],PESOS!A$16:B$20,2,0)</f>
        <v>20</v>
      </c>
      <c r="W367" s="1"/>
      <c r="X367" s="1" t="s">
        <v>44</v>
      </c>
      <c r="Y367" s="22">
        <f>VLOOKUP(TablaCalificaciones[[#This Row],[Resultados y evidencia ]],PESOS!A$16:B$20,2,0)</f>
        <v>20</v>
      </c>
      <c r="Z367" s="1"/>
      <c r="AA367" s="1" t="s">
        <v>45</v>
      </c>
      <c r="AB367" s="22">
        <f>VLOOKUP(TablaCalificaciones[[#This Row],[Coherencia y manejo del tiempo]],PESOS!A$25:B$29,2,0)</f>
        <v>10</v>
      </c>
      <c r="AC367" s="1"/>
      <c r="AD367" s="1" t="s">
        <v>45</v>
      </c>
      <c r="AE367" s="22">
        <f>VLOOKUP(TablaCalificaciones[[#This Row],[Diapositivas como apoyo]],PESOS!A$25:B$29,2,0)</f>
        <v>10</v>
      </c>
      <c r="AF367" s="1"/>
      <c r="AG367" s="1" t="s">
        <v>45</v>
      </c>
      <c r="AH367" s="22">
        <f>VLOOKUP(TablaCalificaciones[[#This Row],[Respuestas a preguntas]],PESOS!A$25:B$29,2,0)</f>
        <v>10</v>
      </c>
      <c r="AI367" s="1"/>
      <c r="AJ367" s="1" t="s">
        <v>45</v>
      </c>
      <c r="AK367" s="22">
        <f>VLOOKUP(TablaCalificaciones[[#This Row],[Cierre: aporte a próximos pasos]],PESOS!A$25:B$29,2,0)</f>
        <v>10</v>
      </c>
      <c r="AL367" s="1"/>
      <c r="AM367" s="1"/>
    </row>
    <row r="368" spans="1:39">
      <c r="A368">
        <v>371</v>
      </c>
      <c r="B368" s="2">
        <v>46135.5381597222</v>
      </c>
      <c r="C368" s="2">
        <v>46135.5386574074</v>
      </c>
      <c r="D368" s="1" t="s">
        <v>87</v>
      </c>
      <c r="E368" s="1" t="s">
        <v>88</v>
      </c>
      <c r="G368" s="1"/>
      <c r="H368" s="2"/>
      <c r="I368" s="1" t="s">
        <v>229</v>
      </c>
      <c r="K368" s="1"/>
      <c r="L368" s="1" t="s">
        <v>88</v>
      </c>
      <c r="M368" s="26" t="str">
        <f>CONCATENATE(TablaCalificaciones[[#This Row],[Seleccione su nombre (Evaluador)]],TablaCalificaciones[[#This Row],[Seleccione el nombre del Estudiante]])</f>
        <v>Ana María Pazmiño DelgadoVerdezoto Davalos Kevin Duval</v>
      </c>
      <c r="N368" s="1"/>
      <c r="O368" s="1" t="s">
        <v>275</v>
      </c>
      <c r="Q368" s="1"/>
      <c r="R368" s="1" t="s">
        <v>44</v>
      </c>
      <c r="S368" s="22">
        <f>VLOOKUP(TablaCalificaciones[[#This Row],[Apertura: problema y objetivo ]],PESOS!A$16:B$20,2,0)</f>
        <v>20</v>
      </c>
      <c r="T368" s="1"/>
      <c r="U368" s="1" t="s">
        <v>44</v>
      </c>
      <c r="V368" s="22">
        <f>VLOOKUP(TablaCalificaciones[[#This Row],[Metodología (nivel adecuado)]],PESOS!A$16:B$20,2,0)</f>
        <v>20</v>
      </c>
      <c r="W368" s="1"/>
      <c r="X368" s="1" t="s">
        <v>44</v>
      </c>
      <c r="Y368" s="22">
        <f>VLOOKUP(TablaCalificaciones[[#This Row],[Resultados y evidencia ]],PESOS!A$16:B$20,2,0)</f>
        <v>20</v>
      </c>
      <c r="Z368" s="1"/>
      <c r="AA368" s="1" t="s">
        <v>45</v>
      </c>
      <c r="AB368" s="22">
        <f>VLOOKUP(TablaCalificaciones[[#This Row],[Coherencia y manejo del tiempo]],PESOS!A$25:B$29,2,0)</f>
        <v>10</v>
      </c>
      <c r="AC368" s="1"/>
      <c r="AD368" s="1" t="s">
        <v>45</v>
      </c>
      <c r="AE368" s="22">
        <f>VLOOKUP(TablaCalificaciones[[#This Row],[Diapositivas como apoyo]],PESOS!A$25:B$29,2,0)</f>
        <v>10</v>
      </c>
      <c r="AF368" s="1"/>
      <c r="AG368" s="1" t="s">
        <v>51</v>
      </c>
      <c r="AH368" s="22">
        <f>VLOOKUP(TablaCalificaciones[[#This Row],[Respuestas a preguntas]],PESOS!A$25:B$29,2,0)</f>
        <v>8</v>
      </c>
      <c r="AI368" s="1"/>
      <c r="AJ368" s="1" t="s">
        <v>45</v>
      </c>
      <c r="AK368" s="22">
        <f>VLOOKUP(TablaCalificaciones[[#This Row],[Cierre: aporte a próximos pasos]],PESOS!A$25:B$29,2,0)</f>
        <v>10</v>
      </c>
      <c r="AL368" s="1"/>
      <c r="AM368" s="1"/>
    </row>
    <row r="369" spans="1:39">
      <c r="A369">
        <v>372</v>
      </c>
      <c r="B369" s="2">
        <v>46135.540300925903</v>
      </c>
      <c r="C369" s="2">
        <v>46135.540671296301</v>
      </c>
      <c r="D369" s="1" t="s">
        <v>54</v>
      </c>
      <c r="E369" s="1" t="s">
        <v>55</v>
      </c>
      <c r="G369" s="1"/>
      <c r="H369" s="2"/>
      <c r="I369" s="1" t="s">
        <v>229</v>
      </c>
      <c r="K369" s="1"/>
      <c r="L369" s="1" t="s">
        <v>56</v>
      </c>
      <c r="M369" s="26" t="str">
        <f>CONCATENATE(TablaCalificaciones[[#This Row],[Seleccione su nombre (Evaluador)]],TablaCalificaciones[[#This Row],[Seleccione el nombre del Estudiante]])</f>
        <v>Marco Antonio Galarza CastilloCarrillo Herrera Isaac Francisco</v>
      </c>
      <c r="N369" s="1"/>
      <c r="O369" s="1" t="s">
        <v>273</v>
      </c>
      <c r="Q369" s="1"/>
      <c r="R369" s="1" t="s">
        <v>44</v>
      </c>
      <c r="S369" s="22">
        <f>VLOOKUP(TablaCalificaciones[[#This Row],[Apertura: problema y objetivo ]],PESOS!A$16:B$20,2,0)</f>
        <v>20</v>
      </c>
      <c r="T369" s="1"/>
      <c r="U369" s="1" t="s">
        <v>44</v>
      </c>
      <c r="V369" s="22">
        <f>VLOOKUP(TablaCalificaciones[[#This Row],[Metodología (nivel adecuado)]],PESOS!A$16:B$20,2,0)</f>
        <v>20</v>
      </c>
      <c r="W369" s="1"/>
      <c r="X369" s="1" t="s">
        <v>44</v>
      </c>
      <c r="Y369" s="22">
        <f>VLOOKUP(TablaCalificaciones[[#This Row],[Resultados y evidencia ]],PESOS!A$16:B$20,2,0)</f>
        <v>20</v>
      </c>
      <c r="Z369" s="1"/>
      <c r="AA369" s="1" t="s">
        <v>83</v>
      </c>
      <c r="AB369" s="22">
        <f>VLOOKUP(TablaCalificaciones[[#This Row],[Coherencia y manejo del tiempo]],PESOS!A$25:B$29,2,0)</f>
        <v>6</v>
      </c>
      <c r="AC369" s="1"/>
      <c r="AD369" s="1" t="s">
        <v>51</v>
      </c>
      <c r="AE369" s="22">
        <f>VLOOKUP(TablaCalificaciones[[#This Row],[Diapositivas como apoyo]],PESOS!A$25:B$29,2,0)</f>
        <v>8</v>
      </c>
      <c r="AF369" s="1"/>
      <c r="AG369" s="1" t="s">
        <v>51</v>
      </c>
      <c r="AH369" s="22">
        <f>VLOOKUP(TablaCalificaciones[[#This Row],[Respuestas a preguntas]],PESOS!A$25:B$29,2,0)</f>
        <v>8</v>
      </c>
      <c r="AI369" s="1"/>
      <c r="AJ369" s="1" t="s">
        <v>45</v>
      </c>
      <c r="AK369" s="22">
        <f>VLOOKUP(TablaCalificaciones[[#This Row],[Cierre: aporte a próximos pasos]],PESOS!A$25:B$29,2,0)</f>
        <v>10</v>
      </c>
      <c r="AL369" s="1"/>
      <c r="AM369" s="1"/>
    </row>
    <row r="370" spans="1:39">
      <c r="A370">
        <v>373</v>
      </c>
      <c r="B370" s="2">
        <v>46135.540694444397</v>
      </c>
      <c r="C370" s="2">
        <v>46135.541076388901</v>
      </c>
      <c r="D370" s="1" t="s">
        <v>54</v>
      </c>
      <c r="E370" s="1" t="s">
        <v>55</v>
      </c>
      <c r="G370" s="1"/>
      <c r="H370" s="2"/>
      <c r="I370" s="1" t="s">
        <v>229</v>
      </c>
      <c r="K370" s="1"/>
      <c r="L370" s="1" t="s">
        <v>56</v>
      </c>
      <c r="M370" s="26" t="str">
        <f>CONCATENATE(TablaCalificaciones[[#This Row],[Seleccione su nombre (Evaluador)]],TablaCalificaciones[[#This Row],[Seleccione el nombre del Estudiante]])</f>
        <v>Marco Antonio Galarza CastilloMontalvo Grunauer Esteban Francisco</v>
      </c>
      <c r="N370" s="1"/>
      <c r="O370" s="1" t="s">
        <v>270</v>
      </c>
      <c r="Q370" s="1"/>
      <c r="R370" s="1" t="s">
        <v>44</v>
      </c>
      <c r="S370" s="22">
        <f>VLOOKUP(TablaCalificaciones[[#This Row],[Apertura: problema y objetivo ]],PESOS!A$16:B$20,2,0)</f>
        <v>20</v>
      </c>
      <c r="T370" s="1"/>
      <c r="U370" s="1" t="s">
        <v>44</v>
      </c>
      <c r="V370" s="22">
        <f>VLOOKUP(TablaCalificaciones[[#This Row],[Metodología (nivel adecuado)]],PESOS!A$16:B$20,2,0)</f>
        <v>20</v>
      </c>
      <c r="W370" s="1"/>
      <c r="X370" s="1" t="s">
        <v>44</v>
      </c>
      <c r="Y370" s="22">
        <f>VLOOKUP(TablaCalificaciones[[#This Row],[Resultados y evidencia ]],PESOS!A$16:B$20,2,0)</f>
        <v>20</v>
      </c>
      <c r="Z370" s="1"/>
      <c r="AA370" s="1" t="s">
        <v>83</v>
      </c>
      <c r="AB370" s="22">
        <f>VLOOKUP(TablaCalificaciones[[#This Row],[Coherencia y manejo del tiempo]],PESOS!A$25:B$29,2,0)</f>
        <v>6</v>
      </c>
      <c r="AC370" s="1"/>
      <c r="AD370" s="1" t="s">
        <v>51</v>
      </c>
      <c r="AE370" s="22">
        <f>VLOOKUP(TablaCalificaciones[[#This Row],[Diapositivas como apoyo]],PESOS!A$25:B$29,2,0)</f>
        <v>8</v>
      </c>
      <c r="AF370" s="1"/>
      <c r="AG370" s="1" t="s">
        <v>51</v>
      </c>
      <c r="AH370" s="22">
        <f>VLOOKUP(TablaCalificaciones[[#This Row],[Respuestas a preguntas]],PESOS!A$25:B$29,2,0)</f>
        <v>8</v>
      </c>
      <c r="AI370" s="1"/>
      <c r="AJ370" s="1" t="s">
        <v>45</v>
      </c>
      <c r="AK370" s="22">
        <f>VLOOKUP(TablaCalificaciones[[#This Row],[Cierre: aporte a próximos pasos]],PESOS!A$25:B$29,2,0)</f>
        <v>10</v>
      </c>
      <c r="AL370" s="1"/>
      <c r="AM370" s="1"/>
    </row>
    <row r="371" spans="1:39">
      <c r="A371">
        <v>374</v>
      </c>
      <c r="B371" s="2">
        <v>46135.535902777803</v>
      </c>
      <c r="C371" s="2">
        <v>46135.541435185201</v>
      </c>
      <c r="D371" s="1" t="s">
        <v>212</v>
      </c>
      <c r="E371" s="1" t="s">
        <v>213</v>
      </c>
      <c r="G371" s="1"/>
      <c r="H371" s="2"/>
      <c r="I371" s="1" t="s">
        <v>229</v>
      </c>
      <c r="K371" s="1"/>
      <c r="L371" s="1" t="s">
        <v>214</v>
      </c>
      <c r="M371" s="26" t="str">
        <f>CONCATENATE(TablaCalificaciones[[#This Row],[Seleccione su nombre (Evaluador)]],TablaCalificaciones[[#This Row],[Seleccione el nombre del Estudiante]])</f>
        <v>Andrea Mariana Escobar GarcíaMontalvo Grunauer Esteban Francisco</v>
      </c>
      <c r="N371" s="1"/>
      <c r="O371" s="1" t="s">
        <v>270</v>
      </c>
      <c r="Q371" s="1"/>
      <c r="R371" s="1" t="s">
        <v>44</v>
      </c>
      <c r="S371" s="22">
        <f>VLOOKUP(TablaCalificaciones[[#This Row],[Apertura: problema y objetivo ]],PESOS!A$16:B$20,2,0)</f>
        <v>20</v>
      </c>
      <c r="T371" s="1"/>
      <c r="U371" s="1" t="s">
        <v>44</v>
      </c>
      <c r="V371" s="22">
        <f>VLOOKUP(TablaCalificaciones[[#This Row],[Metodología (nivel adecuado)]],PESOS!A$16:B$20,2,0)</f>
        <v>20</v>
      </c>
      <c r="W371" s="1"/>
      <c r="X371" s="1" t="s">
        <v>44</v>
      </c>
      <c r="Y371" s="22">
        <f>VLOOKUP(TablaCalificaciones[[#This Row],[Resultados y evidencia ]],PESOS!A$16:B$20,2,0)</f>
        <v>20</v>
      </c>
      <c r="Z371" s="1"/>
      <c r="AA371" s="1" t="s">
        <v>51</v>
      </c>
      <c r="AB371" s="22">
        <f>VLOOKUP(TablaCalificaciones[[#This Row],[Coherencia y manejo del tiempo]],PESOS!A$25:B$29,2,0)</f>
        <v>8</v>
      </c>
      <c r="AC371" s="1"/>
      <c r="AD371" s="1" t="s">
        <v>51</v>
      </c>
      <c r="AE371" s="22">
        <f>VLOOKUP(TablaCalificaciones[[#This Row],[Diapositivas como apoyo]],PESOS!A$25:B$29,2,0)</f>
        <v>8</v>
      </c>
      <c r="AF371" s="1"/>
      <c r="AG371" s="1" t="s">
        <v>45</v>
      </c>
      <c r="AH371" s="22">
        <f>VLOOKUP(TablaCalificaciones[[#This Row],[Respuestas a preguntas]],PESOS!A$25:B$29,2,0)</f>
        <v>10</v>
      </c>
      <c r="AI371" s="1"/>
      <c r="AJ371" s="1" t="s">
        <v>45</v>
      </c>
      <c r="AK371" s="22">
        <f>VLOOKUP(TablaCalificaciones[[#This Row],[Cierre: aporte a próximos pasos]],PESOS!A$25:B$29,2,0)</f>
        <v>10</v>
      </c>
      <c r="AL371" s="1"/>
      <c r="AM371" s="1"/>
    </row>
    <row r="372" spans="1:39">
      <c r="A372">
        <v>375</v>
      </c>
      <c r="B372" s="2">
        <v>46135.541087963</v>
      </c>
      <c r="C372" s="2">
        <v>46135.541458333297</v>
      </c>
      <c r="D372" s="1" t="s">
        <v>54</v>
      </c>
      <c r="E372" s="1" t="s">
        <v>55</v>
      </c>
      <c r="G372" s="1"/>
      <c r="H372" s="2"/>
      <c r="I372" s="1" t="s">
        <v>229</v>
      </c>
      <c r="K372" s="1"/>
      <c r="L372" s="1" t="s">
        <v>56</v>
      </c>
      <c r="M372" s="26" t="str">
        <f>CONCATENATE(TablaCalificaciones[[#This Row],[Seleccione su nombre (Evaluador)]],TablaCalificaciones[[#This Row],[Seleccione el nombre del Estudiante]])</f>
        <v>Marco Antonio Galarza CastilloVerdezoto Davalos Kevin Duval</v>
      </c>
      <c r="N372" s="1"/>
      <c r="O372" s="1" t="s">
        <v>275</v>
      </c>
      <c r="Q372" s="1"/>
      <c r="R372" s="1" t="s">
        <v>44</v>
      </c>
      <c r="S372" s="22">
        <f>VLOOKUP(TablaCalificaciones[[#This Row],[Apertura: problema y objetivo ]],PESOS!A$16:B$20,2,0)</f>
        <v>20</v>
      </c>
      <c r="T372" s="1"/>
      <c r="U372" s="1" t="s">
        <v>44</v>
      </c>
      <c r="V372" s="22">
        <f>VLOOKUP(TablaCalificaciones[[#This Row],[Metodología (nivel adecuado)]],PESOS!A$16:B$20,2,0)</f>
        <v>20</v>
      </c>
      <c r="W372" s="1"/>
      <c r="X372" s="1" t="s">
        <v>44</v>
      </c>
      <c r="Y372" s="22">
        <f>VLOOKUP(TablaCalificaciones[[#This Row],[Resultados y evidencia ]],PESOS!A$16:B$20,2,0)</f>
        <v>20</v>
      </c>
      <c r="Z372" s="1"/>
      <c r="AA372" s="1" t="s">
        <v>83</v>
      </c>
      <c r="AB372" s="22">
        <f>VLOOKUP(TablaCalificaciones[[#This Row],[Coherencia y manejo del tiempo]],PESOS!A$25:B$29,2,0)</f>
        <v>6</v>
      </c>
      <c r="AC372" s="1"/>
      <c r="AD372" s="1" t="s">
        <v>51</v>
      </c>
      <c r="AE372" s="22">
        <f>VLOOKUP(TablaCalificaciones[[#This Row],[Diapositivas como apoyo]],PESOS!A$25:B$29,2,0)</f>
        <v>8</v>
      </c>
      <c r="AF372" s="1"/>
      <c r="AG372" s="1" t="s">
        <v>51</v>
      </c>
      <c r="AH372" s="22">
        <f>VLOOKUP(TablaCalificaciones[[#This Row],[Respuestas a preguntas]],PESOS!A$25:B$29,2,0)</f>
        <v>8</v>
      </c>
      <c r="AI372" s="1"/>
      <c r="AJ372" s="1" t="s">
        <v>45</v>
      </c>
      <c r="AK372" s="22">
        <f>VLOOKUP(TablaCalificaciones[[#This Row],[Cierre: aporte a próximos pasos]],PESOS!A$25:B$29,2,0)</f>
        <v>10</v>
      </c>
      <c r="AL372" s="1"/>
      <c r="AM372" s="1"/>
    </row>
    <row r="373" spans="1:39">
      <c r="A373">
        <v>376</v>
      </c>
      <c r="B373" s="2">
        <v>46135.541458333297</v>
      </c>
      <c r="C373" s="2">
        <v>46135.542314814797</v>
      </c>
      <c r="D373" s="1" t="s">
        <v>212</v>
      </c>
      <c r="E373" s="1" t="s">
        <v>213</v>
      </c>
      <c r="G373" s="1"/>
      <c r="H373" s="2"/>
      <c r="I373" s="1" t="s">
        <v>229</v>
      </c>
      <c r="K373" s="1"/>
      <c r="L373" s="1" t="s">
        <v>214</v>
      </c>
      <c r="M373" s="26" t="str">
        <f>CONCATENATE(TablaCalificaciones[[#This Row],[Seleccione su nombre (Evaluador)]],TablaCalificaciones[[#This Row],[Seleccione el nombre del Estudiante]])</f>
        <v>Andrea Mariana Escobar GarcíaVerdezoto Davalos Kevin Duval</v>
      </c>
      <c r="N373" s="1"/>
      <c r="O373" s="1" t="s">
        <v>275</v>
      </c>
      <c r="Q373" s="1"/>
      <c r="R373" s="1" t="s">
        <v>50</v>
      </c>
      <c r="S373" s="22">
        <f>VLOOKUP(TablaCalificaciones[[#This Row],[Apertura: problema y objetivo ]],PESOS!A$16:B$20,2,0)</f>
        <v>16</v>
      </c>
      <c r="T373" s="1"/>
      <c r="U373" s="1" t="s">
        <v>50</v>
      </c>
      <c r="V373" s="22">
        <f>VLOOKUP(TablaCalificaciones[[#This Row],[Metodología (nivel adecuado)]],PESOS!A$16:B$20,2,0)</f>
        <v>16</v>
      </c>
      <c r="W373" s="1"/>
      <c r="X373" s="1" t="s">
        <v>105</v>
      </c>
      <c r="Y373" s="22">
        <f>VLOOKUP(TablaCalificaciones[[#This Row],[Resultados y evidencia ]],PESOS!A$16:B$20,2,0)</f>
        <v>12</v>
      </c>
      <c r="Z373" s="1"/>
      <c r="AA373" s="1" t="s">
        <v>83</v>
      </c>
      <c r="AB373" s="22">
        <f>VLOOKUP(TablaCalificaciones[[#This Row],[Coherencia y manejo del tiempo]],PESOS!A$25:B$29,2,0)</f>
        <v>6</v>
      </c>
      <c r="AC373" s="1"/>
      <c r="AD373" s="1" t="s">
        <v>83</v>
      </c>
      <c r="AE373" s="22">
        <f>VLOOKUP(TablaCalificaciones[[#This Row],[Diapositivas como apoyo]],PESOS!A$25:B$29,2,0)</f>
        <v>6</v>
      </c>
      <c r="AF373" s="1"/>
      <c r="AG373" s="1" t="s">
        <v>215</v>
      </c>
      <c r="AH373" s="22">
        <f>VLOOKUP(TablaCalificaciones[[#This Row],[Respuestas a preguntas]],PESOS!A$25:B$29,2,0)</f>
        <v>4</v>
      </c>
      <c r="AI373" s="1"/>
      <c r="AJ373" s="1" t="s">
        <v>83</v>
      </c>
      <c r="AK373" s="22">
        <f>VLOOKUP(TablaCalificaciones[[#This Row],[Cierre: aporte a próximos pasos]],PESOS!A$25:B$29,2,0)</f>
        <v>6</v>
      </c>
      <c r="AL373" s="1"/>
      <c r="AM373" s="1"/>
    </row>
    <row r="374" spans="1:39">
      <c r="A374">
        <v>377</v>
      </c>
      <c r="B374" s="2">
        <v>46135.520208333299</v>
      </c>
      <c r="C374" s="2">
        <v>46135.542407407404</v>
      </c>
      <c r="D374" s="1" t="s">
        <v>59</v>
      </c>
      <c r="E374" s="1" t="s">
        <v>60</v>
      </c>
      <c r="G374" s="1"/>
      <c r="H374" s="2"/>
      <c r="I374" s="1" t="s">
        <v>229</v>
      </c>
      <c r="K374" s="1"/>
      <c r="L374" s="1" t="s">
        <v>60</v>
      </c>
      <c r="M374" s="26" t="str">
        <f>CONCATENATE(TablaCalificaciones[[#This Row],[Seleccione su nombre (Evaluador)]],TablaCalificaciones[[#This Row],[Seleccione el nombre del Estudiante]])</f>
        <v>Santiago Leonardo SolórzanoSimbaña Macías Kevin Andrés</v>
      </c>
      <c r="N374" s="1"/>
      <c r="O374" s="1" t="s">
        <v>269</v>
      </c>
      <c r="Q374" s="1"/>
      <c r="R374" s="1" t="s">
        <v>44</v>
      </c>
      <c r="S374" s="22">
        <f>VLOOKUP(TablaCalificaciones[[#This Row],[Apertura: problema y objetivo ]],PESOS!A$16:B$20,2,0)</f>
        <v>20</v>
      </c>
      <c r="T374" s="1"/>
      <c r="U374" s="1" t="s">
        <v>44</v>
      </c>
      <c r="V374" s="22">
        <f>VLOOKUP(TablaCalificaciones[[#This Row],[Metodología (nivel adecuado)]],PESOS!A$16:B$20,2,0)</f>
        <v>20</v>
      </c>
      <c r="W374" s="1"/>
      <c r="X374" s="1" t="s">
        <v>44</v>
      </c>
      <c r="Y374" s="22">
        <f>VLOOKUP(TablaCalificaciones[[#This Row],[Resultados y evidencia ]],PESOS!A$16:B$20,2,0)</f>
        <v>20</v>
      </c>
      <c r="Z374" s="1"/>
      <c r="AA374" s="1" t="s">
        <v>45</v>
      </c>
      <c r="AB374" s="22">
        <f>VLOOKUP(TablaCalificaciones[[#This Row],[Coherencia y manejo del tiempo]],PESOS!A$25:B$29,2,0)</f>
        <v>10</v>
      </c>
      <c r="AC374" s="1"/>
      <c r="AD374" s="1" t="s">
        <v>45</v>
      </c>
      <c r="AE374" s="22">
        <f>VLOOKUP(TablaCalificaciones[[#This Row],[Diapositivas como apoyo]],PESOS!A$25:B$29,2,0)</f>
        <v>10</v>
      </c>
      <c r="AF374" s="1"/>
      <c r="AG374" s="1" t="s">
        <v>51</v>
      </c>
      <c r="AH374" s="22">
        <f>VLOOKUP(TablaCalificaciones[[#This Row],[Respuestas a preguntas]],PESOS!A$25:B$29,2,0)</f>
        <v>8</v>
      </c>
      <c r="AI374" s="1"/>
      <c r="AJ374" s="1" t="s">
        <v>45</v>
      </c>
      <c r="AK374" s="22">
        <f>VLOOKUP(TablaCalificaciones[[#This Row],[Cierre: aporte a próximos pasos]],PESOS!A$25:B$29,2,0)</f>
        <v>10</v>
      </c>
      <c r="AL374" s="1"/>
      <c r="AM374" s="1"/>
    </row>
    <row r="375" spans="1:39">
      <c r="A375">
        <v>378</v>
      </c>
      <c r="B375" s="2">
        <v>46135.520821759303</v>
      </c>
      <c r="C375" s="2">
        <v>46135.542743055601</v>
      </c>
      <c r="D375" s="1" t="s">
        <v>59</v>
      </c>
      <c r="E375" s="1" t="s">
        <v>60</v>
      </c>
      <c r="G375" s="1"/>
      <c r="H375" s="2"/>
      <c r="I375" s="1" t="s">
        <v>229</v>
      </c>
      <c r="K375" s="1"/>
      <c r="L375" s="1" t="s">
        <v>60</v>
      </c>
      <c r="M375" s="26" t="str">
        <f>CONCATENATE(TablaCalificaciones[[#This Row],[Seleccione su nombre (Evaluador)]],TablaCalificaciones[[#This Row],[Seleccione el nombre del Estudiante]])</f>
        <v>Santiago Leonardo SolórzanoAvilés Proaño Kevin Patricio</v>
      </c>
      <c r="N375" s="1"/>
      <c r="O375" s="1" t="s">
        <v>268</v>
      </c>
      <c r="Q375" s="1"/>
      <c r="R375" s="1" t="s">
        <v>44</v>
      </c>
      <c r="S375" s="22">
        <f>VLOOKUP(TablaCalificaciones[[#This Row],[Apertura: problema y objetivo ]],PESOS!A$16:B$20,2,0)</f>
        <v>20</v>
      </c>
      <c r="T375" s="1"/>
      <c r="U375" s="1" t="s">
        <v>44</v>
      </c>
      <c r="V375" s="22">
        <f>VLOOKUP(TablaCalificaciones[[#This Row],[Metodología (nivel adecuado)]],PESOS!A$16:B$20,2,0)</f>
        <v>20</v>
      </c>
      <c r="W375" s="1"/>
      <c r="X375" s="1" t="s">
        <v>44</v>
      </c>
      <c r="Y375" s="22">
        <f>VLOOKUP(TablaCalificaciones[[#This Row],[Resultados y evidencia ]],PESOS!A$16:B$20,2,0)</f>
        <v>20</v>
      </c>
      <c r="Z375" s="1"/>
      <c r="AA375" s="1" t="s">
        <v>45</v>
      </c>
      <c r="AB375" s="22">
        <f>VLOOKUP(TablaCalificaciones[[#This Row],[Coherencia y manejo del tiempo]],PESOS!A$25:B$29,2,0)</f>
        <v>10</v>
      </c>
      <c r="AC375" s="1"/>
      <c r="AD375" s="1" t="s">
        <v>45</v>
      </c>
      <c r="AE375" s="22">
        <f>VLOOKUP(TablaCalificaciones[[#This Row],[Diapositivas como apoyo]],PESOS!A$25:B$29,2,0)</f>
        <v>10</v>
      </c>
      <c r="AF375" s="1"/>
      <c r="AG375" s="1" t="s">
        <v>51</v>
      </c>
      <c r="AH375" s="22">
        <f>VLOOKUP(TablaCalificaciones[[#This Row],[Respuestas a preguntas]],PESOS!A$25:B$29,2,0)</f>
        <v>8</v>
      </c>
      <c r="AI375" s="1"/>
      <c r="AJ375" s="1" t="s">
        <v>45</v>
      </c>
      <c r="AK375" s="22">
        <f>VLOOKUP(TablaCalificaciones[[#This Row],[Cierre: aporte a próximos pasos]],PESOS!A$25:B$29,2,0)</f>
        <v>10</v>
      </c>
      <c r="AL375" s="1"/>
      <c r="AM375" s="1"/>
    </row>
    <row r="376" spans="1:39">
      <c r="A376">
        <v>379</v>
      </c>
      <c r="B376" s="2">
        <v>46135.542337963001</v>
      </c>
      <c r="C376" s="2">
        <v>46135.542824074102</v>
      </c>
      <c r="D376" s="1" t="s">
        <v>212</v>
      </c>
      <c r="E376" s="1" t="s">
        <v>213</v>
      </c>
      <c r="G376" s="1"/>
      <c r="H376" s="2"/>
      <c r="I376" s="1" t="s">
        <v>229</v>
      </c>
      <c r="K376" s="1"/>
      <c r="L376" s="1" t="s">
        <v>214</v>
      </c>
      <c r="M376" s="26" t="str">
        <f>CONCATENATE(TablaCalificaciones[[#This Row],[Seleccione su nombre (Evaluador)]],TablaCalificaciones[[#This Row],[Seleccione el nombre del Estudiante]])</f>
        <v>Andrea Mariana Escobar GarcíaCarrillo Herrera Isaac Francisco</v>
      </c>
      <c r="N376" s="1"/>
      <c r="O376" s="1" t="s">
        <v>273</v>
      </c>
      <c r="Q376" s="1"/>
      <c r="R376" s="1" t="s">
        <v>50</v>
      </c>
      <c r="S376" s="22">
        <f>VLOOKUP(TablaCalificaciones[[#This Row],[Apertura: problema y objetivo ]],PESOS!A$16:B$20,2,0)</f>
        <v>16</v>
      </c>
      <c r="T376" s="1"/>
      <c r="U376" s="1" t="s">
        <v>105</v>
      </c>
      <c r="V376" s="22">
        <f>VLOOKUP(TablaCalificaciones[[#This Row],[Metodología (nivel adecuado)]],PESOS!A$16:B$20,2,0)</f>
        <v>12</v>
      </c>
      <c r="W376" s="1"/>
      <c r="X376" s="1" t="s">
        <v>105</v>
      </c>
      <c r="Y376" s="22">
        <f>VLOOKUP(TablaCalificaciones[[#This Row],[Resultados y evidencia ]],PESOS!A$16:B$20,2,0)</f>
        <v>12</v>
      </c>
      <c r="Z376" s="1"/>
      <c r="AA376" s="1" t="s">
        <v>83</v>
      </c>
      <c r="AB376" s="22">
        <f>VLOOKUP(TablaCalificaciones[[#This Row],[Coherencia y manejo del tiempo]],PESOS!A$25:B$29,2,0)</f>
        <v>6</v>
      </c>
      <c r="AC376" s="1"/>
      <c r="AD376" s="1" t="s">
        <v>83</v>
      </c>
      <c r="AE376" s="22">
        <f>VLOOKUP(TablaCalificaciones[[#This Row],[Diapositivas como apoyo]],PESOS!A$25:B$29,2,0)</f>
        <v>6</v>
      </c>
      <c r="AF376" s="1"/>
      <c r="AG376" s="1" t="s">
        <v>215</v>
      </c>
      <c r="AH376" s="22">
        <f>VLOOKUP(TablaCalificaciones[[#This Row],[Respuestas a preguntas]],PESOS!A$25:B$29,2,0)</f>
        <v>4</v>
      </c>
      <c r="AI376" s="1"/>
      <c r="AJ376" s="1" t="s">
        <v>83</v>
      </c>
      <c r="AK376" s="22">
        <f>VLOOKUP(TablaCalificaciones[[#This Row],[Cierre: aporte a próximos pasos]],PESOS!A$25:B$29,2,0)</f>
        <v>6</v>
      </c>
      <c r="AL376" s="1"/>
      <c r="AM376" s="1"/>
    </row>
    <row r="377" spans="1:39">
      <c r="A377">
        <v>380</v>
      </c>
      <c r="B377" s="2">
        <v>46135.525405092601</v>
      </c>
      <c r="C377" s="2">
        <v>46135.543564814798</v>
      </c>
      <c r="D377" s="1" t="s">
        <v>194</v>
      </c>
      <c r="E377" s="1" t="s">
        <v>195</v>
      </c>
      <c r="G377" s="1"/>
      <c r="H377" s="2"/>
      <c r="I377" s="1" t="s">
        <v>229</v>
      </c>
      <c r="K377" s="1"/>
      <c r="L377" s="1" t="s">
        <v>195</v>
      </c>
      <c r="M377" s="26" t="str">
        <f>CONCATENATE(TablaCalificaciones[[#This Row],[Seleccione su nombre (Evaluador)]],TablaCalificaciones[[#This Row],[Seleccione el nombre del Estudiante]])</f>
        <v>Aracely Ines Yandun TorresAvilés Proaño Kevin Patricio</v>
      </c>
      <c r="N377" s="1"/>
      <c r="O377" s="1" t="s">
        <v>268</v>
      </c>
      <c r="Q377" s="1"/>
      <c r="R377" s="1" t="s">
        <v>44</v>
      </c>
      <c r="S377" s="22">
        <f>VLOOKUP(TablaCalificaciones[[#This Row],[Apertura: problema y objetivo ]],PESOS!A$16:B$20,2,0)</f>
        <v>20</v>
      </c>
      <c r="T377" s="1"/>
      <c r="U377" s="1" t="s">
        <v>44</v>
      </c>
      <c r="V377" s="22">
        <f>VLOOKUP(TablaCalificaciones[[#This Row],[Metodología (nivel adecuado)]],PESOS!A$16:B$20,2,0)</f>
        <v>20</v>
      </c>
      <c r="W377" s="1"/>
      <c r="X377" s="1" t="s">
        <v>44</v>
      </c>
      <c r="Y377" s="22">
        <f>VLOOKUP(TablaCalificaciones[[#This Row],[Resultados y evidencia ]],PESOS!A$16:B$20,2,0)</f>
        <v>20</v>
      </c>
      <c r="Z377" s="1"/>
      <c r="AA377" s="1" t="s">
        <v>51</v>
      </c>
      <c r="AB377" s="22">
        <f>VLOOKUP(TablaCalificaciones[[#This Row],[Coherencia y manejo del tiempo]],PESOS!A$25:B$29,2,0)</f>
        <v>8</v>
      </c>
      <c r="AC377" s="1"/>
      <c r="AD377" s="1" t="s">
        <v>45</v>
      </c>
      <c r="AE377" s="22">
        <f>VLOOKUP(TablaCalificaciones[[#This Row],[Diapositivas como apoyo]],PESOS!A$25:B$29,2,0)</f>
        <v>10</v>
      </c>
      <c r="AF377" s="1"/>
      <c r="AG377" s="1" t="s">
        <v>51</v>
      </c>
      <c r="AH377" s="22">
        <f>VLOOKUP(TablaCalificaciones[[#This Row],[Respuestas a preguntas]],PESOS!A$25:B$29,2,0)</f>
        <v>8</v>
      </c>
      <c r="AI377" s="1"/>
      <c r="AJ377" s="1" t="s">
        <v>45</v>
      </c>
      <c r="AK377" s="22">
        <f>VLOOKUP(TablaCalificaciones[[#This Row],[Cierre: aporte a próximos pasos]],PESOS!A$25:B$29,2,0)</f>
        <v>10</v>
      </c>
      <c r="AL377" s="1"/>
      <c r="AM377" s="1"/>
    </row>
    <row r="378" spans="1:39">
      <c r="A378">
        <v>381</v>
      </c>
      <c r="B378" s="2">
        <v>46135.543587963002</v>
      </c>
      <c r="C378" s="2">
        <v>46135.543981481504</v>
      </c>
      <c r="D378" s="1" t="s">
        <v>194</v>
      </c>
      <c r="E378" s="1" t="s">
        <v>195</v>
      </c>
      <c r="G378" s="1"/>
      <c r="H378" s="2"/>
      <c r="I378" s="1" t="s">
        <v>229</v>
      </c>
      <c r="K378" s="1"/>
      <c r="L378" s="1" t="s">
        <v>195</v>
      </c>
      <c r="M378" s="26" t="str">
        <f>CONCATENATE(TablaCalificaciones[[#This Row],[Seleccione su nombre (Evaluador)]],TablaCalificaciones[[#This Row],[Seleccione el nombre del Estudiante]])</f>
        <v>Aracely Ines Yandun TorresSimbaña Macías Kevin Andrés</v>
      </c>
      <c r="N378" s="1"/>
      <c r="O378" s="1" t="s">
        <v>269</v>
      </c>
      <c r="Q378" s="1"/>
      <c r="R378" s="1" t="s">
        <v>44</v>
      </c>
      <c r="S378" s="22">
        <f>VLOOKUP(TablaCalificaciones[[#This Row],[Apertura: problema y objetivo ]],PESOS!A$16:B$20,2,0)</f>
        <v>20</v>
      </c>
      <c r="T378" s="1"/>
      <c r="U378" s="1" t="s">
        <v>44</v>
      </c>
      <c r="V378" s="22">
        <f>VLOOKUP(TablaCalificaciones[[#This Row],[Metodología (nivel adecuado)]],PESOS!A$16:B$20,2,0)</f>
        <v>20</v>
      </c>
      <c r="W378" s="1"/>
      <c r="X378" s="1" t="s">
        <v>44</v>
      </c>
      <c r="Y378" s="22">
        <f>VLOOKUP(TablaCalificaciones[[#This Row],[Resultados y evidencia ]],PESOS!A$16:B$20,2,0)</f>
        <v>20</v>
      </c>
      <c r="Z378" s="1"/>
      <c r="AA378" s="1" t="s">
        <v>51</v>
      </c>
      <c r="AB378" s="22">
        <f>VLOOKUP(TablaCalificaciones[[#This Row],[Coherencia y manejo del tiempo]],PESOS!A$25:B$29,2,0)</f>
        <v>8</v>
      </c>
      <c r="AC378" s="1"/>
      <c r="AD378" s="1" t="s">
        <v>45</v>
      </c>
      <c r="AE378" s="22">
        <f>VLOOKUP(TablaCalificaciones[[#This Row],[Diapositivas como apoyo]],PESOS!A$25:B$29,2,0)</f>
        <v>10</v>
      </c>
      <c r="AF378" s="1"/>
      <c r="AG378" s="1" t="s">
        <v>51</v>
      </c>
      <c r="AH378" s="22">
        <f>VLOOKUP(TablaCalificaciones[[#This Row],[Respuestas a preguntas]],PESOS!A$25:B$29,2,0)</f>
        <v>8</v>
      </c>
      <c r="AI378" s="1"/>
      <c r="AJ378" s="1" t="s">
        <v>45</v>
      </c>
      <c r="AK378" s="22">
        <f>VLOOKUP(TablaCalificaciones[[#This Row],[Cierre: aporte a próximos pasos]],PESOS!A$25:B$29,2,0)</f>
        <v>10</v>
      </c>
      <c r="AL378" s="1"/>
      <c r="AM378" s="1"/>
    </row>
    <row r="379" spans="1:39">
      <c r="A379">
        <v>382</v>
      </c>
      <c r="B379" s="2">
        <v>46135.541504629597</v>
      </c>
      <c r="C379" s="2">
        <v>46135.557997685202</v>
      </c>
      <c r="D379" s="1" t="s">
        <v>54</v>
      </c>
      <c r="E379" s="1" t="s">
        <v>55</v>
      </c>
      <c r="G379" s="1"/>
      <c r="H379" s="2"/>
      <c r="I379" s="1" t="s">
        <v>229</v>
      </c>
      <c r="K379" s="1"/>
      <c r="L379" s="1" t="s">
        <v>56</v>
      </c>
      <c r="M379" s="26" t="str">
        <f>CONCATENATE(TablaCalificaciones[[#This Row],[Seleccione su nombre (Evaluador)]],TablaCalificaciones[[#This Row],[Seleccione el nombre del Estudiante]])</f>
        <v>Marco Antonio Galarza CastilloNovillo Villegas Pablo</v>
      </c>
      <c r="N379" s="1"/>
      <c r="O379" s="1" t="s">
        <v>276</v>
      </c>
      <c r="Q379" s="1"/>
      <c r="R379" s="1" t="s">
        <v>44</v>
      </c>
      <c r="S379" s="22">
        <f>VLOOKUP(TablaCalificaciones[[#This Row],[Apertura: problema y objetivo ]],PESOS!A$16:B$20,2,0)</f>
        <v>20</v>
      </c>
      <c r="T379" s="1"/>
      <c r="U379" s="1" t="s">
        <v>44</v>
      </c>
      <c r="V379" s="22">
        <f>VLOOKUP(TablaCalificaciones[[#This Row],[Metodología (nivel adecuado)]],PESOS!A$16:B$20,2,0)</f>
        <v>20</v>
      </c>
      <c r="W379" s="1"/>
      <c r="X379" s="1" t="s">
        <v>44</v>
      </c>
      <c r="Y379" s="22">
        <f>VLOOKUP(TablaCalificaciones[[#This Row],[Resultados y evidencia ]],PESOS!A$16:B$20,2,0)</f>
        <v>20</v>
      </c>
      <c r="Z379" s="1"/>
      <c r="AA379" s="1" t="s">
        <v>45</v>
      </c>
      <c r="AB379" s="22">
        <f>VLOOKUP(TablaCalificaciones[[#This Row],[Coherencia y manejo del tiempo]],PESOS!A$25:B$29,2,0)</f>
        <v>10</v>
      </c>
      <c r="AC379" s="1"/>
      <c r="AD379" s="1" t="s">
        <v>45</v>
      </c>
      <c r="AE379" s="22">
        <f>VLOOKUP(TablaCalificaciones[[#This Row],[Diapositivas como apoyo]],PESOS!A$25:B$29,2,0)</f>
        <v>10</v>
      </c>
      <c r="AF379" s="1"/>
      <c r="AG379" s="1" t="s">
        <v>45</v>
      </c>
      <c r="AH379" s="22">
        <f>VLOOKUP(TablaCalificaciones[[#This Row],[Respuestas a preguntas]],PESOS!A$25:B$29,2,0)</f>
        <v>10</v>
      </c>
      <c r="AI379" s="1"/>
      <c r="AJ379" s="1" t="s">
        <v>45</v>
      </c>
      <c r="AK379" s="22">
        <f>VLOOKUP(TablaCalificaciones[[#This Row],[Cierre: aporte a próximos pasos]],PESOS!A$25:B$29,2,0)</f>
        <v>10</v>
      </c>
      <c r="AL379" s="1"/>
      <c r="AM379" s="1"/>
    </row>
    <row r="380" spans="1:39">
      <c r="A380">
        <v>383</v>
      </c>
      <c r="B380" s="2">
        <v>46135.558009259301</v>
      </c>
      <c r="C380" s="2">
        <v>46135.558344907397</v>
      </c>
      <c r="D380" s="1" t="s">
        <v>54</v>
      </c>
      <c r="E380" s="1" t="s">
        <v>55</v>
      </c>
      <c r="G380" s="1"/>
      <c r="H380" s="2"/>
      <c r="I380" s="1" t="s">
        <v>229</v>
      </c>
      <c r="K380" s="1"/>
      <c r="L380" s="1" t="s">
        <v>56</v>
      </c>
      <c r="M380" s="26" t="str">
        <f>CONCATENATE(TablaCalificaciones[[#This Row],[Seleccione su nombre (Evaluador)]],TablaCalificaciones[[#This Row],[Seleccione el nombre del Estudiante]])</f>
        <v>Marco Antonio Galarza CastilloNovillo Villegas Sylvia</v>
      </c>
      <c r="N380" s="1"/>
      <c r="O380" s="1" t="s">
        <v>277</v>
      </c>
      <c r="Q380" s="1"/>
      <c r="R380" s="1" t="s">
        <v>44</v>
      </c>
      <c r="S380" s="22">
        <f>VLOOKUP(TablaCalificaciones[[#This Row],[Apertura: problema y objetivo ]],PESOS!A$16:B$20,2,0)</f>
        <v>20</v>
      </c>
      <c r="T380" s="1"/>
      <c r="U380" s="1" t="s">
        <v>44</v>
      </c>
      <c r="V380" s="22">
        <f>VLOOKUP(TablaCalificaciones[[#This Row],[Metodología (nivel adecuado)]],PESOS!A$16:B$20,2,0)</f>
        <v>20</v>
      </c>
      <c r="W380" s="1"/>
      <c r="X380" s="1" t="s">
        <v>44</v>
      </c>
      <c r="Y380" s="22">
        <f>VLOOKUP(TablaCalificaciones[[#This Row],[Resultados y evidencia ]],PESOS!A$16:B$20,2,0)</f>
        <v>20</v>
      </c>
      <c r="Z380" s="1"/>
      <c r="AA380" s="1" t="s">
        <v>45</v>
      </c>
      <c r="AB380" s="22">
        <f>VLOOKUP(TablaCalificaciones[[#This Row],[Coherencia y manejo del tiempo]],PESOS!A$25:B$29,2,0)</f>
        <v>10</v>
      </c>
      <c r="AC380" s="1"/>
      <c r="AD380" s="1" t="s">
        <v>45</v>
      </c>
      <c r="AE380" s="22">
        <f>VLOOKUP(TablaCalificaciones[[#This Row],[Diapositivas como apoyo]],PESOS!A$25:B$29,2,0)</f>
        <v>10</v>
      </c>
      <c r="AF380" s="1"/>
      <c r="AG380" s="1" t="s">
        <v>45</v>
      </c>
      <c r="AH380" s="22">
        <f>VLOOKUP(TablaCalificaciones[[#This Row],[Respuestas a preguntas]],PESOS!A$25:B$29,2,0)</f>
        <v>10</v>
      </c>
      <c r="AI380" s="1"/>
      <c r="AJ380" s="1" t="s">
        <v>45</v>
      </c>
      <c r="AK380" s="22">
        <f>VLOOKUP(TablaCalificaciones[[#This Row],[Cierre: aporte a próximos pasos]],PESOS!A$25:B$29,2,0)</f>
        <v>10</v>
      </c>
      <c r="AL380" s="1"/>
      <c r="AM380" s="1"/>
    </row>
    <row r="381" spans="1:39">
      <c r="A381">
        <v>384</v>
      </c>
      <c r="B381" s="2">
        <v>46135.558368055601</v>
      </c>
      <c r="C381" s="2">
        <v>46135.558761574102</v>
      </c>
      <c r="D381" s="1" t="s">
        <v>54</v>
      </c>
      <c r="E381" s="1" t="s">
        <v>55</v>
      </c>
      <c r="G381" s="1"/>
      <c r="H381" s="2"/>
      <c r="I381" s="1" t="s">
        <v>229</v>
      </c>
      <c r="K381" s="1"/>
      <c r="L381" s="1" t="s">
        <v>56</v>
      </c>
      <c r="M381" s="26" t="str">
        <f>CONCATENATE(TablaCalificaciones[[#This Row],[Seleccione su nombre (Evaluador)]],TablaCalificaciones[[#This Row],[Seleccione el nombre del Estudiante]])</f>
        <v>Marco Antonio Galarza CastilloToscano Romero José</v>
      </c>
      <c r="N381" s="1"/>
      <c r="O381" s="1" t="s">
        <v>278</v>
      </c>
      <c r="Q381" s="1"/>
      <c r="R381" s="1" t="s">
        <v>44</v>
      </c>
      <c r="S381" s="22">
        <f>VLOOKUP(TablaCalificaciones[[#This Row],[Apertura: problema y objetivo ]],PESOS!A$16:B$20,2,0)</f>
        <v>20</v>
      </c>
      <c r="T381" s="1"/>
      <c r="U381" s="1" t="s">
        <v>44</v>
      </c>
      <c r="V381" s="22">
        <f>VLOOKUP(TablaCalificaciones[[#This Row],[Metodología (nivel adecuado)]],PESOS!A$16:B$20,2,0)</f>
        <v>20</v>
      </c>
      <c r="W381" s="1"/>
      <c r="X381" s="1" t="s">
        <v>44</v>
      </c>
      <c r="Y381" s="22">
        <f>VLOOKUP(TablaCalificaciones[[#This Row],[Resultados y evidencia ]],PESOS!A$16:B$20,2,0)</f>
        <v>20</v>
      </c>
      <c r="Z381" s="1"/>
      <c r="AA381" s="1" t="s">
        <v>45</v>
      </c>
      <c r="AB381" s="22">
        <f>VLOOKUP(TablaCalificaciones[[#This Row],[Coherencia y manejo del tiempo]],PESOS!A$25:B$29,2,0)</f>
        <v>10</v>
      </c>
      <c r="AC381" s="1"/>
      <c r="AD381" s="1" t="s">
        <v>45</v>
      </c>
      <c r="AE381" s="22">
        <f>VLOOKUP(TablaCalificaciones[[#This Row],[Diapositivas como apoyo]],PESOS!A$25:B$29,2,0)</f>
        <v>10</v>
      </c>
      <c r="AF381" s="1"/>
      <c r="AG381" s="1" t="s">
        <v>45</v>
      </c>
      <c r="AH381" s="22">
        <f>VLOOKUP(TablaCalificaciones[[#This Row],[Respuestas a preguntas]],PESOS!A$25:B$29,2,0)</f>
        <v>10</v>
      </c>
      <c r="AI381" s="1"/>
      <c r="AJ381" s="1" t="s">
        <v>45</v>
      </c>
      <c r="AK381" s="22">
        <f>VLOOKUP(TablaCalificaciones[[#This Row],[Cierre: aporte a próximos pasos]],PESOS!A$25:B$29,2,0)</f>
        <v>10</v>
      </c>
      <c r="AL381" s="1"/>
      <c r="AM381" s="1"/>
    </row>
    <row r="382" spans="1:39">
      <c r="A382">
        <v>385</v>
      </c>
      <c r="B382" s="2">
        <v>46135.528206018498</v>
      </c>
      <c r="C382" s="2">
        <v>46135.559305555602</v>
      </c>
      <c r="D382" s="1" t="s">
        <v>93</v>
      </c>
      <c r="E382" s="1" t="s">
        <v>94</v>
      </c>
      <c r="G382" s="1"/>
      <c r="H382" s="2"/>
      <c r="I382" s="1" t="s">
        <v>229</v>
      </c>
      <c r="K382" s="1"/>
      <c r="L382" s="1" t="s">
        <v>95</v>
      </c>
      <c r="M382" s="26" t="str">
        <f>CONCATENATE(TablaCalificaciones[[#This Row],[Seleccione su nombre (Evaluador)]],TablaCalificaciones[[#This Row],[Seleccione el nombre del Estudiante]])</f>
        <v>Nelly Patricia Acosta VargasNovillo Villegas Pablo</v>
      </c>
      <c r="N382" s="1"/>
      <c r="O382" s="1" t="s">
        <v>276</v>
      </c>
      <c r="Q382" s="1"/>
      <c r="R382" s="1" t="s">
        <v>44</v>
      </c>
      <c r="S382" s="22">
        <f>VLOOKUP(TablaCalificaciones[[#This Row],[Apertura: problema y objetivo ]],PESOS!A$16:B$20,2,0)</f>
        <v>20</v>
      </c>
      <c r="T382" s="1"/>
      <c r="U382" s="1" t="s">
        <v>44</v>
      </c>
      <c r="V382" s="22">
        <f>VLOOKUP(TablaCalificaciones[[#This Row],[Metodología (nivel adecuado)]],PESOS!A$16:B$20,2,0)</f>
        <v>20</v>
      </c>
      <c r="W382" s="1"/>
      <c r="X382" s="1" t="s">
        <v>44</v>
      </c>
      <c r="Y382" s="22">
        <f>VLOOKUP(TablaCalificaciones[[#This Row],[Resultados y evidencia ]],PESOS!A$16:B$20,2,0)</f>
        <v>20</v>
      </c>
      <c r="Z382" s="1"/>
      <c r="AA382" s="1" t="s">
        <v>45</v>
      </c>
      <c r="AB382" s="22">
        <f>VLOOKUP(TablaCalificaciones[[#This Row],[Coherencia y manejo del tiempo]],PESOS!A$25:B$29,2,0)</f>
        <v>10</v>
      </c>
      <c r="AC382" s="1"/>
      <c r="AD382" s="1" t="s">
        <v>45</v>
      </c>
      <c r="AE382" s="22">
        <f>VLOOKUP(TablaCalificaciones[[#This Row],[Diapositivas como apoyo]],PESOS!A$25:B$29,2,0)</f>
        <v>10</v>
      </c>
      <c r="AF382" s="1"/>
      <c r="AG382" s="1" t="s">
        <v>45</v>
      </c>
      <c r="AH382" s="22">
        <f>VLOOKUP(TablaCalificaciones[[#This Row],[Respuestas a preguntas]],PESOS!A$25:B$29,2,0)</f>
        <v>10</v>
      </c>
      <c r="AI382" s="1"/>
      <c r="AJ382" s="1" t="s">
        <v>45</v>
      </c>
      <c r="AK382" s="22">
        <f>VLOOKUP(TablaCalificaciones[[#This Row],[Cierre: aporte a próximos pasos]],PESOS!A$25:B$29,2,0)</f>
        <v>10</v>
      </c>
      <c r="AL382" s="1"/>
      <c r="AM382" s="1"/>
    </row>
    <row r="383" spans="1:39">
      <c r="A383">
        <v>386</v>
      </c>
      <c r="B383" s="2">
        <v>46135.559317129599</v>
      </c>
      <c r="C383" s="2">
        <v>46135.560046296298</v>
      </c>
      <c r="D383" s="1" t="s">
        <v>93</v>
      </c>
      <c r="E383" s="1" t="s">
        <v>94</v>
      </c>
      <c r="G383" s="1"/>
      <c r="H383" s="2"/>
      <c r="I383" s="1" t="s">
        <v>229</v>
      </c>
      <c r="K383" s="1"/>
      <c r="L383" s="1" t="s">
        <v>95</v>
      </c>
      <c r="M383" s="26" t="str">
        <f>CONCATENATE(TablaCalificaciones[[#This Row],[Seleccione su nombre (Evaluador)]],TablaCalificaciones[[#This Row],[Seleccione el nombre del Estudiante]])</f>
        <v>Nelly Patricia Acosta VargasNovillo Villegas Sylvia</v>
      </c>
      <c r="N383" s="1"/>
      <c r="O383" s="1" t="s">
        <v>277</v>
      </c>
      <c r="Q383" s="1"/>
      <c r="R383" s="1" t="s">
        <v>44</v>
      </c>
      <c r="S383" s="22">
        <f>VLOOKUP(TablaCalificaciones[[#This Row],[Apertura: problema y objetivo ]],PESOS!A$16:B$20,2,0)</f>
        <v>20</v>
      </c>
      <c r="T383" s="1"/>
      <c r="U383" s="1" t="s">
        <v>44</v>
      </c>
      <c r="V383" s="22">
        <f>VLOOKUP(TablaCalificaciones[[#This Row],[Metodología (nivel adecuado)]],PESOS!A$16:B$20,2,0)</f>
        <v>20</v>
      </c>
      <c r="W383" s="1"/>
      <c r="X383" s="1" t="s">
        <v>44</v>
      </c>
      <c r="Y383" s="22">
        <f>VLOOKUP(TablaCalificaciones[[#This Row],[Resultados y evidencia ]],PESOS!A$16:B$20,2,0)</f>
        <v>20</v>
      </c>
      <c r="Z383" s="1"/>
      <c r="AA383" s="1" t="s">
        <v>45</v>
      </c>
      <c r="AB383" s="22">
        <f>VLOOKUP(TablaCalificaciones[[#This Row],[Coherencia y manejo del tiempo]],PESOS!A$25:B$29,2,0)</f>
        <v>10</v>
      </c>
      <c r="AC383" s="1"/>
      <c r="AD383" s="1" t="s">
        <v>45</v>
      </c>
      <c r="AE383" s="22">
        <f>VLOOKUP(TablaCalificaciones[[#This Row],[Diapositivas como apoyo]],PESOS!A$25:B$29,2,0)</f>
        <v>10</v>
      </c>
      <c r="AF383" s="1"/>
      <c r="AG383" s="1" t="s">
        <v>45</v>
      </c>
      <c r="AH383" s="22">
        <f>VLOOKUP(TablaCalificaciones[[#This Row],[Respuestas a preguntas]],PESOS!A$25:B$29,2,0)</f>
        <v>10</v>
      </c>
      <c r="AI383" s="1"/>
      <c r="AJ383" s="1" t="s">
        <v>45</v>
      </c>
      <c r="AK383" s="22">
        <f>VLOOKUP(TablaCalificaciones[[#This Row],[Cierre: aporte a próximos pasos]],PESOS!A$25:B$29,2,0)</f>
        <v>10</v>
      </c>
      <c r="AL383" s="1"/>
      <c r="AM383" s="1"/>
    </row>
    <row r="384" spans="1:39">
      <c r="A384">
        <v>387</v>
      </c>
      <c r="B384" s="2">
        <v>46135.5600694444</v>
      </c>
      <c r="C384" s="2">
        <v>46135.560810185198</v>
      </c>
      <c r="D384" s="1" t="s">
        <v>93</v>
      </c>
      <c r="E384" s="1" t="s">
        <v>94</v>
      </c>
      <c r="G384" s="1"/>
      <c r="H384" s="2"/>
      <c r="I384" s="1" t="s">
        <v>229</v>
      </c>
      <c r="K384" s="1"/>
      <c r="L384" s="1" t="s">
        <v>95</v>
      </c>
      <c r="M384" s="26" t="str">
        <f>CONCATENATE(TablaCalificaciones[[#This Row],[Seleccione su nombre (Evaluador)]],TablaCalificaciones[[#This Row],[Seleccione el nombre del Estudiante]])</f>
        <v>Nelly Patricia Acosta VargasToscano Romero José</v>
      </c>
      <c r="N384" s="1"/>
      <c r="O384" s="1" t="s">
        <v>278</v>
      </c>
      <c r="Q384" s="1"/>
      <c r="R384" s="1" t="s">
        <v>44</v>
      </c>
      <c r="S384" s="22">
        <f>VLOOKUP(TablaCalificaciones[[#This Row],[Apertura: problema y objetivo ]],PESOS!A$16:B$20,2,0)</f>
        <v>20</v>
      </c>
      <c r="T384" s="1"/>
      <c r="U384" s="1" t="s">
        <v>44</v>
      </c>
      <c r="V384" s="22">
        <f>VLOOKUP(TablaCalificaciones[[#This Row],[Metodología (nivel adecuado)]],PESOS!A$16:B$20,2,0)</f>
        <v>20</v>
      </c>
      <c r="W384" s="1"/>
      <c r="X384" s="1" t="s">
        <v>44</v>
      </c>
      <c r="Y384" s="22">
        <f>VLOOKUP(TablaCalificaciones[[#This Row],[Resultados y evidencia ]],PESOS!A$16:B$20,2,0)</f>
        <v>20</v>
      </c>
      <c r="Z384" s="1"/>
      <c r="AA384" s="1" t="s">
        <v>45</v>
      </c>
      <c r="AB384" s="22">
        <f>VLOOKUP(TablaCalificaciones[[#This Row],[Coherencia y manejo del tiempo]],PESOS!A$25:B$29,2,0)</f>
        <v>10</v>
      </c>
      <c r="AC384" s="1"/>
      <c r="AD384" s="1" t="s">
        <v>45</v>
      </c>
      <c r="AE384" s="22">
        <f>VLOOKUP(TablaCalificaciones[[#This Row],[Diapositivas como apoyo]],PESOS!A$25:B$29,2,0)</f>
        <v>10</v>
      </c>
      <c r="AF384" s="1"/>
      <c r="AG384" s="1" t="s">
        <v>45</v>
      </c>
      <c r="AH384" s="22">
        <f>VLOOKUP(TablaCalificaciones[[#This Row],[Respuestas a preguntas]],PESOS!A$25:B$29,2,0)</f>
        <v>10</v>
      </c>
      <c r="AI384" s="1"/>
      <c r="AJ384" s="1" t="s">
        <v>45</v>
      </c>
      <c r="AK384" s="22">
        <f>VLOOKUP(TablaCalificaciones[[#This Row],[Cierre: aporte a próximos pasos]],PESOS!A$25:B$29,2,0)</f>
        <v>10</v>
      </c>
      <c r="AL384" s="1"/>
      <c r="AM384" s="1"/>
    </row>
    <row r="385" spans="1:39">
      <c r="A385">
        <v>388</v>
      </c>
      <c r="B385" s="2">
        <v>46135.559641203698</v>
      </c>
      <c r="C385" s="2">
        <v>46135.584432870397</v>
      </c>
      <c r="D385" s="1" t="s">
        <v>203</v>
      </c>
      <c r="E385" s="1" t="s">
        <v>204</v>
      </c>
      <c r="G385" s="1"/>
      <c r="H385" s="2"/>
      <c r="I385" s="1" t="s">
        <v>229</v>
      </c>
      <c r="K385" s="1"/>
      <c r="L385" s="1" t="s">
        <v>204</v>
      </c>
      <c r="M385" s="26" t="str">
        <f>CONCATENATE(TablaCalificaciones[[#This Row],[Seleccione su nombre (Evaluador)]],TablaCalificaciones[[#This Row],[Seleccione el nombre del Estudiante]])</f>
        <v>Paulo Roberto GuerraSaona David Hernán</v>
      </c>
      <c r="N385" s="1"/>
      <c r="O385" s="1" t="s">
        <v>279</v>
      </c>
      <c r="Q385" s="1"/>
      <c r="R385" s="1" t="s">
        <v>44</v>
      </c>
      <c r="S385" s="22">
        <f>VLOOKUP(TablaCalificaciones[[#This Row],[Apertura: problema y objetivo ]],PESOS!A$16:B$20,2,0)</f>
        <v>20</v>
      </c>
      <c r="T385" s="1"/>
      <c r="U385" s="1" t="s">
        <v>50</v>
      </c>
      <c r="V385" s="22">
        <f>VLOOKUP(TablaCalificaciones[[#This Row],[Metodología (nivel adecuado)]],PESOS!A$16:B$20,2,0)</f>
        <v>16</v>
      </c>
      <c r="W385" s="1"/>
      <c r="X385" s="1" t="s">
        <v>50</v>
      </c>
      <c r="Y385" s="22">
        <f>VLOOKUP(TablaCalificaciones[[#This Row],[Resultados y evidencia ]],PESOS!A$16:B$20,2,0)</f>
        <v>16</v>
      </c>
      <c r="Z385" s="1"/>
      <c r="AA385" s="1" t="s">
        <v>83</v>
      </c>
      <c r="AB385" s="22">
        <f>VLOOKUP(TablaCalificaciones[[#This Row],[Coherencia y manejo del tiempo]],PESOS!A$25:B$29,2,0)</f>
        <v>6</v>
      </c>
      <c r="AC385" s="1"/>
      <c r="AD385" s="1" t="s">
        <v>45</v>
      </c>
      <c r="AE385" s="22">
        <f>VLOOKUP(TablaCalificaciones[[#This Row],[Diapositivas como apoyo]],PESOS!A$25:B$29,2,0)</f>
        <v>10</v>
      </c>
      <c r="AF385" s="1"/>
      <c r="AG385" s="1" t="s">
        <v>45</v>
      </c>
      <c r="AH385" s="22">
        <f>VLOOKUP(TablaCalificaciones[[#This Row],[Respuestas a preguntas]],PESOS!A$25:B$29,2,0)</f>
        <v>10</v>
      </c>
      <c r="AI385" s="1"/>
      <c r="AJ385" s="1" t="s">
        <v>51</v>
      </c>
      <c r="AK385" s="22">
        <f>VLOOKUP(TablaCalificaciones[[#This Row],[Cierre: aporte a próximos pasos]],PESOS!A$25:B$29,2,0)</f>
        <v>8</v>
      </c>
      <c r="AL385" s="1"/>
      <c r="AM385" s="1"/>
    </row>
    <row r="386" spans="1:39">
      <c r="A386">
        <v>389</v>
      </c>
      <c r="B386" s="2">
        <v>46135.5844560185</v>
      </c>
      <c r="C386" s="2">
        <v>46135.585729166698</v>
      </c>
      <c r="D386" s="1" t="s">
        <v>203</v>
      </c>
      <c r="E386" s="1" t="s">
        <v>204</v>
      </c>
      <c r="G386" s="1"/>
      <c r="H386" s="2"/>
      <c r="I386" s="1" t="s">
        <v>229</v>
      </c>
      <c r="K386" s="1"/>
      <c r="L386" s="1" t="s">
        <v>204</v>
      </c>
      <c r="M386" s="26" t="str">
        <f>CONCATENATE(TablaCalificaciones[[#This Row],[Seleccione su nombre (Evaluador)]],TablaCalificaciones[[#This Row],[Seleccione el nombre del Estudiante]])</f>
        <v>Paulo Roberto GuerraEspinoza Erick Daniel</v>
      </c>
      <c r="N386" s="1"/>
      <c r="O386" s="1" t="s">
        <v>280</v>
      </c>
      <c r="Q386" s="1"/>
      <c r="R386" s="1" t="s">
        <v>50</v>
      </c>
      <c r="S386" s="22">
        <f>VLOOKUP(TablaCalificaciones[[#This Row],[Apertura: problema y objetivo ]],PESOS!A$16:B$20,2,0)</f>
        <v>16</v>
      </c>
      <c r="T386" s="1"/>
      <c r="U386" s="1" t="s">
        <v>50</v>
      </c>
      <c r="V386" s="22">
        <f>VLOOKUP(TablaCalificaciones[[#This Row],[Metodología (nivel adecuado)]],PESOS!A$16:B$20,2,0)</f>
        <v>16</v>
      </c>
      <c r="W386" s="1"/>
      <c r="X386" s="1" t="s">
        <v>50</v>
      </c>
      <c r="Y386" s="22">
        <f>VLOOKUP(TablaCalificaciones[[#This Row],[Resultados y evidencia ]],PESOS!A$16:B$20,2,0)</f>
        <v>16</v>
      </c>
      <c r="Z386" s="1"/>
      <c r="AA386" s="1" t="s">
        <v>83</v>
      </c>
      <c r="AB386" s="22">
        <f>VLOOKUP(TablaCalificaciones[[#This Row],[Coherencia y manejo del tiempo]],PESOS!A$25:B$29,2,0)</f>
        <v>6</v>
      </c>
      <c r="AC386" s="1"/>
      <c r="AD386" s="1" t="s">
        <v>51</v>
      </c>
      <c r="AE386" s="22">
        <f>VLOOKUP(TablaCalificaciones[[#This Row],[Diapositivas como apoyo]],PESOS!A$25:B$29,2,0)</f>
        <v>8</v>
      </c>
      <c r="AF386" s="1"/>
      <c r="AG386" s="1" t="s">
        <v>51</v>
      </c>
      <c r="AH386" s="22">
        <f>VLOOKUP(TablaCalificaciones[[#This Row],[Respuestas a preguntas]],PESOS!A$25:B$29,2,0)</f>
        <v>8</v>
      </c>
      <c r="AI386" s="1"/>
      <c r="AJ386" s="1" t="s">
        <v>51</v>
      </c>
      <c r="AK386" s="22">
        <f>VLOOKUP(TablaCalificaciones[[#This Row],[Cierre: aporte a próximos pasos]],PESOS!A$25:B$29,2,0)</f>
        <v>8</v>
      </c>
      <c r="AL386" s="1"/>
      <c r="AM386" s="1"/>
    </row>
    <row r="387" spans="1:39">
      <c r="A387">
        <v>390</v>
      </c>
      <c r="B387" s="2">
        <v>46135.585763888899</v>
      </c>
      <c r="C387" s="2">
        <v>46135.586886574099</v>
      </c>
      <c r="D387" s="1" t="s">
        <v>203</v>
      </c>
      <c r="E387" s="1" t="s">
        <v>204</v>
      </c>
      <c r="G387" s="1"/>
      <c r="H387" s="2"/>
      <c r="I387" s="1" t="s">
        <v>229</v>
      </c>
      <c r="K387" s="1"/>
      <c r="L387" s="1" t="s">
        <v>204</v>
      </c>
      <c r="M387" s="26" t="str">
        <f>CONCATENATE(TablaCalificaciones[[#This Row],[Seleccione su nombre (Evaluador)]],TablaCalificaciones[[#This Row],[Seleccione el nombre del Estudiante]])</f>
        <v>Paulo Roberto GuerraRevelo Juan Manuel</v>
      </c>
      <c r="N387" s="1"/>
      <c r="O387" s="1" t="s">
        <v>281</v>
      </c>
      <c r="Q387" s="1"/>
      <c r="R387" s="1" t="s">
        <v>50</v>
      </c>
      <c r="S387" s="22">
        <f>VLOOKUP(TablaCalificaciones[[#This Row],[Apertura: problema y objetivo ]],PESOS!A$16:B$20,2,0)</f>
        <v>16</v>
      </c>
      <c r="T387" s="1"/>
      <c r="U387" s="1" t="s">
        <v>50</v>
      </c>
      <c r="V387" s="22">
        <f>VLOOKUP(TablaCalificaciones[[#This Row],[Metodología (nivel adecuado)]],PESOS!A$16:B$20,2,0)</f>
        <v>16</v>
      </c>
      <c r="W387" s="1"/>
      <c r="X387" s="1" t="s">
        <v>50</v>
      </c>
      <c r="Y387" s="22">
        <f>VLOOKUP(TablaCalificaciones[[#This Row],[Resultados y evidencia ]],PESOS!A$16:B$20,2,0)</f>
        <v>16</v>
      </c>
      <c r="Z387" s="1"/>
      <c r="AA387" s="1" t="s">
        <v>83</v>
      </c>
      <c r="AB387" s="22">
        <f>VLOOKUP(TablaCalificaciones[[#This Row],[Coherencia y manejo del tiempo]],PESOS!A$25:B$29,2,0)</f>
        <v>6</v>
      </c>
      <c r="AC387" s="1"/>
      <c r="AD387" s="1" t="s">
        <v>51</v>
      </c>
      <c r="AE387" s="22">
        <f>VLOOKUP(TablaCalificaciones[[#This Row],[Diapositivas como apoyo]],PESOS!A$25:B$29,2,0)</f>
        <v>8</v>
      </c>
      <c r="AF387" s="1"/>
      <c r="AG387" s="1" t="s">
        <v>51</v>
      </c>
      <c r="AH387" s="22">
        <f>VLOOKUP(TablaCalificaciones[[#This Row],[Respuestas a preguntas]],PESOS!A$25:B$29,2,0)</f>
        <v>8</v>
      </c>
      <c r="AI387" s="1"/>
      <c r="AJ387" s="1" t="s">
        <v>51</v>
      </c>
      <c r="AK387" s="22">
        <f>VLOOKUP(TablaCalificaciones[[#This Row],[Cierre: aporte a próximos pasos]],PESOS!A$25:B$29,2,0)</f>
        <v>8</v>
      </c>
      <c r="AL387" s="1"/>
      <c r="AM387" s="1"/>
    </row>
    <row r="388" spans="1:39">
      <c r="A388">
        <v>391</v>
      </c>
      <c r="B388" s="2">
        <v>46135.584930555597</v>
      </c>
      <c r="C388" s="2">
        <v>46135.595798611103</v>
      </c>
      <c r="D388" s="1" t="s">
        <v>87</v>
      </c>
      <c r="E388" s="1" t="s">
        <v>88</v>
      </c>
      <c r="G388" s="1"/>
      <c r="H388" s="2"/>
      <c r="I388" s="1" t="s">
        <v>229</v>
      </c>
      <c r="K388" s="1"/>
      <c r="L388" s="1" t="s">
        <v>88</v>
      </c>
      <c r="M388" s="26" t="str">
        <f>CONCATENATE(TablaCalificaciones[[#This Row],[Seleccione su nombre (Evaluador)]],TablaCalificaciones[[#This Row],[Seleccione el nombre del Estudiante]])</f>
        <v>Ana María Pazmiño DelgadoMartínez Rosero Nikita Nahomy</v>
      </c>
      <c r="N388" s="1"/>
      <c r="O388" s="1" t="s">
        <v>282</v>
      </c>
      <c r="Q388" s="1"/>
      <c r="R388" s="1" t="s">
        <v>44</v>
      </c>
      <c r="S388" s="22">
        <f>VLOOKUP(TablaCalificaciones[[#This Row],[Apertura: problema y objetivo ]],PESOS!A$16:B$20,2,0)</f>
        <v>20</v>
      </c>
      <c r="T388" s="1"/>
      <c r="U388" s="1" t="s">
        <v>44</v>
      </c>
      <c r="V388" s="22">
        <f>VLOOKUP(TablaCalificaciones[[#This Row],[Metodología (nivel adecuado)]],PESOS!A$16:B$20,2,0)</f>
        <v>20</v>
      </c>
      <c r="W388" s="1"/>
      <c r="X388" s="1" t="s">
        <v>44</v>
      </c>
      <c r="Y388" s="22">
        <f>VLOOKUP(TablaCalificaciones[[#This Row],[Resultados y evidencia ]],PESOS!A$16:B$20,2,0)</f>
        <v>20</v>
      </c>
      <c r="Z388" s="1"/>
      <c r="AA388" s="1" t="s">
        <v>45</v>
      </c>
      <c r="AB388" s="22">
        <f>VLOOKUP(TablaCalificaciones[[#This Row],[Coherencia y manejo del tiempo]],PESOS!A$25:B$29,2,0)</f>
        <v>10</v>
      </c>
      <c r="AC388" s="1"/>
      <c r="AD388" s="1" t="s">
        <v>45</v>
      </c>
      <c r="AE388" s="22">
        <f>VLOOKUP(TablaCalificaciones[[#This Row],[Diapositivas como apoyo]],PESOS!A$25:B$29,2,0)</f>
        <v>10</v>
      </c>
      <c r="AF388" s="1"/>
      <c r="AG388" s="1" t="s">
        <v>51</v>
      </c>
      <c r="AH388" s="22">
        <f>VLOOKUP(TablaCalificaciones[[#This Row],[Respuestas a preguntas]],PESOS!A$25:B$29,2,0)</f>
        <v>8</v>
      </c>
      <c r="AI388" s="1"/>
      <c r="AJ388" s="1" t="s">
        <v>45</v>
      </c>
      <c r="AK388" s="22">
        <f>VLOOKUP(TablaCalificaciones[[#This Row],[Cierre: aporte a próximos pasos]],PESOS!A$25:B$29,2,0)</f>
        <v>10</v>
      </c>
      <c r="AL388" s="1"/>
      <c r="AM388" s="1"/>
    </row>
    <row r="389" spans="1:39">
      <c r="A389">
        <v>392</v>
      </c>
      <c r="B389" s="2">
        <v>46135.595879629604</v>
      </c>
      <c r="C389" s="2">
        <v>46135.596250000002</v>
      </c>
      <c r="D389" s="1" t="s">
        <v>87</v>
      </c>
      <c r="E389" s="1" t="s">
        <v>88</v>
      </c>
      <c r="G389" s="1"/>
      <c r="H389" s="2"/>
      <c r="I389" s="1" t="s">
        <v>229</v>
      </c>
      <c r="K389" s="1"/>
      <c r="L389" s="1" t="s">
        <v>88</v>
      </c>
      <c r="M389" s="26" t="str">
        <f>CONCATENATE(TablaCalificaciones[[#This Row],[Seleccione su nombre (Evaluador)]],TablaCalificaciones[[#This Row],[Seleccione el nombre del Estudiante]])</f>
        <v>Ana María Pazmiño DelgadoAndrade Mulki Esteban Nicolas</v>
      </c>
      <c r="N389" s="1"/>
      <c r="O389" s="1" t="s">
        <v>283</v>
      </c>
      <c r="Q389" s="1"/>
      <c r="R389" s="1" t="s">
        <v>44</v>
      </c>
      <c r="S389" s="22">
        <f>VLOOKUP(TablaCalificaciones[[#This Row],[Apertura: problema y objetivo ]],PESOS!A$16:B$20,2,0)</f>
        <v>20</v>
      </c>
      <c r="T389" s="1"/>
      <c r="U389" s="1" t="s">
        <v>44</v>
      </c>
      <c r="V389" s="22">
        <f>VLOOKUP(TablaCalificaciones[[#This Row],[Metodología (nivel adecuado)]],PESOS!A$16:B$20,2,0)</f>
        <v>20</v>
      </c>
      <c r="W389" s="1"/>
      <c r="X389" s="1" t="s">
        <v>44</v>
      </c>
      <c r="Y389" s="22">
        <f>VLOOKUP(TablaCalificaciones[[#This Row],[Resultados y evidencia ]],PESOS!A$16:B$20,2,0)</f>
        <v>20</v>
      </c>
      <c r="Z389" s="1"/>
      <c r="AA389" s="1" t="s">
        <v>45</v>
      </c>
      <c r="AB389" s="22">
        <f>VLOOKUP(TablaCalificaciones[[#This Row],[Coherencia y manejo del tiempo]],PESOS!A$25:B$29,2,0)</f>
        <v>10</v>
      </c>
      <c r="AC389" s="1"/>
      <c r="AD389" s="1" t="s">
        <v>45</v>
      </c>
      <c r="AE389" s="22">
        <f>VLOOKUP(TablaCalificaciones[[#This Row],[Diapositivas como apoyo]],PESOS!A$25:B$29,2,0)</f>
        <v>10</v>
      </c>
      <c r="AF389" s="1"/>
      <c r="AG389" s="1" t="s">
        <v>45</v>
      </c>
      <c r="AH389" s="22">
        <f>VLOOKUP(TablaCalificaciones[[#This Row],[Respuestas a preguntas]],PESOS!A$25:B$29,2,0)</f>
        <v>10</v>
      </c>
      <c r="AI389" s="1"/>
      <c r="AJ389" s="1" t="s">
        <v>45</v>
      </c>
      <c r="AK389" s="22">
        <f>VLOOKUP(TablaCalificaciones[[#This Row],[Cierre: aporte a próximos pasos]],PESOS!A$25:B$29,2,0)</f>
        <v>10</v>
      </c>
      <c r="AL389" s="1"/>
      <c r="AM389" s="1"/>
    </row>
    <row r="390" spans="1:39">
      <c r="A390">
        <v>393</v>
      </c>
      <c r="B390" s="2">
        <v>46135.596319444398</v>
      </c>
      <c r="C390" s="2">
        <v>46135.600069444401</v>
      </c>
      <c r="D390" s="1" t="s">
        <v>87</v>
      </c>
      <c r="E390" s="1" t="s">
        <v>88</v>
      </c>
      <c r="G390" s="1"/>
      <c r="H390" s="2"/>
      <c r="I390" s="1" t="s">
        <v>229</v>
      </c>
      <c r="K390" s="1"/>
      <c r="L390" s="1" t="s">
        <v>88</v>
      </c>
      <c r="M390" s="26" t="str">
        <f>CONCATENATE(TablaCalificaciones[[#This Row],[Seleccione su nombre (Evaluador)]],TablaCalificaciones[[#This Row],[Seleccione el nombre del Estudiante]])</f>
        <v>Ana María Pazmiño DelgadoGamboa Salas Sinuhe Ibrahin</v>
      </c>
      <c r="N390" s="1"/>
      <c r="O390" s="1" t="s">
        <v>284</v>
      </c>
      <c r="Q390" s="1"/>
      <c r="R390" s="1" t="s">
        <v>44</v>
      </c>
      <c r="S390" s="22">
        <f>VLOOKUP(TablaCalificaciones[[#This Row],[Apertura: problema y objetivo ]],PESOS!A$16:B$20,2,0)</f>
        <v>20</v>
      </c>
      <c r="T390" s="1"/>
      <c r="U390" s="1" t="s">
        <v>44</v>
      </c>
      <c r="V390" s="22">
        <f>VLOOKUP(TablaCalificaciones[[#This Row],[Metodología (nivel adecuado)]],PESOS!A$16:B$20,2,0)</f>
        <v>20</v>
      </c>
      <c r="W390" s="1"/>
      <c r="X390" s="1" t="s">
        <v>44</v>
      </c>
      <c r="Y390" s="22">
        <f>VLOOKUP(TablaCalificaciones[[#This Row],[Resultados y evidencia ]],PESOS!A$16:B$20,2,0)</f>
        <v>20</v>
      </c>
      <c r="Z390" s="1"/>
      <c r="AA390" s="1" t="s">
        <v>45</v>
      </c>
      <c r="AB390" s="22">
        <f>VLOOKUP(TablaCalificaciones[[#This Row],[Coherencia y manejo del tiempo]],PESOS!A$25:B$29,2,0)</f>
        <v>10</v>
      </c>
      <c r="AC390" s="1"/>
      <c r="AD390" s="1" t="s">
        <v>45</v>
      </c>
      <c r="AE390" s="22">
        <f>VLOOKUP(TablaCalificaciones[[#This Row],[Diapositivas como apoyo]],PESOS!A$25:B$29,2,0)</f>
        <v>10</v>
      </c>
      <c r="AF390" s="1"/>
      <c r="AG390" s="1" t="s">
        <v>51</v>
      </c>
      <c r="AH390" s="22">
        <f>VLOOKUP(TablaCalificaciones[[#This Row],[Respuestas a preguntas]],PESOS!A$25:B$29,2,0)</f>
        <v>8</v>
      </c>
      <c r="AI390" s="1"/>
      <c r="AJ390" s="1" t="s">
        <v>45</v>
      </c>
      <c r="AK390" s="22">
        <f>VLOOKUP(TablaCalificaciones[[#This Row],[Cierre: aporte a próximos pasos]],PESOS!A$25:B$29,2,0)</f>
        <v>10</v>
      </c>
      <c r="AL390" s="1"/>
      <c r="AM390" s="1"/>
    </row>
    <row r="391" spans="1:39">
      <c r="A391">
        <v>394</v>
      </c>
      <c r="B391" s="2">
        <v>46135.6006597222</v>
      </c>
      <c r="C391" s="2">
        <v>46135.601712962998</v>
      </c>
      <c r="D391" s="1" t="s">
        <v>285</v>
      </c>
      <c r="E391" s="1" t="s">
        <v>286</v>
      </c>
      <c r="G391" s="1"/>
      <c r="H391" s="2"/>
      <c r="I391" s="1" t="s">
        <v>229</v>
      </c>
      <c r="K391" s="1"/>
      <c r="L391" s="1" t="s">
        <v>287</v>
      </c>
      <c r="M391" s="26" t="str">
        <f>CONCATENATE(TablaCalificaciones[[#This Row],[Seleccione su nombre (Evaluador)]],TablaCalificaciones[[#This Row],[Seleccione el nombre del Estudiante]])</f>
        <v>Luis Santiago CriolloJácome Ruiz Pablo Andrés</v>
      </c>
      <c r="N391" s="1"/>
      <c r="O391" s="1" t="s">
        <v>274</v>
      </c>
      <c r="Q391" s="1"/>
      <c r="R391" s="1" t="s">
        <v>44</v>
      </c>
      <c r="S391" s="22">
        <f>VLOOKUP(TablaCalificaciones[[#This Row],[Apertura: problema y objetivo ]],PESOS!A$16:B$20,2,0)</f>
        <v>20</v>
      </c>
      <c r="T391" s="1"/>
      <c r="U391" s="1" t="s">
        <v>44</v>
      </c>
      <c r="V391" s="22">
        <f>VLOOKUP(TablaCalificaciones[[#This Row],[Metodología (nivel adecuado)]],PESOS!A$16:B$20,2,0)</f>
        <v>20</v>
      </c>
      <c r="W391" s="1"/>
      <c r="X391" s="1" t="s">
        <v>44</v>
      </c>
      <c r="Y391" s="22">
        <f>VLOOKUP(TablaCalificaciones[[#This Row],[Resultados y evidencia ]],PESOS!A$16:B$20,2,0)</f>
        <v>20</v>
      </c>
      <c r="Z391" s="1"/>
      <c r="AA391" s="1" t="s">
        <v>45</v>
      </c>
      <c r="AB391" s="22">
        <f>VLOOKUP(TablaCalificaciones[[#This Row],[Coherencia y manejo del tiempo]],PESOS!A$25:B$29,2,0)</f>
        <v>10</v>
      </c>
      <c r="AC391" s="1"/>
      <c r="AD391" s="1" t="s">
        <v>45</v>
      </c>
      <c r="AE391" s="22">
        <f>VLOOKUP(TablaCalificaciones[[#This Row],[Diapositivas como apoyo]],PESOS!A$25:B$29,2,0)</f>
        <v>10</v>
      </c>
      <c r="AF391" s="1"/>
      <c r="AG391" s="1" t="s">
        <v>45</v>
      </c>
      <c r="AH391" s="22">
        <f>VLOOKUP(TablaCalificaciones[[#This Row],[Respuestas a preguntas]],PESOS!A$25:B$29,2,0)</f>
        <v>10</v>
      </c>
      <c r="AI391" s="1"/>
      <c r="AJ391" s="1" t="s">
        <v>45</v>
      </c>
      <c r="AK391" s="22">
        <f>VLOOKUP(TablaCalificaciones[[#This Row],[Cierre: aporte a próximos pasos]],PESOS!A$25:B$29,2,0)</f>
        <v>10</v>
      </c>
      <c r="AL391" s="1"/>
      <c r="AM391" s="1"/>
    </row>
    <row r="392" spans="1:39">
      <c r="A392">
        <v>395</v>
      </c>
      <c r="B392" s="2">
        <v>46135.601747685199</v>
      </c>
      <c r="C392" s="2">
        <v>46135.602222222202</v>
      </c>
      <c r="D392" s="1" t="s">
        <v>285</v>
      </c>
      <c r="E392" s="1" t="s">
        <v>286</v>
      </c>
      <c r="G392" s="1"/>
      <c r="H392" s="2"/>
      <c r="I392" s="1" t="s">
        <v>229</v>
      </c>
      <c r="K392" s="1"/>
      <c r="L392" s="1" t="s">
        <v>287</v>
      </c>
      <c r="M392" s="26" t="str">
        <f>CONCATENATE(TablaCalificaciones[[#This Row],[Seleccione su nombre (Evaluador)]],TablaCalificaciones[[#This Row],[Seleccione el nombre del Estudiante]])</f>
        <v>Luis Santiago CriolloGarces Fuentes Andrés Steven</v>
      </c>
      <c r="N392" s="1"/>
      <c r="O392" s="1" t="s">
        <v>271</v>
      </c>
      <c r="Q392" s="1"/>
      <c r="R392" s="1" t="s">
        <v>44</v>
      </c>
      <c r="S392" s="22">
        <f>VLOOKUP(TablaCalificaciones[[#This Row],[Apertura: problema y objetivo ]],PESOS!A$16:B$20,2,0)</f>
        <v>20</v>
      </c>
      <c r="T392" s="1"/>
      <c r="U392" s="1" t="s">
        <v>44</v>
      </c>
      <c r="V392" s="22">
        <f>VLOOKUP(TablaCalificaciones[[#This Row],[Metodología (nivel adecuado)]],PESOS!A$16:B$20,2,0)</f>
        <v>20</v>
      </c>
      <c r="W392" s="1"/>
      <c r="X392" s="1" t="s">
        <v>44</v>
      </c>
      <c r="Y392" s="22">
        <f>VLOOKUP(TablaCalificaciones[[#This Row],[Resultados y evidencia ]],PESOS!A$16:B$20,2,0)</f>
        <v>20</v>
      </c>
      <c r="Z392" s="1"/>
      <c r="AA392" s="1" t="s">
        <v>45</v>
      </c>
      <c r="AB392" s="22">
        <f>VLOOKUP(TablaCalificaciones[[#This Row],[Coherencia y manejo del tiempo]],PESOS!A$25:B$29,2,0)</f>
        <v>10</v>
      </c>
      <c r="AC392" s="1"/>
      <c r="AD392" s="1" t="s">
        <v>45</v>
      </c>
      <c r="AE392" s="22">
        <f>VLOOKUP(TablaCalificaciones[[#This Row],[Diapositivas como apoyo]],PESOS!A$25:B$29,2,0)</f>
        <v>10</v>
      </c>
      <c r="AF392" s="1"/>
      <c r="AG392" s="1" t="s">
        <v>45</v>
      </c>
      <c r="AH392" s="22">
        <f>VLOOKUP(TablaCalificaciones[[#This Row],[Respuestas a preguntas]],PESOS!A$25:B$29,2,0)</f>
        <v>10</v>
      </c>
      <c r="AI392" s="1"/>
      <c r="AJ392" s="1" t="s">
        <v>45</v>
      </c>
      <c r="AK392" s="22">
        <f>VLOOKUP(TablaCalificaciones[[#This Row],[Cierre: aporte a próximos pasos]],PESOS!A$25:B$29,2,0)</f>
        <v>10</v>
      </c>
      <c r="AL392" s="1"/>
      <c r="AM392" s="1"/>
    </row>
    <row r="393" spans="1:39">
      <c r="A393">
        <v>396</v>
      </c>
      <c r="B393" s="2">
        <v>46135.602256944403</v>
      </c>
      <c r="C393" s="2">
        <v>46135.602986111102</v>
      </c>
      <c r="D393" s="1" t="s">
        <v>285</v>
      </c>
      <c r="E393" s="1" t="s">
        <v>286</v>
      </c>
      <c r="G393" s="1"/>
      <c r="H393" s="2"/>
      <c r="I393" s="1" t="s">
        <v>229</v>
      </c>
      <c r="K393" s="1"/>
      <c r="L393" s="1" t="s">
        <v>287</v>
      </c>
      <c r="M393" s="26" t="str">
        <f>CONCATENATE(TablaCalificaciones[[#This Row],[Seleccione su nombre (Evaluador)]],TablaCalificaciones[[#This Row],[Seleccione el nombre del Estudiante]])</f>
        <v>Luis Santiago CriolloPonce Jara Juan Diego</v>
      </c>
      <c r="N393" s="1"/>
      <c r="O393" s="1" t="s">
        <v>272</v>
      </c>
      <c r="Q393" s="1"/>
      <c r="R393" s="1" t="s">
        <v>44</v>
      </c>
      <c r="S393" s="22">
        <f>VLOOKUP(TablaCalificaciones[[#This Row],[Apertura: problema y objetivo ]],PESOS!A$16:B$20,2,0)</f>
        <v>20</v>
      </c>
      <c r="T393" s="1"/>
      <c r="U393" s="1" t="s">
        <v>44</v>
      </c>
      <c r="V393" s="22">
        <f>VLOOKUP(TablaCalificaciones[[#This Row],[Metodología (nivel adecuado)]],PESOS!A$16:B$20,2,0)</f>
        <v>20</v>
      </c>
      <c r="W393" s="1"/>
      <c r="X393" s="1" t="s">
        <v>44</v>
      </c>
      <c r="Y393" s="22">
        <f>VLOOKUP(TablaCalificaciones[[#This Row],[Resultados y evidencia ]],PESOS!A$16:B$20,2,0)</f>
        <v>20</v>
      </c>
      <c r="Z393" s="1"/>
      <c r="AA393" s="1" t="s">
        <v>45</v>
      </c>
      <c r="AB393" s="22">
        <f>VLOOKUP(TablaCalificaciones[[#This Row],[Coherencia y manejo del tiempo]],PESOS!A$25:B$29,2,0)</f>
        <v>10</v>
      </c>
      <c r="AC393" s="1"/>
      <c r="AD393" s="1" t="s">
        <v>45</v>
      </c>
      <c r="AE393" s="22">
        <f>VLOOKUP(TablaCalificaciones[[#This Row],[Diapositivas como apoyo]],PESOS!A$25:B$29,2,0)</f>
        <v>10</v>
      </c>
      <c r="AF393" s="1"/>
      <c r="AG393" s="1" t="s">
        <v>45</v>
      </c>
      <c r="AH393" s="22">
        <f>VLOOKUP(TablaCalificaciones[[#This Row],[Respuestas a preguntas]],PESOS!A$25:B$29,2,0)</f>
        <v>10</v>
      </c>
      <c r="AI393" s="1"/>
      <c r="AJ393" s="1" t="s">
        <v>45</v>
      </c>
      <c r="AK393" s="22">
        <f>VLOOKUP(TablaCalificaciones[[#This Row],[Cierre: aporte a próximos pasos]],PESOS!A$25:B$29,2,0)</f>
        <v>10</v>
      </c>
      <c r="AL393" s="1"/>
      <c r="AM393" s="1"/>
    </row>
    <row r="394" spans="1:39">
      <c r="A394">
        <v>397</v>
      </c>
      <c r="B394" s="2">
        <v>46135.603009259299</v>
      </c>
      <c r="C394" s="2">
        <v>46135.603611111103</v>
      </c>
      <c r="D394" s="1" t="s">
        <v>285</v>
      </c>
      <c r="E394" s="1" t="s">
        <v>286</v>
      </c>
      <c r="G394" s="1"/>
      <c r="H394" s="2"/>
      <c r="I394" s="1" t="s">
        <v>229</v>
      </c>
      <c r="K394" s="1"/>
      <c r="L394" s="1" t="s">
        <v>287</v>
      </c>
      <c r="M394" s="26" t="str">
        <f>CONCATENATE(TablaCalificaciones[[#This Row],[Seleccione su nombre (Evaluador)]],TablaCalificaciones[[#This Row],[Seleccione el nombre del Estudiante]])</f>
        <v>Luis Santiago CriolloGamboa Salas Sinuhe Ibrahin</v>
      </c>
      <c r="N394" s="1"/>
      <c r="O394" s="1" t="s">
        <v>284</v>
      </c>
      <c r="Q394" s="1"/>
      <c r="R394" s="1" t="s">
        <v>44</v>
      </c>
      <c r="S394" s="22">
        <f>VLOOKUP(TablaCalificaciones[[#This Row],[Apertura: problema y objetivo ]],PESOS!A$16:B$20,2,0)</f>
        <v>20</v>
      </c>
      <c r="T394" s="1"/>
      <c r="U394" s="1" t="s">
        <v>44</v>
      </c>
      <c r="V394" s="22">
        <f>VLOOKUP(TablaCalificaciones[[#This Row],[Metodología (nivel adecuado)]],PESOS!A$16:B$20,2,0)</f>
        <v>20</v>
      </c>
      <c r="W394" s="1"/>
      <c r="X394" s="1" t="s">
        <v>44</v>
      </c>
      <c r="Y394" s="22">
        <f>VLOOKUP(TablaCalificaciones[[#This Row],[Resultados y evidencia ]],PESOS!A$16:B$20,2,0)</f>
        <v>20</v>
      </c>
      <c r="Z394" s="1"/>
      <c r="AA394" s="1" t="s">
        <v>45</v>
      </c>
      <c r="AB394" s="22">
        <f>VLOOKUP(TablaCalificaciones[[#This Row],[Coherencia y manejo del tiempo]],PESOS!A$25:B$29,2,0)</f>
        <v>10</v>
      </c>
      <c r="AC394" s="1"/>
      <c r="AD394" s="1" t="s">
        <v>45</v>
      </c>
      <c r="AE394" s="22">
        <f>VLOOKUP(TablaCalificaciones[[#This Row],[Diapositivas como apoyo]],PESOS!A$25:B$29,2,0)</f>
        <v>10</v>
      </c>
      <c r="AF394" s="1"/>
      <c r="AG394" s="1" t="s">
        <v>45</v>
      </c>
      <c r="AH394" s="22">
        <f>VLOOKUP(TablaCalificaciones[[#This Row],[Respuestas a preguntas]],PESOS!A$25:B$29,2,0)</f>
        <v>10</v>
      </c>
      <c r="AI394" s="1"/>
      <c r="AJ394" s="1" t="s">
        <v>45</v>
      </c>
      <c r="AK394" s="22">
        <f>VLOOKUP(TablaCalificaciones[[#This Row],[Cierre: aporte a próximos pasos]],PESOS!A$25:B$29,2,0)</f>
        <v>10</v>
      </c>
      <c r="AL394" s="1"/>
      <c r="AM394" s="1"/>
    </row>
    <row r="395" spans="1:39">
      <c r="A395">
        <v>398</v>
      </c>
      <c r="B395" s="2">
        <v>46135.603865740697</v>
      </c>
      <c r="C395" s="2">
        <v>46135.6042592593</v>
      </c>
      <c r="D395" s="1" t="s">
        <v>285</v>
      </c>
      <c r="E395" s="1" t="s">
        <v>286</v>
      </c>
      <c r="G395" s="1"/>
      <c r="H395" s="2"/>
      <c r="I395" s="1" t="s">
        <v>229</v>
      </c>
      <c r="K395" s="1"/>
      <c r="L395" s="1" t="s">
        <v>287</v>
      </c>
      <c r="M395" s="26" t="str">
        <f>CONCATENATE(TablaCalificaciones[[#This Row],[Seleccione su nombre (Evaluador)]],TablaCalificaciones[[#This Row],[Seleccione el nombre del Estudiante]])</f>
        <v>Luis Santiago CriolloMartínez Rosero Nikita Nahomy</v>
      </c>
      <c r="N395" s="1"/>
      <c r="O395" s="1" t="s">
        <v>282</v>
      </c>
      <c r="Q395" s="1"/>
      <c r="R395" s="1" t="s">
        <v>44</v>
      </c>
      <c r="S395" s="22">
        <f>VLOOKUP(TablaCalificaciones[[#This Row],[Apertura: problema y objetivo ]],PESOS!A$16:B$20,2,0)</f>
        <v>20</v>
      </c>
      <c r="T395" s="1"/>
      <c r="U395" s="1" t="s">
        <v>44</v>
      </c>
      <c r="V395" s="22">
        <f>VLOOKUP(TablaCalificaciones[[#This Row],[Metodología (nivel adecuado)]],PESOS!A$16:B$20,2,0)</f>
        <v>20</v>
      </c>
      <c r="W395" s="1"/>
      <c r="X395" s="1" t="s">
        <v>44</v>
      </c>
      <c r="Y395" s="22">
        <f>VLOOKUP(TablaCalificaciones[[#This Row],[Resultados y evidencia ]],PESOS!A$16:B$20,2,0)</f>
        <v>20</v>
      </c>
      <c r="Z395" s="1"/>
      <c r="AA395" s="1" t="s">
        <v>45</v>
      </c>
      <c r="AB395" s="22">
        <f>VLOOKUP(TablaCalificaciones[[#This Row],[Coherencia y manejo del tiempo]],PESOS!A$25:B$29,2,0)</f>
        <v>10</v>
      </c>
      <c r="AC395" s="1"/>
      <c r="AD395" s="1" t="s">
        <v>45</v>
      </c>
      <c r="AE395" s="22">
        <f>VLOOKUP(TablaCalificaciones[[#This Row],[Diapositivas como apoyo]],PESOS!A$25:B$29,2,0)</f>
        <v>10</v>
      </c>
      <c r="AF395" s="1"/>
      <c r="AG395" s="1" t="s">
        <v>45</v>
      </c>
      <c r="AH395" s="22">
        <f>VLOOKUP(TablaCalificaciones[[#This Row],[Respuestas a preguntas]],PESOS!A$25:B$29,2,0)</f>
        <v>10</v>
      </c>
      <c r="AI395" s="1"/>
      <c r="AJ395" s="1" t="s">
        <v>45</v>
      </c>
      <c r="AK395" s="22">
        <f>VLOOKUP(TablaCalificaciones[[#This Row],[Cierre: aporte a próximos pasos]],PESOS!A$25:B$29,2,0)</f>
        <v>10</v>
      </c>
      <c r="AL395" s="1"/>
      <c r="AM395" s="1"/>
    </row>
    <row r="396" spans="1:39">
      <c r="A396">
        <v>399</v>
      </c>
      <c r="B396" s="2">
        <v>46135.604918981502</v>
      </c>
      <c r="C396" s="2">
        <v>46135.605208333298</v>
      </c>
      <c r="D396" s="1" t="s">
        <v>285</v>
      </c>
      <c r="E396" s="1" t="s">
        <v>286</v>
      </c>
      <c r="G396" s="1"/>
      <c r="H396" s="2"/>
      <c r="I396" s="1" t="s">
        <v>229</v>
      </c>
      <c r="K396" s="1"/>
      <c r="L396" s="1" t="s">
        <v>287</v>
      </c>
      <c r="M396" s="26" t="str">
        <f>CONCATENATE(TablaCalificaciones[[#This Row],[Seleccione su nombre (Evaluador)]],TablaCalificaciones[[#This Row],[Seleccione el nombre del Estudiante]])</f>
        <v>Luis Santiago CriolloAndrade Mulki Esteban Nicolas</v>
      </c>
      <c r="N396" s="1"/>
      <c r="O396" s="1" t="s">
        <v>283</v>
      </c>
      <c r="Q396" s="1"/>
      <c r="R396" s="1" t="s">
        <v>44</v>
      </c>
      <c r="S396" s="22">
        <f>VLOOKUP(TablaCalificaciones[[#This Row],[Apertura: problema y objetivo ]],PESOS!A$16:B$20,2,0)</f>
        <v>20</v>
      </c>
      <c r="T396" s="1"/>
      <c r="U396" s="1" t="s">
        <v>44</v>
      </c>
      <c r="V396" s="22">
        <f>VLOOKUP(TablaCalificaciones[[#This Row],[Metodología (nivel adecuado)]],PESOS!A$16:B$20,2,0)</f>
        <v>20</v>
      </c>
      <c r="W396" s="1"/>
      <c r="X396" s="1" t="s">
        <v>44</v>
      </c>
      <c r="Y396" s="22">
        <f>VLOOKUP(TablaCalificaciones[[#This Row],[Resultados y evidencia ]],PESOS!A$16:B$20,2,0)</f>
        <v>20</v>
      </c>
      <c r="Z396" s="1"/>
      <c r="AA396" s="1" t="s">
        <v>45</v>
      </c>
      <c r="AB396" s="22">
        <f>VLOOKUP(TablaCalificaciones[[#This Row],[Coherencia y manejo del tiempo]],PESOS!A$25:B$29,2,0)</f>
        <v>10</v>
      </c>
      <c r="AC396" s="1"/>
      <c r="AD396" s="1" t="s">
        <v>45</v>
      </c>
      <c r="AE396" s="22">
        <f>VLOOKUP(TablaCalificaciones[[#This Row],[Diapositivas como apoyo]],PESOS!A$25:B$29,2,0)</f>
        <v>10</v>
      </c>
      <c r="AF396" s="1"/>
      <c r="AG396" s="1" t="s">
        <v>45</v>
      </c>
      <c r="AH396" s="22">
        <f>VLOOKUP(TablaCalificaciones[[#This Row],[Respuestas a preguntas]],PESOS!A$25:B$29,2,0)</f>
        <v>10</v>
      </c>
      <c r="AI396" s="1"/>
      <c r="AJ396" s="1" t="s">
        <v>45</v>
      </c>
      <c r="AK396" s="22">
        <f>VLOOKUP(TablaCalificaciones[[#This Row],[Cierre: aporte a próximos pasos]],PESOS!A$25:B$29,2,0)</f>
        <v>10</v>
      </c>
      <c r="AL396" s="1"/>
      <c r="AM396" s="1"/>
    </row>
    <row r="397" spans="1:39">
      <c r="A397">
        <v>400</v>
      </c>
      <c r="B397" s="2">
        <v>46135.394398148099</v>
      </c>
      <c r="C397" s="2">
        <v>46135.6703009259</v>
      </c>
      <c r="D397" s="1" t="s">
        <v>39</v>
      </c>
      <c r="E397" s="1" t="s">
        <v>40</v>
      </c>
      <c r="G397" s="1"/>
      <c r="H397" s="2"/>
      <c r="I397" s="1" t="s">
        <v>229</v>
      </c>
      <c r="K397" s="1"/>
      <c r="L397" s="1" t="s">
        <v>42</v>
      </c>
      <c r="M397" s="26" t="str">
        <f>CONCATENATE(TablaCalificaciones[[#This Row],[Seleccione su nombre (Evaluador)]],TablaCalificaciones[[#This Row],[Seleccione el nombre del Estudiante]])</f>
        <v>Patricio David PonceMartínez Rosero Nikita Nahomy</v>
      </c>
      <c r="N397" s="1"/>
      <c r="O397" s="1" t="s">
        <v>282</v>
      </c>
      <c r="Q397" s="1"/>
      <c r="R397" s="1" t="s">
        <v>44</v>
      </c>
      <c r="S397" s="22">
        <f>VLOOKUP(TablaCalificaciones[[#This Row],[Apertura: problema y objetivo ]],PESOS!A$16:B$20,2,0)</f>
        <v>20</v>
      </c>
      <c r="T397" s="1"/>
      <c r="U397" s="1" t="s">
        <v>44</v>
      </c>
      <c r="V397" s="22">
        <f>VLOOKUP(TablaCalificaciones[[#This Row],[Metodología (nivel adecuado)]],PESOS!A$16:B$20,2,0)</f>
        <v>20</v>
      </c>
      <c r="W397" s="1"/>
      <c r="X397" s="1" t="s">
        <v>50</v>
      </c>
      <c r="Y397" s="22">
        <f>VLOOKUP(TablaCalificaciones[[#This Row],[Resultados y evidencia ]],PESOS!A$16:B$20,2,0)</f>
        <v>16</v>
      </c>
      <c r="Z397" s="1"/>
      <c r="AA397" s="1" t="s">
        <v>45</v>
      </c>
      <c r="AB397" s="22">
        <f>VLOOKUP(TablaCalificaciones[[#This Row],[Coherencia y manejo del tiempo]],PESOS!A$25:B$29,2,0)</f>
        <v>10</v>
      </c>
      <c r="AC397" s="1"/>
      <c r="AD397" s="1" t="s">
        <v>45</v>
      </c>
      <c r="AE397" s="22">
        <f>VLOOKUP(TablaCalificaciones[[#This Row],[Diapositivas como apoyo]],PESOS!A$25:B$29,2,0)</f>
        <v>10</v>
      </c>
      <c r="AF397" s="1"/>
      <c r="AG397" s="1" t="s">
        <v>45</v>
      </c>
      <c r="AH397" s="22">
        <f>VLOOKUP(TablaCalificaciones[[#This Row],[Respuestas a preguntas]],PESOS!A$25:B$29,2,0)</f>
        <v>10</v>
      </c>
      <c r="AI397" s="1"/>
      <c r="AJ397" s="1" t="s">
        <v>45</v>
      </c>
      <c r="AK397" s="22">
        <f>VLOOKUP(TablaCalificaciones[[#This Row],[Cierre: aporte a próximos pasos]],PESOS!A$25:B$29,2,0)</f>
        <v>10</v>
      </c>
      <c r="AL397" s="1"/>
      <c r="AM397" s="1"/>
    </row>
    <row r="398" spans="1:39">
      <c r="A398">
        <v>401</v>
      </c>
      <c r="B398" s="2">
        <v>46135.670324074097</v>
      </c>
      <c r="C398" s="2">
        <v>46135.670694444401</v>
      </c>
      <c r="D398" s="1" t="s">
        <v>39</v>
      </c>
      <c r="E398" s="1" t="s">
        <v>40</v>
      </c>
      <c r="G398" s="1"/>
      <c r="H398" s="2"/>
      <c r="I398" s="1" t="s">
        <v>229</v>
      </c>
      <c r="K398" s="1"/>
      <c r="L398" s="1" t="s">
        <v>42</v>
      </c>
      <c r="M398" s="26" t="str">
        <f>CONCATENATE(TablaCalificaciones[[#This Row],[Seleccione su nombre (Evaluador)]],TablaCalificaciones[[#This Row],[Seleccione el nombre del Estudiante]])</f>
        <v>Patricio David PonceAndrade Mulki Esteban Nicolas</v>
      </c>
      <c r="N398" s="1"/>
      <c r="O398" s="1" t="s">
        <v>283</v>
      </c>
      <c r="Q398" s="1"/>
      <c r="R398" s="1" t="s">
        <v>44</v>
      </c>
      <c r="S398" s="22">
        <f>VLOOKUP(TablaCalificaciones[[#This Row],[Apertura: problema y objetivo ]],PESOS!A$16:B$20,2,0)</f>
        <v>20</v>
      </c>
      <c r="T398" s="1"/>
      <c r="U398" s="1" t="s">
        <v>44</v>
      </c>
      <c r="V398" s="22">
        <f>VLOOKUP(TablaCalificaciones[[#This Row],[Metodología (nivel adecuado)]],PESOS!A$16:B$20,2,0)</f>
        <v>20</v>
      </c>
      <c r="W398" s="1"/>
      <c r="X398" s="1" t="s">
        <v>50</v>
      </c>
      <c r="Y398" s="22">
        <f>VLOOKUP(TablaCalificaciones[[#This Row],[Resultados y evidencia ]],PESOS!A$16:B$20,2,0)</f>
        <v>16</v>
      </c>
      <c r="Z398" s="1"/>
      <c r="AA398" s="1" t="s">
        <v>45</v>
      </c>
      <c r="AB398" s="22">
        <f>VLOOKUP(TablaCalificaciones[[#This Row],[Coherencia y manejo del tiempo]],PESOS!A$25:B$29,2,0)</f>
        <v>10</v>
      </c>
      <c r="AC398" s="1"/>
      <c r="AD398" s="1" t="s">
        <v>45</v>
      </c>
      <c r="AE398" s="22">
        <f>VLOOKUP(TablaCalificaciones[[#This Row],[Diapositivas como apoyo]],PESOS!A$25:B$29,2,0)</f>
        <v>10</v>
      </c>
      <c r="AF398" s="1"/>
      <c r="AG398" s="1" t="s">
        <v>45</v>
      </c>
      <c r="AH398" s="22">
        <f>VLOOKUP(TablaCalificaciones[[#This Row],[Respuestas a preguntas]],PESOS!A$25:B$29,2,0)</f>
        <v>10</v>
      </c>
      <c r="AI398" s="1"/>
      <c r="AJ398" s="1" t="s">
        <v>45</v>
      </c>
      <c r="AK398" s="22">
        <f>VLOOKUP(TablaCalificaciones[[#This Row],[Cierre: aporte a próximos pasos]],PESOS!A$25:B$29,2,0)</f>
        <v>10</v>
      </c>
      <c r="AL398" s="1"/>
      <c r="AM398" s="1"/>
    </row>
    <row r="399" spans="1:39">
      <c r="A399">
        <v>402</v>
      </c>
      <c r="B399" s="2">
        <v>46135.670717592599</v>
      </c>
      <c r="C399" s="2">
        <v>46135.6712037037</v>
      </c>
      <c r="D399" s="1" t="s">
        <v>39</v>
      </c>
      <c r="E399" s="1" t="s">
        <v>40</v>
      </c>
      <c r="G399" s="1"/>
      <c r="H399" s="2"/>
      <c r="I399" s="1" t="s">
        <v>229</v>
      </c>
      <c r="K399" s="1"/>
      <c r="L399" s="1" t="s">
        <v>42</v>
      </c>
      <c r="M399" s="26" t="str">
        <f>CONCATENATE(TablaCalificaciones[[#This Row],[Seleccione su nombre (Evaluador)]],TablaCalificaciones[[#This Row],[Seleccione el nombre del Estudiante]])</f>
        <v>Patricio David PonceGamboa Salas Sinuhe Ibrahin</v>
      </c>
      <c r="N399" s="1"/>
      <c r="O399" s="1" t="s">
        <v>284</v>
      </c>
      <c r="Q399" s="1"/>
      <c r="R399" s="1" t="s">
        <v>44</v>
      </c>
      <c r="S399" s="22">
        <f>VLOOKUP(TablaCalificaciones[[#This Row],[Apertura: problema y objetivo ]],PESOS!A$16:B$20,2,0)</f>
        <v>20</v>
      </c>
      <c r="T399" s="1"/>
      <c r="U399" s="1" t="s">
        <v>50</v>
      </c>
      <c r="V399" s="22">
        <f>VLOOKUP(TablaCalificaciones[[#This Row],[Metodología (nivel adecuado)]],PESOS!A$16:B$20,2,0)</f>
        <v>16</v>
      </c>
      <c r="W399" s="1"/>
      <c r="X399" s="1" t="s">
        <v>44</v>
      </c>
      <c r="Y399" s="22">
        <f>VLOOKUP(TablaCalificaciones[[#This Row],[Resultados y evidencia ]],PESOS!A$16:B$20,2,0)</f>
        <v>20</v>
      </c>
      <c r="Z399" s="1"/>
      <c r="AA399" s="1" t="s">
        <v>45</v>
      </c>
      <c r="AB399" s="22">
        <f>VLOOKUP(TablaCalificaciones[[#This Row],[Coherencia y manejo del tiempo]],PESOS!A$25:B$29,2,0)</f>
        <v>10</v>
      </c>
      <c r="AC399" s="1"/>
      <c r="AD399" s="1" t="s">
        <v>45</v>
      </c>
      <c r="AE399" s="22">
        <f>VLOOKUP(TablaCalificaciones[[#This Row],[Diapositivas como apoyo]],PESOS!A$25:B$29,2,0)</f>
        <v>10</v>
      </c>
      <c r="AF399" s="1"/>
      <c r="AG399" s="1" t="s">
        <v>45</v>
      </c>
      <c r="AH399" s="22">
        <f>VLOOKUP(TablaCalificaciones[[#This Row],[Respuestas a preguntas]],PESOS!A$25:B$29,2,0)</f>
        <v>10</v>
      </c>
      <c r="AI399" s="1"/>
      <c r="AJ399" s="1" t="s">
        <v>45</v>
      </c>
      <c r="AK399" s="22">
        <f>VLOOKUP(TablaCalificaciones[[#This Row],[Cierre: aporte a próximos pasos]],PESOS!A$25:B$29,2,0)</f>
        <v>10</v>
      </c>
      <c r="AL399" s="1"/>
      <c r="AM399" s="1"/>
    </row>
    <row r="400" spans="1:39">
      <c r="A400">
        <v>403</v>
      </c>
      <c r="B400" s="2">
        <v>46135.671238425901</v>
      </c>
      <c r="C400" s="2">
        <v>46135.672569444403</v>
      </c>
      <c r="D400" s="1" t="s">
        <v>39</v>
      </c>
      <c r="E400" s="1" t="s">
        <v>40</v>
      </c>
      <c r="G400" s="1"/>
      <c r="H400" s="2"/>
      <c r="I400" s="1" t="s">
        <v>229</v>
      </c>
      <c r="K400" s="1"/>
      <c r="L400" s="1" t="s">
        <v>42</v>
      </c>
      <c r="M400" s="26" t="str">
        <f>CONCATENATE(TablaCalificaciones[[#This Row],[Seleccione su nombre (Evaluador)]],TablaCalificaciones[[#This Row],[Seleccione el nombre del Estudiante]])</f>
        <v>Patricio David PonceSaona David Hernán</v>
      </c>
      <c r="N400" s="1"/>
      <c r="O400" s="1" t="s">
        <v>279</v>
      </c>
      <c r="Q400" s="1"/>
      <c r="R400" s="1" t="s">
        <v>44</v>
      </c>
      <c r="S400" s="22">
        <f>VLOOKUP(TablaCalificaciones[[#This Row],[Apertura: problema y objetivo ]],PESOS!A$16:B$20,2,0)</f>
        <v>20</v>
      </c>
      <c r="T400" s="1"/>
      <c r="U400" s="1" t="s">
        <v>44</v>
      </c>
      <c r="V400" s="22">
        <f>VLOOKUP(TablaCalificaciones[[#This Row],[Metodología (nivel adecuado)]],PESOS!A$16:B$20,2,0)</f>
        <v>20</v>
      </c>
      <c r="W400" s="1"/>
      <c r="X400" s="1" t="s">
        <v>50</v>
      </c>
      <c r="Y400" s="22">
        <f>VLOOKUP(TablaCalificaciones[[#This Row],[Resultados y evidencia ]],PESOS!A$16:B$20,2,0)</f>
        <v>16</v>
      </c>
      <c r="Z400" s="1"/>
      <c r="AA400" s="1" t="s">
        <v>51</v>
      </c>
      <c r="AB400" s="22">
        <f>VLOOKUP(TablaCalificaciones[[#This Row],[Coherencia y manejo del tiempo]],PESOS!A$25:B$29,2,0)</f>
        <v>8</v>
      </c>
      <c r="AC400" s="1"/>
      <c r="AD400" s="1" t="s">
        <v>45</v>
      </c>
      <c r="AE400" s="22">
        <f>VLOOKUP(TablaCalificaciones[[#This Row],[Diapositivas como apoyo]],PESOS!A$25:B$29,2,0)</f>
        <v>10</v>
      </c>
      <c r="AF400" s="1"/>
      <c r="AG400" s="1" t="s">
        <v>45</v>
      </c>
      <c r="AH400" s="22">
        <f>VLOOKUP(TablaCalificaciones[[#This Row],[Respuestas a preguntas]],PESOS!A$25:B$29,2,0)</f>
        <v>10</v>
      </c>
      <c r="AI400" s="1"/>
      <c r="AJ400" s="1" t="s">
        <v>51</v>
      </c>
      <c r="AK400" s="22">
        <f>VLOOKUP(TablaCalificaciones[[#This Row],[Cierre: aporte a próximos pasos]],PESOS!A$25:B$29,2,0)</f>
        <v>8</v>
      </c>
      <c r="AL400" s="1"/>
      <c r="AM400" s="1"/>
    </row>
    <row r="401" spans="1:39">
      <c r="A401">
        <v>404</v>
      </c>
      <c r="B401" s="2">
        <v>46135.672581018502</v>
      </c>
      <c r="C401" s="2">
        <v>46135.672974537003</v>
      </c>
      <c r="D401" s="1" t="s">
        <v>39</v>
      </c>
      <c r="E401" s="1" t="s">
        <v>40</v>
      </c>
      <c r="G401" s="1"/>
      <c r="H401" s="2"/>
      <c r="I401" s="1" t="s">
        <v>229</v>
      </c>
      <c r="K401" s="1"/>
      <c r="L401" s="1" t="s">
        <v>42</v>
      </c>
      <c r="M401" s="26" t="str">
        <f>CONCATENATE(TablaCalificaciones[[#This Row],[Seleccione su nombre (Evaluador)]],TablaCalificaciones[[#This Row],[Seleccione el nombre del Estudiante]])</f>
        <v>Patricio David PonceEspinoza Erick Daniel</v>
      </c>
      <c r="N401" s="1"/>
      <c r="O401" s="1" t="s">
        <v>280</v>
      </c>
      <c r="Q401" s="1"/>
      <c r="R401" s="1" t="s">
        <v>44</v>
      </c>
      <c r="S401" s="22">
        <f>VLOOKUP(TablaCalificaciones[[#This Row],[Apertura: problema y objetivo ]],PESOS!A$16:B$20,2,0)</f>
        <v>20</v>
      </c>
      <c r="T401" s="1"/>
      <c r="U401" s="1" t="s">
        <v>44</v>
      </c>
      <c r="V401" s="22">
        <f>VLOOKUP(TablaCalificaciones[[#This Row],[Metodología (nivel adecuado)]],PESOS!A$16:B$20,2,0)</f>
        <v>20</v>
      </c>
      <c r="W401" s="1"/>
      <c r="X401" s="1" t="s">
        <v>50</v>
      </c>
      <c r="Y401" s="22">
        <f>VLOOKUP(TablaCalificaciones[[#This Row],[Resultados y evidencia ]],PESOS!A$16:B$20,2,0)</f>
        <v>16</v>
      </c>
      <c r="Z401" s="1"/>
      <c r="AA401" s="1" t="s">
        <v>51</v>
      </c>
      <c r="AB401" s="22">
        <f>VLOOKUP(TablaCalificaciones[[#This Row],[Coherencia y manejo del tiempo]],PESOS!A$25:B$29,2,0)</f>
        <v>8</v>
      </c>
      <c r="AC401" s="1"/>
      <c r="AD401" s="1" t="s">
        <v>45</v>
      </c>
      <c r="AE401" s="22">
        <f>VLOOKUP(TablaCalificaciones[[#This Row],[Diapositivas como apoyo]],PESOS!A$25:B$29,2,0)</f>
        <v>10</v>
      </c>
      <c r="AF401" s="1"/>
      <c r="AG401" s="1" t="s">
        <v>51</v>
      </c>
      <c r="AH401" s="22">
        <f>VLOOKUP(TablaCalificaciones[[#This Row],[Respuestas a preguntas]],PESOS!A$25:B$29,2,0)</f>
        <v>8</v>
      </c>
      <c r="AI401" s="1"/>
      <c r="AJ401" s="1" t="s">
        <v>51</v>
      </c>
      <c r="AK401" s="22">
        <f>VLOOKUP(TablaCalificaciones[[#This Row],[Cierre: aporte a próximos pasos]],PESOS!A$25:B$29,2,0)</f>
        <v>8</v>
      </c>
      <c r="AL401" s="1"/>
      <c r="AM401" s="1"/>
    </row>
    <row r="402" spans="1:39">
      <c r="A402">
        <v>405</v>
      </c>
      <c r="B402" s="2">
        <v>46135.6729976852</v>
      </c>
      <c r="C402" s="2">
        <v>46135.673368055599</v>
      </c>
      <c r="D402" s="1" t="s">
        <v>39</v>
      </c>
      <c r="E402" s="1" t="s">
        <v>40</v>
      </c>
      <c r="G402" s="1"/>
      <c r="H402" s="2"/>
      <c r="I402" s="1" t="s">
        <v>229</v>
      </c>
      <c r="K402" s="1"/>
      <c r="L402" s="1" t="s">
        <v>42</v>
      </c>
      <c r="M402" s="26" t="str">
        <f>CONCATENATE(TablaCalificaciones[[#This Row],[Seleccione su nombre (Evaluador)]],TablaCalificaciones[[#This Row],[Seleccione el nombre del Estudiante]])</f>
        <v>Patricio David PonceRevelo Juan Manuel</v>
      </c>
      <c r="N402" s="1"/>
      <c r="O402" s="1" t="s">
        <v>281</v>
      </c>
      <c r="Q402" s="1"/>
      <c r="R402" s="1" t="s">
        <v>44</v>
      </c>
      <c r="S402" s="22">
        <f>VLOOKUP(TablaCalificaciones[[#This Row],[Apertura: problema y objetivo ]],PESOS!A$16:B$20,2,0)</f>
        <v>20</v>
      </c>
      <c r="T402" s="1"/>
      <c r="U402" s="1" t="s">
        <v>44</v>
      </c>
      <c r="V402" s="22">
        <f>VLOOKUP(TablaCalificaciones[[#This Row],[Metodología (nivel adecuado)]],PESOS!A$16:B$20,2,0)</f>
        <v>20</v>
      </c>
      <c r="W402" s="1"/>
      <c r="X402" s="1" t="s">
        <v>50</v>
      </c>
      <c r="Y402" s="22">
        <f>VLOOKUP(TablaCalificaciones[[#This Row],[Resultados y evidencia ]],PESOS!A$16:B$20,2,0)</f>
        <v>16</v>
      </c>
      <c r="Z402" s="1"/>
      <c r="AA402" s="1" t="s">
        <v>51</v>
      </c>
      <c r="AB402" s="22">
        <f>VLOOKUP(TablaCalificaciones[[#This Row],[Coherencia y manejo del tiempo]],PESOS!A$25:B$29,2,0)</f>
        <v>8</v>
      </c>
      <c r="AC402" s="1"/>
      <c r="AD402" s="1" t="s">
        <v>45</v>
      </c>
      <c r="AE402" s="22">
        <f>VLOOKUP(TablaCalificaciones[[#This Row],[Diapositivas como apoyo]],PESOS!A$25:B$29,2,0)</f>
        <v>10</v>
      </c>
      <c r="AF402" s="1"/>
      <c r="AG402" s="1" t="s">
        <v>51</v>
      </c>
      <c r="AH402" s="22">
        <f>VLOOKUP(TablaCalificaciones[[#This Row],[Respuestas a preguntas]],PESOS!A$25:B$29,2,0)</f>
        <v>8</v>
      </c>
      <c r="AI402" s="1"/>
      <c r="AJ402" s="1" t="s">
        <v>51</v>
      </c>
      <c r="AK402" s="22">
        <f>VLOOKUP(TablaCalificaciones[[#This Row],[Cierre: aporte a próximos pasos]],PESOS!A$25:B$29,2,0)</f>
        <v>8</v>
      </c>
      <c r="AL402" s="1"/>
      <c r="AM402" s="1"/>
    </row>
    <row r="403" spans="1:39">
      <c r="A403">
        <v>406</v>
      </c>
      <c r="B403" s="2">
        <v>46135.673379629603</v>
      </c>
      <c r="C403" s="2">
        <v>46135.674722222197</v>
      </c>
      <c r="D403" s="1" t="s">
        <v>39</v>
      </c>
      <c r="E403" s="1" t="s">
        <v>40</v>
      </c>
      <c r="G403" s="1"/>
      <c r="H403" s="2"/>
      <c r="I403" s="1" t="s">
        <v>229</v>
      </c>
      <c r="K403" s="1"/>
      <c r="L403" s="1" t="s">
        <v>42</v>
      </c>
      <c r="M403" s="26" t="str">
        <f>CONCATENATE(TablaCalificaciones[[#This Row],[Seleccione su nombre (Evaluador)]],TablaCalificaciones[[#This Row],[Seleccione el nombre del Estudiante]])</f>
        <v>Patricio David PonceToscano Romero José</v>
      </c>
      <c r="N403" s="1"/>
      <c r="O403" s="1" t="s">
        <v>278</v>
      </c>
      <c r="Q403" s="1"/>
      <c r="R403" s="1" t="s">
        <v>44</v>
      </c>
      <c r="S403" s="22">
        <f>VLOOKUP(TablaCalificaciones[[#This Row],[Apertura: problema y objetivo ]],PESOS!A$16:B$20,2,0)</f>
        <v>20</v>
      </c>
      <c r="T403" s="1"/>
      <c r="U403" s="1" t="s">
        <v>50</v>
      </c>
      <c r="V403" s="22">
        <f>VLOOKUP(TablaCalificaciones[[#This Row],[Metodología (nivel adecuado)]],PESOS!A$16:B$20,2,0)</f>
        <v>16</v>
      </c>
      <c r="W403" s="1"/>
      <c r="X403" s="1" t="s">
        <v>44</v>
      </c>
      <c r="Y403" s="22">
        <f>VLOOKUP(TablaCalificaciones[[#This Row],[Resultados y evidencia ]],PESOS!A$16:B$20,2,0)</f>
        <v>20</v>
      </c>
      <c r="Z403" s="1"/>
      <c r="AA403" s="1" t="s">
        <v>45</v>
      </c>
      <c r="AB403" s="22">
        <f>VLOOKUP(TablaCalificaciones[[#This Row],[Coherencia y manejo del tiempo]],PESOS!A$25:B$29,2,0)</f>
        <v>10</v>
      </c>
      <c r="AC403" s="1"/>
      <c r="AD403" s="1" t="s">
        <v>51</v>
      </c>
      <c r="AE403" s="22">
        <f>VLOOKUP(TablaCalificaciones[[#This Row],[Diapositivas como apoyo]],PESOS!A$25:B$29,2,0)</f>
        <v>8</v>
      </c>
      <c r="AF403" s="1"/>
      <c r="AG403" s="1" t="s">
        <v>51</v>
      </c>
      <c r="AH403" s="22">
        <f>VLOOKUP(TablaCalificaciones[[#This Row],[Respuestas a preguntas]],PESOS!A$25:B$29,2,0)</f>
        <v>8</v>
      </c>
      <c r="AI403" s="1"/>
      <c r="AJ403" s="1" t="s">
        <v>45</v>
      </c>
      <c r="AK403" s="22">
        <f>VLOOKUP(TablaCalificaciones[[#This Row],[Cierre: aporte a próximos pasos]],PESOS!A$25:B$29,2,0)</f>
        <v>10</v>
      </c>
      <c r="AL403" s="1"/>
      <c r="AM403" s="1"/>
    </row>
    <row r="404" spans="1:39">
      <c r="A404">
        <v>407</v>
      </c>
      <c r="B404" s="2">
        <v>46135.674733796302</v>
      </c>
      <c r="C404" s="2">
        <v>46135.675254629597</v>
      </c>
      <c r="D404" s="1" t="s">
        <v>39</v>
      </c>
      <c r="E404" s="1" t="s">
        <v>40</v>
      </c>
      <c r="G404" s="1"/>
      <c r="H404" s="2"/>
      <c r="I404" s="1" t="s">
        <v>229</v>
      </c>
      <c r="K404" s="1"/>
      <c r="L404" s="1" t="s">
        <v>42</v>
      </c>
      <c r="M404" s="26" t="str">
        <f>CONCATENATE(TablaCalificaciones[[#This Row],[Seleccione su nombre (Evaluador)]],TablaCalificaciones[[#This Row],[Seleccione el nombre del Estudiante]])</f>
        <v>Patricio David PonceNovillo Villegas Pablo</v>
      </c>
      <c r="N404" s="1"/>
      <c r="O404" s="1" t="s">
        <v>276</v>
      </c>
      <c r="Q404" s="1"/>
      <c r="R404" s="1" t="s">
        <v>44</v>
      </c>
      <c r="S404" s="22">
        <f>VLOOKUP(TablaCalificaciones[[#This Row],[Apertura: problema y objetivo ]],PESOS!A$16:B$20,2,0)</f>
        <v>20</v>
      </c>
      <c r="T404" s="1"/>
      <c r="U404" s="1" t="s">
        <v>50</v>
      </c>
      <c r="V404" s="22">
        <f>VLOOKUP(TablaCalificaciones[[#This Row],[Metodología (nivel adecuado)]],PESOS!A$16:B$20,2,0)</f>
        <v>16</v>
      </c>
      <c r="W404" s="1"/>
      <c r="X404" s="1" t="s">
        <v>44</v>
      </c>
      <c r="Y404" s="22">
        <f>VLOOKUP(TablaCalificaciones[[#This Row],[Resultados y evidencia ]],PESOS!A$16:B$20,2,0)</f>
        <v>20</v>
      </c>
      <c r="Z404" s="1"/>
      <c r="AA404" s="1" t="s">
        <v>45</v>
      </c>
      <c r="AB404" s="22">
        <f>VLOOKUP(TablaCalificaciones[[#This Row],[Coherencia y manejo del tiempo]],PESOS!A$25:B$29,2,0)</f>
        <v>10</v>
      </c>
      <c r="AC404" s="1"/>
      <c r="AD404" s="1" t="s">
        <v>51</v>
      </c>
      <c r="AE404" s="22">
        <f>VLOOKUP(TablaCalificaciones[[#This Row],[Diapositivas como apoyo]],PESOS!A$25:B$29,2,0)</f>
        <v>8</v>
      </c>
      <c r="AF404" s="1"/>
      <c r="AG404" s="1" t="s">
        <v>51</v>
      </c>
      <c r="AH404" s="22">
        <f>VLOOKUP(TablaCalificaciones[[#This Row],[Respuestas a preguntas]],PESOS!A$25:B$29,2,0)</f>
        <v>8</v>
      </c>
      <c r="AI404" s="1"/>
      <c r="AJ404" s="1" t="s">
        <v>45</v>
      </c>
      <c r="AK404" s="22">
        <f>VLOOKUP(TablaCalificaciones[[#This Row],[Cierre: aporte a próximos pasos]],PESOS!A$25:B$29,2,0)</f>
        <v>10</v>
      </c>
      <c r="AL404" s="1"/>
      <c r="AM404" s="1"/>
    </row>
    <row r="405" spans="1:39">
      <c r="A405">
        <v>408</v>
      </c>
      <c r="B405" s="2">
        <v>46135.675277777802</v>
      </c>
      <c r="C405" s="2">
        <v>46135.675856481503</v>
      </c>
      <c r="D405" s="1" t="s">
        <v>39</v>
      </c>
      <c r="E405" s="1" t="s">
        <v>40</v>
      </c>
      <c r="G405" s="1"/>
      <c r="H405" s="2"/>
      <c r="I405" s="1" t="s">
        <v>229</v>
      </c>
      <c r="K405" s="1"/>
      <c r="L405" s="1" t="s">
        <v>42</v>
      </c>
      <c r="M405" s="26" t="str">
        <f>CONCATENATE(TablaCalificaciones[[#This Row],[Seleccione su nombre (Evaluador)]],TablaCalificaciones[[#This Row],[Seleccione el nombre del Estudiante]])</f>
        <v>Patricio David PonceNovillo Villegas Sylvia</v>
      </c>
      <c r="N405" s="1"/>
      <c r="O405" s="1" t="s">
        <v>277</v>
      </c>
      <c r="Q405" s="1"/>
      <c r="R405" s="1" t="s">
        <v>44</v>
      </c>
      <c r="S405" s="22">
        <f>VLOOKUP(TablaCalificaciones[[#This Row],[Apertura: problema y objetivo ]],PESOS!A$16:B$20,2,0)</f>
        <v>20</v>
      </c>
      <c r="T405" s="1"/>
      <c r="U405" s="1" t="s">
        <v>50</v>
      </c>
      <c r="V405" s="22">
        <f>VLOOKUP(TablaCalificaciones[[#This Row],[Metodología (nivel adecuado)]],PESOS!A$16:B$20,2,0)</f>
        <v>16</v>
      </c>
      <c r="W405" s="1"/>
      <c r="X405" s="1" t="s">
        <v>44</v>
      </c>
      <c r="Y405" s="22">
        <f>VLOOKUP(TablaCalificaciones[[#This Row],[Resultados y evidencia ]],PESOS!A$16:B$20,2,0)</f>
        <v>20</v>
      </c>
      <c r="Z405" s="1"/>
      <c r="AA405" s="1" t="s">
        <v>45</v>
      </c>
      <c r="AB405" s="22">
        <f>VLOOKUP(TablaCalificaciones[[#This Row],[Coherencia y manejo del tiempo]],PESOS!A$25:B$29,2,0)</f>
        <v>10</v>
      </c>
      <c r="AC405" s="1"/>
      <c r="AD405" s="1" t="s">
        <v>51</v>
      </c>
      <c r="AE405" s="22">
        <f>VLOOKUP(TablaCalificaciones[[#This Row],[Diapositivas como apoyo]],PESOS!A$25:B$29,2,0)</f>
        <v>8</v>
      </c>
      <c r="AF405" s="1"/>
      <c r="AG405" s="1" t="s">
        <v>45</v>
      </c>
      <c r="AH405" s="22">
        <f>VLOOKUP(TablaCalificaciones[[#This Row],[Respuestas a preguntas]],PESOS!A$25:B$29,2,0)</f>
        <v>10</v>
      </c>
      <c r="AI405" s="1"/>
      <c r="AJ405" s="1" t="s">
        <v>45</v>
      </c>
      <c r="AK405" s="22">
        <f>VLOOKUP(TablaCalificaciones[[#This Row],[Cierre: aporte a próximos pasos]],PESOS!A$25:B$29,2,0)</f>
        <v>10</v>
      </c>
      <c r="AL405" s="1"/>
      <c r="AM405" s="1"/>
    </row>
    <row r="406" spans="1:39">
      <c r="A406">
        <v>409</v>
      </c>
      <c r="B406" s="2">
        <v>46135.675879629598</v>
      </c>
      <c r="C406" s="2">
        <v>46135.678101851903</v>
      </c>
      <c r="D406" s="1" t="s">
        <v>39</v>
      </c>
      <c r="E406" s="1" t="s">
        <v>40</v>
      </c>
      <c r="G406" s="1"/>
      <c r="H406" s="2"/>
      <c r="I406" s="1" t="s">
        <v>229</v>
      </c>
      <c r="K406" s="1"/>
      <c r="L406" s="1" t="s">
        <v>42</v>
      </c>
      <c r="M406" s="26" t="str">
        <f>CONCATENATE(TablaCalificaciones[[#This Row],[Seleccione su nombre (Evaluador)]],TablaCalificaciones[[#This Row],[Seleccione el nombre del Estudiante]])</f>
        <v>Patricio David PonceGarces Fuentes Andrés Steven</v>
      </c>
      <c r="N406" s="1"/>
      <c r="O406" s="1" t="s">
        <v>271</v>
      </c>
      <c r="Q406" s="1"/>
      <c r="R406" s="1" t="s">
        <v>44</v>
      </c>
      <c r="S406" s="22">
        <f>VLOOKUP(TablaCalificaciones[[#This Row],[Apertura: problema y objetivo ]],PESOS!A$16:B$20,2,0)</f>
        <v>20</v>
      </c>
      <c r="T406" s="1"/>
      <c r="U406" s="1" t="s">
        <v>50</v>
      </c>
      <c r="V406" s="22">
        <f>VLOOKUP(TablaCalificaciones[[#This Row],[Metodología (nivel adecuado)]],PESOS!A$16:B$20,2,0)</f>
        <v>16</v>
      </c>
      <c r="W406" s="1"/>
      <c r="X406" s="1" t="s">
        <v>50</v>
      </c>
      <c r="Y406" s="22">
        <f>VLOOKUP(TablaCalificaciones[[#This Row],[Resultados y evidencia ]],PESOS!A$16:B$20,2,0)</f>
        <v>16</v>
      </c>
      <c r="Z406" s="1"/>
      <c r="AA406" s="1" t="s">
        <v>45</v>
      </c>
      <c r="AB406" s="22">
        <f>VLOOKUP(TablaCalificaciones[[#This Row],[Coherencia y manejo del tiempo]],PESOS!A$25:B$29,2,0)</f>
        <v>10</v>
      </c>
      <c r="AC406" s="1"/>
      <c r="AD406" s="1" t="s">
        <v>45</v>
      </c>
      <c r="AE406" s="22">
        <f>VLOOKUP(TablaCalificaciones[[#This Row],[Diapositivas como apoyo]],PESOS!A$25:B$29,2,0)</f>
        <v>10</v>
      </c>
      <c r="AF406" s="1"/>
      <c r="AG406" s="1" t="s">
        <v>51</v>
      </c>
      <c r="AH406" s="22">
        <f>VLOOKUP(TablaCalificaciones[[#This Row],[Respuestas a preguntas]],PESOS!A$25:B$29,2,0)</f>
        <v>8</v>
      </c>
      <c r="AI406" s="1"/>
      <c r="AJ406" s="1" t="s">
        <v>51</v>
      </c>
      <c r="AK406" s="22">
        <f>VLOOKUP(TablaCalificaciones[[#This Row],[Cierre: aporte a próximos pasos]],PESOS!A$25:B$29,2,0)</f>
        <v>8</v>
      </c>
      <c r="AL406" s="1"/>
      <c r="AM406" s="1"/>
    </row>
    <row r="407" spans="1:39">
      <c r="A407">
        <v>410</v>
      </c>
      <c r="B407" s="2">
        <v>46135.678124999999</v>
      </c>
      <c r="C407" s="2">
        <v>46135.678530092599</v>
      </c>
      <c r="D407" s="1" t="s">
        <v>39</v>
      </c>
      <c r="E407" s="1" t="s">
        <v>40</v>
      </c>
      <c r="G407" s="1"/>
      <c r="H407" s="2"/>
      <c r="I407" s="1" t="s">
        <v>229</v>
      </c>
      <c r="K407" s="1"/>
      <c r="L407" s="1" t="s">
        <v>42</v>
      </c>
      <c r="M407" s="26" t="str">
        <f>CONCATENATE(TablaCalificaciones[[#This Row],[Seleccione su nombre (Evaluador)]],TablaCalificaciones[[#This Row],[Seleccione el nombre del Estudiante]])</f>
        <v>Patricio David PonceJácome Ruiz Pablo Andrés</v>
      </c>
      <c r="N407" s="1"/>
      <c r="O407" s="1" t="s">
        <v>274</v>
      </c>
      <c r="Q407" s="1"/>
      <c r="R407" s="1" t="s">
        <v>44</v>
      </c>
      <c r="S407" s="22">
        <f>VLOOKUP(TablaCalificaciones[[#This Row],[Apertura: problema y objetivo ]],PESOS!A$16:B$20,2,0)</f>
        <v>20</v>
      </c>
      <c r="T407" s="1"/>
      <c r="U407" s="1" t="s">
        <v>50</v>
      </c>
      <c r="V407" s="22">
        <f>VLOOKUP(TablaCalificaciones[[#This Row],[Metodología (nivel adecuado)]],PESOS!A$16:B$20,2,0)</f>
        <v>16</v>
      </c>
      <c r="W407" s="1"/>
      <c r="X407" s="1" t="s">
        <v>44</v>
      </c>
      <c r="Y407" s="22">
        <f>VLOOKUP(TablaCalificaciones[[#This Row],[Resultados y evidencia ]],PESOS!A$16:B$20,2,0)</f>
        <v>20</v>
      </c>
      <c r="Z407" s="1"/>
      <c r="AA407" s="1" t="s">
        <v>45</v>
      </c>
      <c r="AB407" s="22">
        <f>VLOOKUP(TablaCalificaciones[[#This Row],[Coherencia y manejo del tiempo]],PESOS!A$25:B$29,2,0)</f>
        <v>10</v>
      </c>
      <c r="AC407" s="1"/>
      <c r="AD407" s="1" t="s">
        <v>45</v>
      </c>
      <c r="AE407" s="22">
        <f>VLOOKUP(TablaCalificaciones[[#This Row],[Diapositivas como apoyo]],PESOS!A$25:B$29,2,0)</f>
        <v>10</v>
      </c>
      <c r="AF407" s="1"/>
      <c r="AG407" s="1" t="s">
        <v>51</v>
      </c>
      <c r="AH407" s="22">
        <f>VLOOKUP(TablaCalificaciones[[#This Row],[Respuestas a preguntas]],PESOS!A$25:B$29,2,0)</f>
        <v>8</v>
      </c>
      <c r="AI407" s="1"/>
      <c r="AJ407" s="1" t="s">
        <v>51</v>
      </c>
      <c r="AK407" s="22">
        <f>VLOOKUP(TablaCalificaciones[[#This Row],[Cierre: aporte a próximos pasos]],PESOS!A$25:B$29,2,0)</f>
        <v>8</v>
      </c>
      <c r="AL407" s="1"/>
      <c r="AM407" s="1"/>
    </row>
    <row r="408" spans="1:39">
      <c r="A408">
        <v>411</v>
      </c>
      <c r="B408" s="2">
        <v>46135.678553240701</v>
      </c>
      <c r="C408" s="2">
        <v>46135.678935185198</v>
      </c>
      <c r="D408" s="1" t="s">
        <v>39</v>
      </c>
      <c r="E408" s="1" t="s">
        <v>40</v>
      </c>
      <c r="G408" s="1"/>
      <c r="H408" s="2"/>
      <c r="I408" s="1" t="s">
        <v>229</v>
      </c>
      <c r="K408" s="1"/>
      <c r="L408" s="1" t="s">
        <v>42</v>
      </c>
      <c r="M408" s="26" t="str">
        <f>CONCATENATE(TablaCalificaciones[[#This Row],[Seleccione su nombre (Evaluador)]],TablaCalificaciones[[#This Row],[Seleccione el nombre del Estudiante]])</f>
        <v>Patricio David PoncePonce Jara Juan Diego</v>
      </c>
      <c r="N408" s="1"/>
      <c r="O408" s="1" t="s">
        <v>272</v>
      </c>
      <c r="Q408" s="1"/>
      <c r="R408" s="1" t="s">
        <v>44</v>
      </c>
      <c r="S408" s="22">
        <f>VLOOKUP(TablaCalificaciones[[#This Row],[Apertura: problema y objetivo ]],PESOS!A$16:B$20,2,0)</f>
        <v>20</v>
      </c>
      <c r="T408" s="1"/>
      <c r="U408" s="1" t="s">
        <v>44</v>
      </c>
      <c r="V408" s="22">
        <f>VLOOKUP(TablaCalificaciones[[#This Row],[Metodología (nivel adecuado)]],PESOS!A$16:B$20,2,0)</f>
        <v>20</v>
      </c>
      <c r="W408" s="1"/>
      <c r="X408" s="1" t="s">
        <v>50</v>
      </c>
      <c r="Y408" s="22">
        <f>VLOOKUP(TablaCalificaciones[[#This Row],[Resultados y evidencia ]],PESOS!A$16:B$20,2,0)</f>
        <v>16</v>
      </c>
      <c r="Z408" s="1"/>
      <c r="AA408" s="1" t="s">
        <v>45</v>
      </c>
      <c r="AB408" s="22">
        <f>VLOOKUP(TablaCalificaciones[[#This Row],[Coherencia y manejo del tiempo]],PESOS!A$25:B$29,2,0)</f>
        <v>10</v>
      </c>
      <c r="AC408" s="1"/>
      <c r="AD408" s="1" t="s">
        <v>45</v>
      </c>
      <c r="AE408" s="22">
        <f>VLOOKUP(TablaCalificaciones[[#This Row],[Diapositivas como apoyo]],PESOS!A$25:B$29,2,0)</f>
        <v>10</v>
      </c>
      <c r="AF408" s="1"/>
      <c r="AG408" s="1" t="s">
        <v>51</v>
      </c>
      <c r="AH408" s="22">
        <f>VLOOKUP(TablaCalificaciones[[#This Row],[Respuestas a preguntas]],PESOS!A$25:B$29,2,0)</f>
        <v>8</v>
      </c>
      <c r="AI408" s="1"/>
      <c r="AJ408" s="1" t="s">
        <v>51</v>
      </c>
      <c r="AK408" s="22">
        <f>VLOOKUP(TablaCalificaciones[[#This Row],[Cierre: aporte a próximos pasos]],PESOS!A$25:B$29,2,0)</f>
        <v>8</v>
      </c>
      <c r="AL408" s="1"/>
      <c r="AM408" s="1"/>
    </row>
    <row r="409" spans="1:39">
      <c r="A409">
        <v>412</v>
      </c>
      <c r="B409" s="2">
        <v>46135.678958333301</v>
      </c>
      <c r="C409" s="2">
        <v>46135.679479166698</v>
      </c>
      <c r="D409" s="1" t="s">
        <v>39</v>
      </c>
      <c r="E409" s="1" t="s">
        <v>40</v>
      </c>
      <c r="G409" s="1"/>
      <c r="H409" s="2"/>
      <c r="I409" s="1" t="s">
        <v>229</v>
      </c>
      <c r="K409" s="1"/>
      <c r="L409" s="1" t="s">
        <v>42</v>
      </c>
      <c r="M409" s="26" t="str">
        <f>CONCATENATE(TablaCalificaciones[[#This Row],[Seleccione su nombre (Evaluador)]],TablaCalificaciones[[#This Row],[Seleccione el nombre del Estudiante]])</f>
        <v>Patricio David PonceTerán Ballagán Alisson Camila</v>
      </c>
      <c r="N409" s="1"/>
      <c r="O409" s="1" t="s">
        <v>264</v>
      </c>
      <c r="Q409" s="1"/>
      <c r="R409" s="1" t="s">
        <v>44</v>
      </c>
      <c r="S409" s="22">
        <f>VLOOKUP(TablaCalificaciones[[#This Row],[Apertura: problema y objetivo ]],PESOS!A$16:B$20,2,0)</f>
        <v>20</v>
      </c>
      <c r="T409" s="1"/>
      <c r="U409" s="1" t="s">
        <v>44</v>
      </c>
      <c r="V409" s="22">
        <f>VLOOKUP(TablaCalificaciones[[#This Row],[Metodología (nivel adecuado)]],PESOS!A$16:B$20,2,0)</f>
        <v>20</v>
      </c>
      <c r="W409" s="1"/>
      <c r="X409" s="1" t="s">
        <v>44</v>
      </c>
      <c r="Y409" s="22">
        <f>VLOOKUP(TablaCalificaciones[[#This Row],[Resultados y evidencia ]],PESOS!A$16:B$20,2,0)</f>
        <v>20</v>
      </c>
      <c r="Z409" s="1"/>
      <c r="AA409" s="1" t="s">
        <v>45</v>
      </c>
      <c r="AB409" s="22">
        <f>VLOOKUP(TablaCalificaciones[[#This Row],[Coherencia y manejo del tiempo]],PESOS!A$25:B$29,2,0)</f>
        <v>10</v>
      </c>
      <c r="AC409" s="1"/>
      <c r="AD409" s="1" t="s">
        <v>45</v>
      </c>
      <c r="AE409" s="22">
        <f>VLOOKUP(TablaCalificaciones[[#This Row],[Diapositivas como apoyo]],PESOS!A$25:B$29,2,0)</f>
        <v>10</v>
      </c>
      <c r="AF409" s="1"/>
      <c r="AG409" s="1" t="s">
        <v>45</v>
      </c>
      <c r="AH409" s="22">
        <f>VLOOKUP(TablaCalificaciones[[#This Row],[Respuestas a preguntas]],PESOS!A$25:B$29,2,0)</f>
        <v>10</v>
      </c>
      <c r="AI409" s="1"/>
      <c r="AJ409" s="1" t="s">
        <v>45</v>
      </c>
      <c r="AK409" s="22">
        <f>VLOOKUP(TablaCalificaciones[[#This Row],[Cierre: aporte a próximos pasos]],PESOS!A$25:B$29,2,0)</f>
        <v>10</v>
      </c>
      <c r="AL409" s="1"/>
      <c r="AM409" s="1"/>
    </row>
    <row r="410" spans="1:39">
      <c r="A410">
        <v>413</v>
      </c>
      <c r="B410" s="2">
        <v>46135.679490740702</v>
      </c>
      <c r="C410" s="2">
        <v>46135.680324074099</v>
      </c>
      <c r="D410" s="1" t="s">
        <v>39</v>
      </c>
      <c r="E410" s="1" t="s">
        <v>40</v>
      </c>
      <c r="G410" s="1"/>
      <c r="H410" s="2"/>
      <c r="I410" s="1" t="s">
        <v>229</v>
      </c>
      <c r="K410" s="1"/>
      <c r="L410" s="1" t="s">
        <v>42</v>
      </c>
      <c r="M410" s="26" t="str">
        <f>CONCATENATE(TablaCalificaciones[[#This Row],[Seleccione su nombre (Evaluador)]],TablaCalificaciones[[#This Row],[Seleccione el nombre del Estudiante]])</f>
        <v>Patricio David PonceGuevara Llanos Pahola Del Carmen</v>
      </c>
      <c r="N410" s="1"/>
      <c r="O410" s="1" t="s">
        <v>241</v>
      </c>
      <c r="Q410" s="1"/>
      <c r="R410" s="1" t="s">
        <v>44</v>
      </c>
      <c r="S410" s="22">
        <f>VLOOKUP(TablaCalificaciones[[#This Row],[Apertura: problema y objetivo ]],PESOS!A$16:B$20,2,0)</f>
        <v>20</v>
      </c>
      <c r="T410" s="1"/>
      <c r="U410" s="1" t="s">
        <v>50</v>
      </c>
      <c r="V410" s="22">
        <f>VLOOKUP(TablaCalificaciones[[#This Row],[Metodología (nivel adecuado)]],PESOS!A$16:B$20,2,0)</f>
        <v>16</v>
      </c>
      <c r="W410" s="1"/>
      <c r="X410" s="1" t="s">
        <v>44</v>
      </c>
      <c r="Y410" s="22">
        <f>VLOOKUP(TablaCalificaciones[[#This Row],[Resultados y evidencia ]],PESOS!A$16:B$20,2,0)</f>
        <v>20</v>
      </c>
      <c r="Z410" s="1"/>
      <c r="AA410" s="1" t="s">
        <v>83</v>
      </c>
      <c r="AB410" s="22">
        <f>VLOOKUP(TablaCalificaciones[[#This Row],[Coherencia y manejo del tiempo]],PESOS!A$25:B$29,2,0)</f>
        <v>6</v>
      </c>
      <c r="AC410" s="1"/>
      <c r="AD410" s="1" t="s">
        <v>45</v>
      </c>
      <c r="AE410" s="22">
        <f>VLOOKUP(TablaCalificaciones[[#This Row],[Diapositivas como apoyo]],PESOS!A$25:B$29,2,0)</f>
        <v>10</v>
      </c>
      <c r="AF410" s="1"/>
      <c r="AG410" s="1" t="s">
        <v>45</v>
      </c>
      <c r="AH410" s="22">
        <f>VLOOKUP(TablaCalificaciones[[#This Row],[Respuestas a preguntas]],PESOS!A$25:B$29,2,0)</f>
        <v>10</v>
      </c>
      <c r="AI410" s="1"/>
      <c r="AJ410" s="1" t="s">
        <v>45</v>
      </c>
      <c r="AK410" s="22">
        <f>VLOOKUP(TablaCalificaciones[[#This Row],[Cierre: aporte a próximos pasos]],PESOS!A$25:B$29,2,0)</f>
        <v>10</v>
      </c>
      <c r="AL410" s="1"/>
      <c r="AM410" s="1"/>
    </row>
    <row r="411" spans="1:39">
      <c r="A411">
        <v>414</v>
      </c>
      <c r="B411" s="2">
        <v>46135.680347222202</v>
      </c>
      <c r="C411" s="2">
        <v>46135.680636574099</v>
      </c>
      <c r="D411" s="1" t="s">
        <v>39</v>
      </c>
      <c r="E411" s="1" t="s">
        <v>40</v>
      </c>
      <c r="G411" s="1"/>
      <c r="H411" s="2"/>
      <c r="I411" s="1" t="s">
        <v>229</v>
      </c>
      <c r="K411" s="1"/>
      <c r="L411" s="1" t="s">
        <v>42</v>
      </c>
      <c r="M411" s="26" t="str">
        <f>CONCATENATE(TablaCalificaciones[[#This Row],[Seleccione su nombre (Evaluador)]],TablaCalificaciones[[#This Row],[Seleccione el nombre del Estudiante]])</f>
        <v>Patricio David PonceTorres Alvarado Stalin Guillermo</v>
      </c>
      <c r="N411" s="1"/>
      <c r="O411" s="1" t="s">
        <v>288</v>
      </c>
      <c r="Q411" s="1"/>
      <c r="R411" s="1" t="s">
        <v>44</v>
      </c>
      <c r="S411" s="22">
        <f>VLOOKUP(TablaCalificaciones[[#This Row],[Apertura: problema y objetivo ]],PESOS!A$16:B$20,2,0)</f>
        <v>20</v>
      </c>
      <c r="T411" s="1"/>
      <c r="U411" s="1" t="s">
        <v>50</v>
      </c>
      <c r="V411" s="22">
        <f>VLOOKUP(TablaCalificaciones[[#This Row],[Metodología (nivel adecuado)]],PESOS!A$16:B$20,2,0)</f>
        <v>16</v>
      </c>
      <c r="W411" s="1"/>
      <c r="X411" s="1" t="s">
        <v>44</v>
      </c>
      <c r="Y411" s="22">
        <f>VLOOKUP(TablaCalificaciones[[#This Row],[Resultados y evidencia ]],PESOS!A$16:B$20,2,0)</f>
        <v>20</v>
      </c>
      <c r="Z411" s="1"/>
      <c r="AA411" s="1" t="s">
        <v>83</v>
      </c>
      <c r="AB411" s="22">
        <f>VLOOKUP(TablaCalificaciones[[#This Row],[Coherencia y manejo del tiempo]],PESOS!A$25:B$29,2,0)</f>
        <v>6</v>
      </c>
      <c r="AC411" s="1"/>
      <c r="AD411" s="1" t="s">
        <v>45</v>
      </c>
      <c r="AE411" s="22">
        <f>VLOOKUP(TablaCalificaciones[[#This Row],[Diapositivas como apoyo]],PESOS!A$25:B$29,2,0)</f>
        <v>10</v>
      </c>
      <c r="AF411" s="1"/>
      <c r="AG411" s="1" t="s">
        <v>45</v>
      </c>
      <c r="AH411" s="22">
        <f>VLOOKUP(TablaCalificaciones[[#This Row],[Respuestas a preguntas]],PESOS!A$25:B$29,2,0)</f>
        <v>10</v>
      </c>
      <c r="AI411" s="1"/>
      <c r="AJ411" s="1" t="s">
        <v>45</v>
      </c>
      <c r="AK411" s="22">
        <f>VLOOKUP(TablaCalificaciones[[#This Row],[Cierre: aporte a próximos pasos]],PESOS!A$25:B$29,2,0)</f>
        <v>10</v>
      </c>
      <c r="AL411" s="1"/>
      <c r="AM411" s="1"/>
    </row>
    <row r="412" spans="1:39">
      <c r="A412">
        <v>415</v>
      </c>
      <c r="B412" s="2">
        <v>46135.680659722202</v>
      </c>
      <c r="C412" s="2">
        <v>46135.681967592602</v>
      </c>
      <c r="D412" s="1" t="s">
        <v>39</v>
      </c>
      <c r="E412" s="1" t="s">
        <v>40</v>
      </c>
      <c r="G412" s="1"/>
      <c r="H412" s="2"/>
      <c r="I412" s="1" t="s">
        <v>229</v>
      </c>
      <c r="K412" s="1"/>
      <c r="L412" s="1" t="s">
        <v>42</v>
      </c>
      <c r="M412" s="26" t="str">
        <f>CONCATENATE(TablaCalificaciones[[#This Row],[Seleccione su nombre (Evaluador)]],TablaCalificaciones[[#This Row],[Seleccione el nombre del Estudiante]])</f>
        <v>Patricio David PonceCarrasco Meneses Johan Marcelo</v>
      </c>
      <c r="N412" s="1"/>
      <c r="O412" s="1" t="s">
        <v>256</v>
      </c>
      <c r="Q412" s="1"/>
      <c r="R412" s="1" t="s">
        <v>44</v>
      </c>
      <c r="S412" s="22">
        <f>VLOOKUP(TablaCalificaciones[[#This Row],[Apertura: problema y objetivo ]],PESOS!A$16:B$20,2,0)</f>
        <v>20</v>
      </c>
      <c r="T412" s="1"/>
      <c r="U412" s="1" t="s">
        <v>44</v>
      </c>
      <c r="V412" s="22">
        <f>VLOOKUP(TablaCalificaciones[[#This Row],[Metodología (nivel adecuado)]],PESOS!A$16:B$20,2,0)</f>
        <v>20</v>
      </c>
      <c r="W412" s="1"/>
      <c r="X412" s="1" t="s">
        <v>44</v>
      </c>
      <c r="Y412" s="22">
        <f>VLOOKUP(TablaCalificaciones[[#This Row],[Resultados y evidencia ]],PESOS!A$16:B$20,2,0)</f>
        <v>20</v>
      </c>
      <c r="Z412" s="1"/>
      <c r="AA412" s="1" t="s">
        <v>45</v>
      </c>
      <c r="AB412" s="22">
        <f>VLOOKUP(TablaCalificaciones[[#This Row],[Coherencia y manejo del tiempo]],PESOS!A$25:B$29,2,0)</f>
        <v>10</v>
      </c>
      <c r="AC412" s="1"/>
      <c r="AD412" s="1" t="s">
        <v>45</v>
      </c>
      <c r="AE412" s="22">
        <f>VLOOKUP(TablaCalificaciones[[#This Row],[Diapositivas como apoyo]],PESOS!A$25:B$29,2,0)</f>
        <v>10</v>
      </c>
      <c r="AF412" s="1"/>
      <c r="AG412" s="1" t="s">
        <v>51</v>
      </c>
      <c r="AH412" s="22">
        <f>VLOOKUP(TablaCalificaciones[[#This Row],[Respuestas a preguntas]],PESOS!A$25:B$29,2,0)</f>
        <v>8</v>
      </c>
      <c r="AI412" s="1"/>
      <c r="AJ412" s="1" t="s">
        <v>51</v>
      </c>
      <c r="AK412" s="22">
        <f>VLOOKUP(TablaCalificaciones[[#This Row],[Cierre: aporte a próximos pasos]],PESOS!A$25:B$29,2,0)</f>
        <v>8</v>
      </c>
      <c r="AL412" s="1"/>
      <c r="AM412" s="1"/>
    </row>
    <row r="413" spans="1:39">
      <c r="A413">
        <v>416</v>
      </c>
      <c r="B413" s="2">
        <v>46135.681990740697</v>
      </c>
      <c r="C413" s="2">
        <v>46135.682337963</v>
      </c>
      <c r="D413" s="1" t="s">
        <v>39</v>
      </c>
      <c r="E413" s="1" t="s">
        <v>40</v>
      </c>
      <c r="G413" s="1"/>
      <c r="H413" s="2"/>
      <c r="I413" s="1" t="s">
        <v>229</v>
      </c>
      <c r="K413" s="1"/>
      <c r="L413" s="1" t="s">
        <v>42</v>
      </c>
      <c r="M413" s="26" t="str">
        <f>CONCATENATE(TablaCalificaciones[[#This Row],[Seleccione su nombre (Evaluador)]],TablaCalificaciones[[#This Row],[Seleccione el nombre del Estudiante]])</f>
        <v>Patricio David PonceGuillen Balarezo David Andrés</v>
      </c>
      <c r="N413" s="1"/>
      <c r="O413" s="1" t="s">
        <v>257</v>
      </c>
      <c r="Q413" s="1"/>
      <c r="R413" s="1" t="s">
        <v>44</v>
      </c>
      <c r="S413" s="22">
        <f>VLOOKUP(TablaCalificaciones[[#This Row],[Apertura: problema y objetivo ]],PESOS!A$16:B$20,2,0)</f>
        <v>20</v>
      </c>
      <c r="T413" s="1"/>
      <c r="U413" s="1" t="s">
        <v>44</v>
      </c>
      <c r="V413" s="22">
        <f>VLOOKUP(TablaCalificaciones[[#This Row],[Metodología (nivel adecuado)]],PESOS!A$16:B$20,2,0)</f>
        <v>20</v>
      </c>
      <c r="W413" s="1"/>
      <c r="X413" s="1" t="s">
        <v>44</v>
      </c>
      <c r="Y413" s="22">
        <f>VLOOKUP(TablaCalificaciones[[#This Row],[Resultados y evidencia ]],PESOS!A$16:B$20,2,0)</f>
        <v>20</v>
      </c>
      <c r="Z413" s="1"/>
      <c r="AA413" s="1" t="s">
        <v>45</v>
      </c>
      <c r="AB413" s="22">
        <f>VLOOKUP(TablaCalificaciones[[#This Row],[Coherencia y manejo del tiempo]],PESOS!A$25:B$29,2,0)</f>
        <v>10</v>
      </c>
      <c r="AC413" s="1"/>
      <c r="AD413" s="1" t="s">
        <v>45</v>
      </c>
      <c r="AE413" s="22">
        <f>VLOOKUP(TablaCalificaciones[[#This Row],[Diapositivas como apoyo]],PESOS!A$25:B$29,2,0)</f>
        <v>10</v>
      </c>
      <c r="AF413" s="1"/>
      <c r="AG413" s="1" t="s">
        <v>51</v>
      </c>
      <c r="AH413" s="22">
        <f>VLOOKUP(TablaCalificaciones[[#This Row],[Respuestas a preguntas]],PESOS!A$25:B$29,2,0)</f>
        <v>8</v>
      </c>
      <c r="AI413" s="1"/>
      <c r="AJ413" s="1" t="s">
        <v>51</v>
      </c>
      <c r="AK413" s="22">
        <f>VLOOKUP(TablaCalificaciones[[#This Row],[Cierre: aporte a próximos pasos]],PESOS!A$25:B$29,2,0)</f>
        <v>8</v>
      </c>
      <c r="AL413" s="1"/>
      <c r="AM413" s="1"/>
    </row>
    <row r="414" spans="1:39">
      <c r="A414">
        <v>417</v>
      </c>
      <c r="B414" s="2">
        <v>46135.6823842593</v>
      </c>
      <c r="C414" s="2">
        <v>46135.682754629597</v>
      </c>
      <c r="D414" s="1" t="s">
        <v>39</v>
      </c>
      <c r="E414" s="1" t="s">
        <v>40</v>
      </c>
      <c r="G414" s="1"/>
      <c r="H414" s="2"/>
      <c r="I414" s="1" t="s">
        <v>229</v>
      </c>
      <c r="K414" s="1"/>
      <c r="L414" s="1" t="s">
        <v>42</v>
      </c>
      <c r="M414" s="26" t="str">
        <f>CONCATENATE(TablaCalificaciones[[#This Row],[Seleccione su nombre (Evaluador)]],TablaCalificaciones[[#This Row],[Seleccione el nombre del Estudiante]])</f>
        <v>Patricio David PonceTrujillo Robalino David Antonio</v>
      </c>
      <c r="N414" s="1"/>
      <c r="O414" s="1" t="s">
        <v>258</v>
      </c>
      <c r="Q414" s="1"/>
      <c r="R414" s="1" t="s">
        <v>44</v>
      </c>
      <c r="S414" s="22">
        <f>VLOOKUP(TablaCalificaciones[[#This Row],[Apertura: problema y objetivo ]],PESOS!A$16:B$20,2,0)</f>
        <v>20</v>
      </c>
      <c r="T414" s="1"/>
      <c r="U414" s="1" t="s">
        <v>44</v>
      </c>
      <c r="V414" s="22">
        <f>VLOOKUP(TablaCalificaciones[[#This Row],[Metodología (nivel adecuado)]],PESOS!A$16:B$20,2,0)</f>
        <v>20</v>
      </c>
      <c r="W414" s="1"/>
      <c r="X414" s="1" t="s">
        <v>44</v>
      </c>
      <c r="Y414" s="22">
        <f>VLOOKUP(TablaCalificaciones[[#This Row],[Resultados y evidencia ]],PESOS!A$16:B$20,2,0)</f>
        <v>20</v>
      </c>
      <c r="Z414" s="1"/>
      <c r="AA414" s="1" t="s">
        <v>45</v>
      </c>
      <c r="AB414" s="22">
        <f>VLOOKUP(TablaCalificaciones[[#This Row],[Coherencia y manejo del tiempo]],PESOS!A$25:B$29,2,0)</f>
        <v>10</v>
      </c>
      <c r="AC414" s="1"/>
      <c r="AD414" s="1" t="s">
        <v>45</v>
      </c>
      <c r="AE414" s="22">
        <f>VLOOKUP(TablaCalificaciones[[#This Row],[Diapositivas como apoyo]],PESOS!A$25:B$29,2,0)</f>
        <v>10</v>
      </c>
      <c r="AF414" s="1"/>
      <c r="AG414" s="1" t="s">
        <v>51</v>
      </c>
      <c r="AH414" s="22">
        <f>VLOOKUP(TablaCalificaciones[[#This Row],[Respuestas a preguntas]],PESOS!A$25:B$29,2,0)</f>
        <v>8</v>
      </c>
      <c r="AI414" s="1"/>
      <c r="AJ414" s="1" t="s">
        <v>51</v>
      </c>
      <c r="AK414" s="22">
        <f>VLOOKUP(TablaCalificaciones[[#This Row],[Cierre: aporte a próximos pasos]],PESOS!A$25:B$29,2,0)</f>
        <v>8</v>
      </c>
      <c r="AL414" s="1"/>
      <c r="AM414" s="1"/>
    </row>
    <row r="415" spans="1:39">
      <c r="A415">
        <v>418</v>
      </c>
      <c r="B415" s="2">
        <v>46135.682766203703</v>
      </c>
      <c r="C415" s="2">
        <v>46135.683472222197</v>
      </c>
      <c r="D415" s="1" t="s">
        <v>39</v>
      </c>
      <c r="E415" s="1" t="s">
        <v>40</v>
      </c>
      <c r="G415" s="1"/>
      <c r="H415" s="2"/>
      <c r="I415" s="1" t="s">
        <v>229</v>
      </c>
      <c r="K415" s="1"/>
      <c r="L415" s="1" t="s">
        <v>42</v>
      </c>
      <c r="M415" s="26" t="str">
        <f>CONCATENATE(TablaCalificaciones[[#This Row],[Seleccione su nombre (Evaluador)]],TablaCalificaciones[[#This Row],[Seleccione el nombre del Estudiante]])</f>
        <v>Patricio David PonceJátiva Ubillús José André</v>
      </c>
      <c r="N415" s="1"/>
      <c r="O415" s="1" t="s">
        <v>249</v>
      </c>
      <c r="Q415" s="1"/>
      <c r="R415" s="1" t="s">
        <v>44</v>
      </c>
      <c r="S415" s="22">
        <f>VLOOKUP(TablaCalificaciones[[#This Row],[Apertura: problema y objetivo ]],PESOS!A$16:B$20,2,0)</f>
        <v>20</v>
      </c>
      <c r="T415" s="1"/>
      <c r="U415" s="1" t="s">
        <v>44</v>
      </c>
      <c r="V415" s="22">
        <f>VLOOKUP(TablaCalificaciones[[#This Row],[Metodología (nivel adecuado)]],PESOS!A$16:B$20,2,0)</f>
        <v>20</v>
      </c>
      <c r="W415" s="1"/>
      <c r="X415" s="1" t="s">
        <v>44</v>
      </c>
      <c r="Y415" s="22">
        <f>VLOOKUP(TablaCalificaciones[[#This Row],[Resultados y evidencia ]],PESOS!A$16:B$20,2,0)</f>
        <v>20</v>
      </c>
      <c r="Z415" s="1"/>
      <c r="AA415" s="1" t="s">
        <v>45</v>
      </c>
      <c r="AB415" s="22">
        <f>VLOOKUP(TablaCalificaciones[[#This Row],[Coherencia y manejo del tiempo]],PESOS!A$25:B$29,2,0)</f>
        <v>10</v>
      </c>
      <c r="AC415" s="1"/>
      <c r="AD415" s="1" t="s">
        <v>45</v>
      </c>
      <c r="AE415" s="22">
        <f>VLOOKUP(TablaCalificaciones[[#This Row],[Diapositivas como apoyo]],PESOS!A$25:B$29,2,0)</f>
        <v>10</v>
      </c>
      <c r="AF415" s="1"/>
      <c r="AG415" s="1" t="s">
        <v>45</v>
      </c>
      <c r="AH415" s="22">
        <f>VLOOKUP(TablaCalificaciones[[#This Row],[Respuestas a preguntas]],PESOS!A$25:B$29,2,0)</f>
        <v>10</v>
      </c>
      <c r="AI415" s="1"/>
      <c r="AJ415" s="1" t="s">
        <v>45</v>
      </c>
      <c r="AK415" s="22">
        <f>VLOOKUP(TablaCalificaciones[[#This Row],[Cierre: aporte a próximos pasos]],PESOS!A$25:B$29,2,0)</f>
        <v>10</v>
      </c>
      <c r="AL415" s="1"/>
      <c r="AM415" s="1"/>
    </row>
    <row r="416" spans="1:39">
      <c r="A416">
        <v>419</v>
      </c>
      <c r="B416" s="2">
        <v>46135.683495370402</v>
      </c>
      <c r="C416" s="2">
        <v>46135.684282407397</v>
      </c>
      <c r="D416" s="1" t="s">
        <v>39</v>
      </c>
      <c r="E416" s="1" t="s">
        <v>40</v>
      </c>
      <c r="G416" s="1"/>
      <c r="H416" s="2"/>
      <c r="I416" s="1" t="s">
        <v>229</v>
      </c>
      <c r="K416" s="1"/>
      <c r="L416" s="1" t="s">
        <v>42</v>
      </c>
      <c r="M416" s="26" t="str">
        <f>CONCATENATE(TablaCalificaciones[[#This Row],[Seleccione su nombre (Evaluador)]],TablaCalificaciones[[#This Row],[Seleccione el nombre del Estudiante]])</f>
        <v>Patricio David PonceAguaisa Moreno Victor Andres</v>
      </c>
      <c r="N416" s="1"/>
      <c r="O416" s="1" t="s">
        <v>253</v>
      </c>
      <c r="Q416" s="1"/>
      <c r="R416" s="1" t="s">
        <v>44</v>
      </c>
      <c r="S416" s="22">
        <f>VLOOKUP(TablaCalificaciones[[#This Row],[Apertura: problema y objetivo ]],PESOS!A$16:B$20,2,0)</f>
        <v>20</v>
      </c>
      <c r="T416" s="1"/>
      <c r="U416" s="1" t="s">
        <v>44</v>
      </c>
      <c r="V416" s="22">
        <f>VLOOKUP(TablaCalificaciones[[#This Row],[Metodología (nivel adecuado)]],PESOS!A$16:B$20,2,0)</f>
        <v>20</v>
      </c>
      <c r="W416" s="1"/>
      <c r="X416" s="1" t="s">
        <v>44</v>
      </c>
      <c r="Y416" s="22">
        <f>VLOOKUP(TablaCalificaciones[[#This Row],[Resultados y evidencia ]],PESOS!A$16:B$20,2,0)</f>
        <v>20</v>
      </c>
      <c r="Z416" s="1"/>
      <c r="AA416" s="1" t="s">
        <v>45</v>
      </c>
      <c r="AB416" s="22">
        <f>VLOOKUP(TablaCalificaciones[[#This Row],[Coherencia y manejo del tiempo]],PESOS!A$25:B$29,2,0)</f>
        <v>10</v>
      </c>
      <c r="AC416" s="1"/>
      <c r="AD416" s="1" t="s">
        <v>45</v>
      </c>
      <c r="AE416" s="22">
        <f>VLOOKUP(TablaCalificaciones[[#This Row],[Diapositivas como apoyo]],PESOS!A$25:B$29,2,0)</f>
        <v>10</v>
      </c>
      <c r="AF416" s="1"/>
      <c r="AG416" s="1" t="s">
        <v>45</v>
      </c>
      <c r="AH416" s="22">
        <f>VLOOKUP(TablaCalificaciones[[#This Row],[Respuestas a preguntas]],PESOS!A$25:B$29,2,0)</f>
        <v>10</v>
      </c>
      <c r="AI416" s="1"/>
      <c r="AJ416" s="1" t="s">
        <v>45</v>
      </c>
      <c r="AK416" s="22">
        <f>VLOOKUP(TablaCalificaciones[[#This Row],[Cierre: aporte a próximos pasos]],PESOS!A$25:B$29,2,0)</f>
        <v>10</v>
      </c>
      <c r="AL416" s="1"/>
      <c r="AM416" s="1"/>
    </row>
    <row r="417" spans="1:39">
      <c r="A417">
        <v>420</v>
      </c>
      <c r="B417" s="2">
        <v>46135.684293981503</v>
      </c>
      <c r="C417" s="2">
        <v>46135.684942129599</v>
      </c>
      <c r="D417" s="1" t="s">
        <v>39</v>
      </c>
      <c r="E417" s="1" t="s">
        <v>40</v>
      </c>
      <c r="G417" s="1"/>
      <c r="H417" s="2"/>
      <c r="I417" s="1" t="s">
        <v>229</v>
      </c>
      <c r="K417" s="1"/>
      <c r="L417" s="1" t="s">
        <v>42</v>
      </c>
      <c r="M417" s="26" t="str">
        <f>CONCATENATE(TablaCalificaciones[[#This Row],[Seleccione su nombre (Evaluador)]],TablaCalificaciones[[#This Row],[Seleccione el nombre del Estudiante]])</f>
        <v>Patricio David PonceBenalcazar Redroban Jhon Robert</v>
      </c>
      <c r="N417" s="1"/>
      <c r="O417" s="1" t="s">
        <v>250</v>
      </c>
      <c r="Q417" s="1"/>
      <c r="R417" s="1" t="s">
        <v>44</v>
      </c>
      <c r="S417" s="22">
        <f>VLOOKUP(TablaCalificaciones[[#This Row],[Apertura: problema y objetivo ]],PESOS!A$16:B$20,2,0)</f>
        <v>20</v>
      </c>
      <c r="T417" s="1"/>
      <c r="U417" s="1" t="s">
        <v>44</v>
      </c>
      <c r="V417" s="22">
        <f>VLOOKUP(TablaCalificaciones[[#This Row],[Metodología (nivel adecuado)]],PESOS!A$16:B$20,2,0)</f>
        <v>20</v>
      </c>
      <c r="W417" s="1"/>
      <c r="X417" s="1" t="s">
        <v>44</v>
      </c>
      <c r="Y417" s="22">
        <f>VLOOKUP(TablaCalificaciones[[#This Row],[Resultados y evidencia ]],PESOS!A$16:B$20,2,0)</f>
        <v>20</v>
      </c>
      <c r="Z417" s="1"/>
      <c r="AA417" s="1" t="s">
        <v>215</v>
      </c>
      <c r="AB417" s="22">
        <f>VLOOKUP(TablaCalificaciones[[#This Row],[Coherencia y manejo del tiempo]],PESOS!A$25:B$29,2,0)</f>
        <v>4</v>
      </c>
      <c r="AC417" s="1"/>
      <c r="AD417" s="1" t="s">
        <v>45</v>
      </c>
      <c r="AE417" s="22">
        <f>VLOOKUP(TablaCalificaciones[[#This Row],[Diapositivas como apoyo]],PESOS!A$25:B$29,2,0)</f>
        <v>10</v>
      </c>
      <c r="AF417" s="1"/>
      <c r="AG417" s="1" t="s">
        <v>83</v>
      </c>
      <c r="AH417" s="22">
        <f>VLOOKUP(TablaCalificaciones[[#This Row],[Respuestas a preguntas]],PESOS!A$25:B$29,2,0)</f>
        <v>6</v>
      </c>
      <c r="AI417" s="1"/>
      <c r="AJ417" s="1" t="s">
        <v>51</v>
      </c>
      <c r="AK417" s="22">
        <f>VLOOKUP(TablaCalificaciones[[#This Row],[Cierre: aporte a próximos pasos]],PESOS!A$25:B$29,2,0)</f>
        <v>8</v>
      </c>
      <c r="AL417" s="1"/>
      <c r="AM417" s="1"/>
    </row>
    <row r="418" spans="1:39">
      <c r="A418">
        <v>421</v>
      </c>
      <c r="B418" s="2">
        <v>46135.814201388901</v>
      </c>
      <c r="C418" s="2">
        <v>46135.815995370402</v>
      </c>
      <c r="D418" s="1" t="s">
        <v>54</v>
      </c>
      <c r="E418" s="1" t="s">
        <v>55</v>
      </c>
      <c r="G418" s="1"/>
      <c r="H418" s="2"/>
      <c r="I418" s="1" t="s">
        <v>229</v>
      </c>
      <c r="K418" s="1"/>
      <c r="L418" s="1" t="s">
        <v>56</v>
      </c>
      <c r="M418" s="26" t="str">
        <f>CONCATENATE(TablaCalificaciones[[#This Row],[Seleccione su nombre (Evaluador)]],TablaCalificaciones[[#This Row],[Seleccione el nombre del Estudiante]])</f>
        <v>Marco Antonio Galarza CastilloEspinoza Erick Daniel</v>
      </c>
      <c r="N418" s="1"/>
      <c r="O418" s="1" t="s">
        <v>280</v>
      </c>
      <c r="Q418" s="1"/>
      <c r="R418" s="1" t="s">
        <v>44</v>
      </c>
      <c r="S418" s="22">
        <f>VLOOKUP(TablaCalificaciones[[#This Row],[Apertura: problema y objetivo ]],PESOS!A$16:B$20,2,0)</f>
        <v>20</v>
      </c>
      <c r="T418" s="1"/>
      <c r="U418" s="1" t="s">
        <v>44</v>
      </c>
      <c r="V418" s="22">
        <f>VLOOKUP(TablaCalificaciones[[#This Row],[Metodología (nivel adecuado)]],PESOS!A$16:B$20,2,0)</f>
        <v>20</v>
      </c>
      <c r="W418" s="1"/>
      <c r="X418" s="1" t="s">
        <v>44</v>
      </c>
      <c r="Y418" s="22">
        <f>VLOOKUP(TablaCalificaciones[[#This Row],[Resultados y evidencia ]],PESOS!A$16:B$20,2,0)</f>
        <v>20</v>
      </c>
      <c r="Z418" s="1"/>
      <c r="AA418" s="1" t="s">
        <v>45</v>
      </c>
      <c r="AB418" s="22">
        <f>VLOOKUP(TablaCalificaciones[[#This Row],[Coherencia y manejo del tiempo]],PESOS!A$25:B$29,2,0)</f>
        <v>10</v>
      </c>
      <c r="AC418" s="1"/>
      <c r="AD418" s="1" t="s">
        <v>45</v>
      </c>
      <c r="AE418" s="22">
        <f>VLOOKUP(TablaCalificaciones[[#This Row],[Diapositivas como apoyo]],PESOS!A$25:B$29,2,0)</f>
        <v>10</v>
      </c>
      <c r="AF418" s="1"/>
      <c r="AG418" s="1" t="s">
        <v>45</v>
      </c>
      <c r="AH418" s="22">
        <f>VLOOKUP(TablaCalificaciones[[#This Row],[Respuestas a preguntas]],PESOS!A$25:B$29,2,0)</f>
        <v>10</v>
      </c>
      <c r="AI418" s="1"/>
      <c r="AJ418" s="1" t="s">
        <v>45</v>
      </c>
      <c r="AK418" s="22">
        <f>VLOOKUP(TablaCalificaciones[[#This Row],[Cierre: aporte a próximos pasos]],PESOS!A$25:B$29,2,0)</f>
        <v>10</v>
      </c>
      <c r="AL418" s="1"/>
      <c r="AM418" s="1"/>
    </row>
    <row r="419" spans="1:39">
      <c r="A419">
        <v>422</v>
      </c>
      <c r="B419" s="2">
        <v>46135.816018518497</v>
      </c>
      <c r="C419" s="2">
        <v>46135.816388888903</v>
      </c>
      <c r="D419" s="1" t="s">
        <v>54</v>
      </c>
      <c r="E419" s="1" t="s">
        <v>55</v>
      </c>
      <c r="G419" s="1"/>
      <c r="H419" s="2"/>
      <c r="I419" s="1" t="s">
        <v>229</v>
      </c>
      <c r="K419" s="1"/>
      <c r="L419" s="1" t="s">
        <v>56</v>
      </c>
      <c r="M419" s="26" t="str">
        <f>CONCATENATE(TablaCalificaciones[[#This Row],[Seleccione su nombre (Evaluador)]],TablaCalificaciones[[#This Row],[Seleccione el nombre del Estudiante]])</f>
        <v>Marco Antonio Galarza CastilloRevelo Juan Manuel</v>
      </c>
      <c r="N419" s="1"/>
      <c r="O419" s="1" t="s">
        <v>281</v>
      </c>
      <c r="Q419" s="1"/>
      <c r="R419" s="1" t="s">
        <v>44</v>
      </c>
      <c r="S419" s="22">
        <f>VLOOKUP(TablaCalificaciones[[#This Row],[Apertura: problema y objetivo ]],PESOS!A$16:B$20,2,0)</f>
        <v>20</v>
      </c>
      <c r="T419" s="1"/>
      <c r="U419" s="1" t="s">
        <v>44</v>
      </c>
      <c r="V419" s="22">
        <f>VLOOKUP(TablaCalificaciones[[#This Row],[Metodología (nivel adecuado)]],PESOS!A$16:B$20,2,0)</f>
        <v>20</v>
      </c>
      <c r="W419" s="1"/>
      <c r="X419" s="1" t="s">
        <v>44</v>
      </c>
      <c r="Y419" s="22">
        <f>VLOOKUP(TablaCalificaciones[[#This Row],[Resultados y evidencia ]],PESOS!A$16:B$20,2,0)</f>
        <v>20</v>
      </c>
      <c r="Z419" s="1"/>
      <c r="AA419" s="1" t="s">
        <v>45</v>
      </c>
      <c r="AB419" s="22">
        <f>VLOOKUP(TablaCalificaciones[[#This Row],[Coherencia y manejo del tiempo]],PESOS!A$25:B$29,2,0)</f>
        <v>10</v>
      </c>
      <c r="AC419" s="1"/>
      <c r="AD419" s="1" t="s">
        <v>45</v>
      </c>
      <c r="AE419" s="22">
        <f>VLOOKUP(TablaCalificaciones[[#This Row],[Diapositivas como apoyo]],PESOS!A$25:B$29,2,0)</f>
        <v>10</v>
      </c>
      <c r="AF419" s="1"/>
      <c r="AG419" s="1" t="s">
        <v>45</v>
      </c>
      <c r="AH419" s="22">
        <f>VLOOKUP(TablaCalificaciones[[#This Row],[Respuestas a preguntas]],PESOS!A$25:B$29,2,0)</f>
        <v>10</v>
      </c>
      <c r="AI419" s="1"/>
      <c r="AJ419" s="1" t="s">
        <v>45</v>
      </c>
      <c r="AK419" s="22">
        <f>VLOOKUP(TablaCalificaciones[[#This Row],[Cierre: aporte a próximos pasos]],PESOS!A$25:B$29,2,0)</f>
        <v>10</v>
      </c>
      <c r="AL419" s="1"/>
      <c r="AM419" s="1"/>
    </row>
    <row r="420" spans="1:39">
      <c r="A420">
        <v>423</v>
      </c>
      <c r="B420" s="2">
        <v>46135.816400463002</v>
      </c>
      <c r="C420" s="2">
        <v>46135.816851851901</v>
      </c>
      <c r="D420" s="1" t="s">
        <v>54</v>
      </c>
      <c r="E420" s="1" t="s">
        <v>55</v>
      </c>
      <c r="G420" s="1"/>
      <c r="H420" s="2"/>
      <c r="I420" s="1" t="s">
        <v>229</v>
      </c>
      <c r="K420" s="1"/>
      <c r="L420" s="1" t="s">
        <v>56</v>
      </c>
      <c r="M420" s="26" t="str">
        <f>CONCATENATE(TablaCalificaciones[[#This Row],[Seleccione su nombre (Evaluador)]],TablaCalificaciones[[#This Row],[Seleccione el nombre del Estudiante]])</f>
        <v>Marco Antonio Galarza CastilloSaona David Hernán</v>
      </c>
      <c r="N420" s="1"/>
      <c r="O420" s="1" t="s">
        <v>279</v>
      </c>
      <c r="Q420" s="1"/>
      <c r="R420" s="1" t="s">
        <v>44</v>
      </c>
      <c r="S420" s="22">
        <f>VLOOKUP(TablaCalificaciones[[#This Row],[Apertura: problema y objetivo ]],PESOS!A$16:B$20,2,0)</f>
        <v>20</v>
      </c>
      <c r="T420" s="1"/>
      <c r="U420" s="1" t="s">
        <v>44</v>
      </c>
      <c r="V420" s="22">
        <f>VLOOKUP(TablaCalificaciones[[#This Row],[Metodología (nivel adecuado)]],PESOS!A$16:B$20,2,0)</f>
        <v>20</v>
      </c>
      <c r="W420" s="1"/>
      <c r="X420" s="1" t="s">
        <v>44</v>
      </c>
      <c r="Y420" s="22">
        <f>VLOOKUP(TablaCalificaciones[[#This Row],[Resultados y evidencia ]],PESOS!A$16:B$20,2,0)</f>
        <v>20</v>
      </c>
      <c r="Z420" s="1"/>
      <c r="AA420" s="1" t="s">
        <v>45</v>
      </c>
      <c r="AB420" s="22">
        <f>VLOOKUP(TablaCalificaciones[[#This Row],[Coherencia y manejo del tiempo]],PESOS!A$25:B$29,2,0)</f>
        <v>10</v>
      </c>
      <c r="AC420" s="1"/>
      <c r="AD420" s="1" t="s">
        <v>45</v>
      </c>
      <c r="AE420" s="22">
        <f>VLOOKUP(TablaCalificaciones[[#This Row],[Diapositivas como apoyo]],PESOS!A$25:B$29,2,0)</f>
        <v>10</v>
      </c>
      <c r="AF420" s="1"/>
      <c r="AG420" s="1" t="s">
        <v>45</v>
      </c>
      <c r="AH420" s="22">
        <f>VLOOKUP(TablaCalificaciones[[#This Row],[Respuestas a preguntas]],PESOS!A$25:B$29,2,0)</f>
        <v>10</v>
      </c>
      <c r="AI420" s="1"/>
      <c r="AJ420" s="1" t="s">
        <v>45</v>
      </c>
      <c r="AK420" s="22">
        <f>VLOOKUP(TablaCalificaciones[[#This Row],[Cierre: aporte a próximos pasos]],PESOS!A$25:B$29,2,0)</f>
        <v>10</v>
      </c>
      <c r="AL420" s="1"/>
      <c r="AM420" s="1"/>
    </row>
    <row r="421" spans="1:39">
      <c r="A421">
        <v>424</v>
      </c>
      <c r="B421" s="2">
        <v>46136.327430555597</v>
      </c>
      <c r="C421" s="2">
        <v>46136.328599537002</v>
      </c>
      <c r="D421" s="1" t="s">
        <v>154</v>
      </c>
      <c r="E421" s="1" t="s">
        <v>155</v>
      </c>
      <c r="G421" s="1"/>
      <c r="H421" s="2"/>
      <c r="I421" s="1" t="s">
        <v>229</v>
      </c>
      <c r="K421" s="1"/>
      <c r="L421" s="1" t="s">
        <v>155</v>
      </c>
      <c r="M421" s="26" t="str">
        <f>CONCATENATE(TablaCalificaciones[[#This Row],[Seleccione su nombre (Evaluador)]],TablaCalificaciones[[#This Row],[Seleccione el nombre del Estudiante]])</f>
        <v>Raul Vicente Paredes LoorMasache Narváez Valeria Estefanía</v>
      </c>
      <c r="N421" s="1"/>
      <c r="O421" s="1" t="s">
        <v>252</v>
      </c>
      <c r="Q421" s="1"/>
      <c r="R421" s="1" t="s">
        <v>44</v>
      </c>
      <c r="S421" s="22">
        <f>VLOOKUP(TablaCalificaciones[[#This Row],[Apertura: problema y objetivo ]],PESOS!A$16:B$20,2,0)</f>
        <v>20</v>
      </c>
      <c r="T421" s="1"/>
      <c r="U421" s="1" t="s">
        <v>44</v>
      </c>
      <c r="V421" s="22">
        <f>VLOOKUP(TablaCalificaciones[[#This Row],[Metodología (nivel adecuado)]],PESOS!A$16:B$20,2,0)</f>
        <v>20</v>
      </c>
      <c r="W421" s="1"/>
      <c r="X421" s="1" t="s">
        <v>44</v>
      </c>
      <c r="Y421" s="22">
        <f>VLOOKUP(TablaCalificaciones[[#This Row],[Resultados y evidencia ]],PESOS!A$16:B$20,2,0)</f>
        <v>20</v>
      </c>
      <c r="Z421" s="1"/>
      <c r="AA421" s="1" t="s">
        <v>45</v>
      </c>
      <c r="AB421" s="22">
        <f>VLOOKUP(TablaCalificaciones[[#This Row],[Coherencia y manejo del tiempo]],PESOS!A$25:B$29,2,0)</f>
        <v>10</v>
      </c>
      <c r="AC421" s="1"/>
      <c r="AD421" s="1" t="s">
        <v>45</v>
      </c>
      <c r="AE421" s="22">
        <f>VLOOKUP(TablaCalificaciones[[#This Row],[Diapositivas como apoyo]],PESOS!A$25:B$29,2,0)</f>
        <v>10</v>
      </c>
      <c r="AF421" s="1"/>
      <c r="AG421" s="1" t="s">
        <v>51</v>
      </c>
      <c r="AH421" s="22">
        <f>VLOOKUP(TablaCalificaciones[[#This Row],[Respuestas a preguntas]],PESOS!A$25:B$29,2,0)</f>
        <v>8</v>
      </c>
      <c r="AI421" s="1"/>
      <c r="AJ421" s="1" t="s">
        <v>51</v>
      </c>
      <c r="AK421" s="22">
        <f>VLOOKUP(TablaCalificaciones[[#This Row],[Cierre: aporte a próximos pasos]],PESOS!A$25:B$29,2,0)</f>
        <v>8</v>
      </c>
      <c r="AL421" s="1"/>
      <c r="AM421" s="1"/>
    </row>
    <row r="422" spans="1:39">
      <c r="A422">
        <v>425</v>
      </c>
      <c r="B422" s="2">
        <v>46136.328634259298</v>
      </c>
      <c r="C422" s="2">
        <v>46136.329351851797</v>
      </c>
      <c r="D422" s="1" t="s">
        <v>154</v>
      </c>
      <c r="E422" s="1" t="s">
        <v>155</v>
      </c>
      <c r="G422" s="1"/>
      <c r="H422" s="2"/>
      <c r="I422" s="1" t="s">
        <v>229</v>
      </c>
      <c r="K422" s="1"/>
      <c r="L422" s="1" t="s">
        <v>155</v>
      </c>
      <c r="M422" s="26" t="str">
        <f>CONCATENATE(TablaCalificaciones[[#This Row],[Seleccione su nombre (Evaluador)]],TablaCalificaciones[[#This Row],[Seleccione el nombre del Estudiante]])</f>
        <v>Raul Vicente Paredes LoorGuachamín Guevara Santiago David</v>
      </c>
      <c r="N422" s="1"/>
      <c r="O422" s="1" t="s">
        <v>251</v>
      </c>
      <c r="Q422" s="1"/>
      <c r="R422" s="1" t="s">
        <v>44</v>
      </c>
      <c r="S422" s="22">
        <f>VLOOKUP(TablaCalificaciones[[#This Row],[Apertura: problema y objetivo ]],PESOS!A$16:B$20,2,0)</f>
        <v>20</v>
      </c>
      <c r="T422" s="1"/>
      <c r="U422" s="1" t="s">
        <v>44</v>
      </c>
      <c r="V422" s="22">
        <f>VLOOKUP(TablaCalificaciones[[#This Row],[Metodología (nivel adecuado)]],PESOS!A$16:B$20,2,0)</f>
        <v>20</v>
      </c>
      <c r="W422" s="1"/>
      <c r="X422" s="1" t="s">
        <v>44</v>
      </c>
      <c r="Y422" s="22">
        <f>VLOOKUP(TablaCalificaciones[[#This Row],[Resultados y evidencia ]],PESOS!A$16:B$20,2,0)</f>
        <v>20</v>
      </c>
      <c r="Z422" s="1"/>
      <c r="AA422" s="1" t="s">
        <v>45</v>
      </c>
      <c r="AB422" s="22">
        <f>VLOOKUP(TablaCalificaciones[[#This Row],[Coherencia y manejo del tiempo]],PESOS!A$25:B$29,2,0)</f>
        <v>10</v>
      </c>
      <c r="AC422" s="1"/>
      <c r="AD422" s="1" t="s">
        <v>45</v>
      </c>
      <c r="AE422" s="22">
        <f>VLOOKUP(TablaCalificaciones[[#This Row],[Diapositivas como apoyo]],PESOS!A$25:B$29,2,0)</f>
        <v>10</v>
      </c>
      <c r="AF422" s="1"/>
      <c r="AG422" s="1" t="s">
        <v>51</v>
      </c>
      <c r="AH422" s="22">
        <f>VLOOKUP(TablaCalificaciones[[#This Row],[Respuestas a preguntas]],PESOS!A$25:B$29,2,0)</f>
        <v>8</v>
      </c>
      <c r="AI422" s="1"/>
      <c r="AJ422" s="1" t="s">
        <v>51</v>
      </c>
      <c r="AK422" s="22">
        <f>VLOOKUP(TablaCalificaciones[[#This Row],[Cierre: aporte a próximos pasos]],PESOS!A$25:B$29,2,0)</f>
        <v>8</v>
      </c>
      <c r="AL422" s="1"/>
      <c r="AM422" s="1"/>
    </row>
    <row r="423" spans="1:39">
      <c r="A423">
        <v>426</v>
      </c>
      <c r="B423" s="2">
        <v>46136.335567129601</v>
      </c>
      <c r="C423" s="2">
        <v>46136.352002314801</v>
      </c>
      <c r="D423" s="1" t="s">
        <v>54</v>
      </c>
      <c r="E423" s="1" t="s">
        <v>55</v>
      </c>
      <c r="G423" s="1"/>
      <c r="H423" s="2"/>
      <c r="I423" s="1" t="s">
        <v>134</v>
      </c>
      <c r="K423" s="1"/>
      <c r="L423" s="1" t="s">
        <v>56</v>
      </c>
      <c r="M423" s="26" t="str">
        <f>CONCATENATE(TablaCalificaciones[[#This Row],[Seleccione su nombre (Evaluador)]],TablaCalificaciones[[#This Row],[Seleccione el nombre del Estudiante]])</f>
        <v>Marco Antonio Galarza CastilloAngulo Dávila Carlos Andrés</v>
      </c>
      <c r="N423" s="1"/>
      <c r="O423" s="1" t="s">
        <v>289</v>
      </c>
      <c r="Q423" s="1"/>
      <c r="R423" s="1" t="s">
        <v>44</v>
      </c>
      <c r="S423" s="22">
        <f>VLOOKUP(TablaCalificaciones[[#This Row],[Apertura: problema y objetivo ]],PESOS!A$16:B$20,2,0)</f>
        <v>20</v>
      </c>
      <c r="T423" s="1"/>
      <c r="U423" s="1" t="s">
        <v>44</v>
      </c>
      <c r="V423" s="22">
        <f>VLOOKUP(TablaCalificaciones[[#This Row],[Metodología (nivel adecuado)]],PESOS!A$16:B$20,2,0)</f>
        <v>20</v>
      </c>
      <c r="W423" s="1"/>
      <c r="X423" s="1" t="s">
        <v>44</v>
      </c>
      <c r="Y423" s="22">
        <f>VLOOKUP(TablaCalificaciones[[#This Row],[Resultados y evidencia ]],PESOS!A$16:B$20,2,0)</f>
        <v>20</v>
      </c>
      <c r="Z423" s="1"/>
      <c r="AA423" s="1" t="s">
        <v>45</v>
      </c>
      <c r="AB423" s="22">
        <f>VLOOKUP(TablaCalificaciones[[#This Row],[Coherencia y manejo del tiempo]],PESOS!A$25:B$29,2,0)</f>
        <v>10</v>
      </c>
      <c r="AC423" s="1"/>
      <c r="AD423" s="1" t="s">
        <v>45</v>
      </c>
      <c r="AE423" s="22">
        <f>VLOOKUP(TablaCalificaciones[[#This Row],[Diapositivas como apoyo]],PESOS!A$25:B$29,2,0)</f>
        <v>10</v>
      </c>
      <c r="AF423" s="1"/>
      <c r="AG423" s="1" t="s">
        <v>45</v>
      </c>
      <c r="AH423" s="22">
        <f>VLOOKUP(TablaCalificaciones[[#This Row],[Respuestas a preguntas]],PESOS!A$25:B$29,2,0)</f>
        <v>10</v>
      </c>
      <c r="AI423" s="1"/>
      <c r="AJ423" s="1" t="s">
        <v>45</v>
      </c>
      <c r="AK423" s="22">
        <f>VLOOKUP(TablaCalificaciones[[#This Row],[Cierre: aporte a próximos pasos]],PESOS!A$25:B$29,2,0)</f>
        <v>10</v>
      </c>
      <c r="AL423" s="1"/>
      <c r="AM423" s="1"/>
    </row>
    <row r="424" spans="1:39">
      <c r="A424">
        <v>427</v>
      </c>
      <c r="B424" s="2">
        <v>46136.332754629599</v>
      </c>
      <c r="C424" s="2">
        <v>46136.352025462998</v>
      </c>
      <c r="D424" s="1" t="s">
        <v>59</v>
      </c>
      <c r="E424" s="1" t="s">
        <v>60</v>
      </c>
      <c r="G424" s="1"/>
      <c r="H424" s="2"/>
      <c r="I424" s="1" t="s">
        <v>134</v>
      </c>
      <c r="K424" s="1"/>
      <c r="L424" s="1" t="s">
        <v>60</v>
      </c>
      <c r="M424" s="26" t="str">
        <f>CONCATENATE(TablaCalificaciones[[#This Row],[Seleccione su nombre (Evaluador)]],TablaCalificaciones[[#This Row],[Seleccione el nombre del Estudiante]])</f>
        <v>Santiago Leonardo SolórzanoOppíkofer López Jessica Marisol</v>
      </c>
      <c r="N424" s="1"/>
      <c r="O424" s="1" t="s">
        <v>290</v>
      </c>
      <c r="Q424" s="1"/>
      <c r="R424" s="1" t="s">
        <v>50</v>
      </c>
      <c r="S424" s="22">
        <f>VLOOKUP(TablaCalificaciones[[#This Row],[Apertura: problema y objetivo ]],PESOS!A$16:B$20,2,0)</f>
        <v>16</v>
      </c>
      <c r="T424" s="1"/>
      <c r="U424" s="1" t="s">
        <v>50</v>
      </c>
      <c r="V424" s="22">
        <f>VLOOKUP(TablaCalificaciones[[#This Row],[Metodología (nivel adecuado)]],PESOS!A$16:B$20,2,0)</f>
        <v>16</v>
      </c>
      <c r="W424" s="1"/>
      <c r="X424" s="1" t="s">
        <v>50</v>
      </c>
      <c r="Y424" s="22">
        <f>VLOOKUP(TablaCalificaciones[[#This Row],[Resultados y evidencia ]],PESOS!A$16:B$20,2,0)</f>
        <v>16</v>
      </c>
      <c r="Z424" s="1"/>
      <c r="AA424" s="1" t="s">
        <v>45</v>
      </c>
      <c r="AB424" s="22">
        <f>VLOOKUP(TablaCalificaciones[[#This Row],[Coherencia y manejo del tiempo]],PESOS!A$25:B$29,2,0)</f>
        <v>10</v>
      </c>
      <c r="AC424" s="1"/>
      <c r="AD424" s="1" t="s">
        <v>51</v>
      </c>
      <c r="AE424" s="22">
        <f>VLOOKUP(TablaCalificaciones[[#This Row],[Diapositivas como apoyo]],PESOS!A$25:B$29,2,0)</f>
        <v>8</v>
      </c>
      <c r="AF424" s="1"/>
      <c r="AG424" s="1" t="s">
        <v>45</v>
      </c>
      <c r="AH424" s="22">
        <f>VLOOKUP(TablaCalificaciones[[#This Row],[Respuestas a preguntas]],PESOS!A$25:B$29,2,0)</f>
        <v>10</v>
      </c>
      <c r="AI424" s="1"/>
      <c r="AJ424" s="1" t="s">
        <v>51</v>
      </c>
      <c r="AK424" s="22">
        <f>VLOOKUP(TablaCalificaciones[[#This Row],[Cierre: aporte a próximos pasos]],PESOS!A$25:B$29,2,0)</f>
        <v>8</v>
      </c>
      <c r="AL424" s="1"/>
      <c r="AM424" s="1"/>
    </row>
    <row r="425" spans="1:39">
      <c r="A425">
        <v>428</v>
      </c>
      <c r="B425" s="2">
        <v>46136.332766203697</v>
      </c>
      <c r="C425" s="2">
        <v>46136.352071759298</v>
      </c>
      <c r="D425" s="1" t="s">
        <v>59</v>
      </c>
      <c r="E425" s="1" t="s">
        <v>60</v>
      </c>
      <c r="G425" s="1"/>
      <c r="H425" s="2"/>
      <c r="I425" s="1" t="s">
        <v>134</v>
      </c>
      <c r="K425" s="1"/>
      <c r="L425" s="1" t="s">
        <v>60</v>
      </c>
      <c r="M425" s="26" t="str">
        <f>CONCATENATE(TablaCalificaciones[[#This Row],[Seleccione su nombre (Evaluador)]],TablaCalificaciones[[#This Row],[Seleccione el nombre del Estudiante]])</f>
        <v>Santiago Leonardo SolórzanoCarrillo Barros Juan Carlos</v>
      </c>
      <c r="N425" s="1"/>
      <c r="O425" s="1" t="s">
        <v>291</v>
      </c>
      <c r="Q425" s="1"/>
      <c r="R425" s="1" t="s">
        <v>50</v>
      </c>
      <c r="S425" s="22">
        <f>VLOOKUP(TablaCalificaciones[[#This Row],[Apertura: problema y objetivo ]],PESOS!A$16:B$20,2,0)</f>
        <v>16</v>
      </c>
      <c r="T425" s="1"/>
      <c r="U425" s="1" t="s">
        <v>50</v>
      </c>
      <c r="V425" s="22">
        <f>VLOOKUP(TablaCalificaciones[[#This Row],[Metodología (nivel adecuado)]],PESOS!A$16:B$20,2,0)</f>
        <v>16</v>
      </c>
      <c r="W425" s="1"/>
      <c r="X425" s="1" t="s">
        <v>50</v>
      </c>
      <c r="Y425" s="22">
        <f>VLOOKUP(TablaCalificaciones[[#This Row],[Resultados y evidencia ]],PESOS!A$16:B$20,2,0)</f>
        <v>16</v>
      </c>
      <c r="Z425" s="1"/>
      <c r="AA425" s="1" t="s">
        <v>45</v>
      </c>
      <c r="AB425" s="22">
        <f>VLOOKUP(TablaCalificaciones[[#This Row],[Coherencia y manejo del tiempo]],PESOS!A$25:B$29,2,0)</f>
        <v>10</v>
      </c>
      <c r="AC425" s="1"/>
      <c r="AD425" s="1" t="s">
        <v>51</v>
      </c>
      <c r="AE425" s="22">
        <f>VLOOKUP(TablaCalificaciones[[#This Row],[Diapositivas como apoyo]],PESOS!A$25:B$29,2,0)</f>
        <v>8</v>
      </c>
      <c r="AF425" s="1"/>
      <c r="AG425" s="1" t="s">
        <v>45</v>
      </c>
      <c r="AH425" s="22">
        <f>VLOOKUP(TablaCalificaciones[[#This Row],[Respuestas a preguntas]],PESOS!A$25:B$29,2,0)</f>
        <v>10</v>
      </c>
      <c r="AI425" s="1"/>
      <c r="AJ425" s="1" t="s">
        <v>51</v>
      </c>
      <c r="AK425" s="22">
        <f>VLOOKUP(TablaCalificaciones[[#This Row],[Cierre: aporte a próximos pasos]],PESOS!A$25:B$29,2,0)</f>
        <v>8</v>
      </c>
      <c r="AL425" s="1"/>
      <c r="AM425" s="1"/>
    </row>
    <row r="426" spans="1:39">
      <c r="A426">
        <v>429</v>
      </c>
      <c r="B426" s="2">
        <v>46136.3520138889</v>
      </c>
      <c r="C426" s="2">
        <v>46136.3522800926</v>
      </c>
      <c r="D426" s="1" t="s">
        <v>54</v>
      </c>
      <c r="E426" s="1" t="s">
        <v>55</v>
      </c>
      <c r="G426" s="1"/>
      <c r="H426" s="2"/>
      <c r="I426" s="1" t="s">
        <v>134</v>
      </c>
      <c r="K426" s="1"/>
      <c r="L426" s="1" t="s">
        <v>56</v>
      </c>
      <c r="M426" s="26" t="str">
        <f>CONCATENATE(TablaCalificaciones[[#This Row],[Seleccione su nombre (Evaluador)]],TablaCalificaciones[[#This Row],[Seleccione el nombre del Estudiante]])</f>
        <v>Marco Antonio Galarza CastilloChicaiza Ayala Alexandra Patricia</v>
      </c>
      <c r="N426" s="1"/>
      <c r="O426" s="1" t="s">
        <v>292</v>
      </c>
      <c r="Q426" s="1"/>
      <c r="R426" s="1" t="s">
        <v>44</v>
      </c>
      <c r="S426" s="22">
        <f>VLOOKUP(TablaCalificaciones[[#This Row],[Apertura: problema y objetivo ]],PESOS!A$16:B$20,2,0)</f>
        <v>20</v>
      </c>
      <c r="T426" s="1"/>
      <c r="U426" s="1" t="s">
        <v>44</v>
      </c>
      <c r="V426" s="22">
        <f>VLOOKUP(TablaCalificaciones[[#This Row],[Metodología (nivel adecuado)]],PESOS!A$16:B$20,2,0)</f>
        <v>20</v>
      </c>
      <c r="W426" s="1"/>
      <c r="X426" s="1" t="s">
        <v>44</v>
      </c>
      <c r="Y426" s="22">
        <f>VLOOKUP(TablaCalificaciones[[#This Row],[Resultados y evidencia ]],PESOS!A$16:B$20,2,0)</f>
        <v>20</v>
      </c>
      <c r="Z426" s="1"/>
      <c r="AA426" s="1" t="s">
        <v>45</v>
      </c>
      <c r="AB426" s="22">
        <f>VLOOKUP(TablaCalificaciones[[#This Row],[Coherencia y manejo del tiempo]],PESOS!A$25:B$29,2,0)</f>
        <v>10</v>
      </c>
      <c r="AC426" s="1"/>
      <c r="AD426" s="1" t="s">
        <v>45</v>
      </c>
      <c r="AE426" s="22">
        <f>VLOOKUP(TablaCalificaciones[[#This Row],[Diapositivas como apoyo]],PESOS!A$25:B$29,2,0)</f>
        <v>10</v>
      </c>
      <c r="AF426" s="1"/>
      <c r="AG426" s="1" t="s">
        <v>45</v>
      </c>
      <c r="AH426" s="22">
        <f>VLOOKUP(TablaCalificaciones[[#This Row],[Respuestas a preguntas]],PESOS!A$25:B$29,2,0)</f>
        <v>10</v>
      </c>
      <c r="AI426" s="1"/>
      <c r="AJ426" s="1" t="s">
        <v>45</v>
      </c>
      <c r="AK426" s="22">
        <f>VLOOKUP(TablaCalificaciones[[#This Row],[Cierre: aporte a próximos pasos]],PESOS!A$25:B$29,2,0)</f>
        <v>10</v>
      </c>
      <c r="AL426" s="1"/>
      <c r="AM426" s="1"/>
    </row>
    <row r="427" spans="1:39">
      <c r="A427">
        <v>430</v>
      </c>
      <c r="B427" s="2">
        <v>46136.353275463</v>
      </c>
      <c r="C427" s="2">
        <v>46136.353483796302</v>
      </c>
      <c r="D427" s="1" t="s">
        <v>219</v>
      </c>
      <c r="E427" s="1" t="s">
        <v>220</v>
      </c>
      <c r="G427" s="1"/>
      <c r="H427" s="2"/>
      <c r="I427" s="1" t="s">
        <v>134</v>
      </c>
      <c r="K427" s="1"/>
      <c r="L427" s="1" t="s">
        <v>220</v>
      </c>
      <c r="M427" s="26" t="str">
        <f>CONCATENATE(TablaCalificaciones[[#This Row],[Seleccione su nombre (Evaluador)]],TablaCalificaciones[[#This Row],[Seleccione el nombre del Estudiante]])</f>
        <v>Luis Felipe Urquiza AguiarCarrillo Barros Juan Carlos</v>
      </c>
      <c r="N427" s="1"/>
      <c r="O427" s="1" t="s">
        <v>291</v>
      </c>
      <c r="Q427" s="1"/>
      <c r="R427" s="1" t="s">
        <v>44</v>
      </c>
      <c r="S427" s="22">
        <f>VLOOKUP(TablaCalificaciones[[#This Row],[Apertura: problema y objetivo ]],PESOS!A$16:B$20,2,0)</f>
        <v>20</v>
      </c>
      <c r="T427" s="1"/>
      <c r="U427" s="1" t="s">
        <v>44</v>
      </c>
      <c r="V427" s="22">
        <f>VLOOKUP(TablaCalificaciones[[#This Row],[Metodología (nivel adecuado)]],PESOS!A$16:B$20,2,0)</f>
        <v>20</v>
      </c>
      <c r="W427" s="1"/>
      <c r="X427" s="1" t="s">
        <v>44</v>
      </c>
      <c r="Y427" s="22">
        <f>VLOOKUP(TablaCalificaciones[[#This Row],[Resultados y evidencia ]],PESOS!A$16:B$20,2,0)</f>
        <v>20</v>
      </c>
      <c r="Z427" s="1"/>
      <c r="AA427" s="1" t="s">
        <v>45</v>
      </c>
      <c r="AB427" s="22">
        <f>VLOOKUP(TablaCalificaciones[[#This Row],[Coherencia y manejo del tiempo]],PESOS!A$25:B$29,2,0)</f>
        <v>10</v>
      </c>
      <c r="AC427" s="1"/>
      <c r="AD427" s="1" t="s">
        <v>51</v>
      </c>
      <c r="AE427" s="22">
        <f>VLOOKUP(TablaCalificaciones[[#This Row],[Diapositivas como apoyo]],PESOS!A$25:B$29,2,0)</f>
        <v>8</v>
      </c>
      <c r="AF427" s="1"/>
      <c r="AG427" s="1" t="s">
        <v>45</v>
      </c>
      <c r="AH427" s="22">
        <f>VLOOKUP(TablaCalificaciones[[#This Row],[Respuestas a preguntas]],PESOS!A$25:B$29,2,0)</f>
        <v>10</v>
      </c>
      <c r="AI427" s="1"/>
      <c r="AJ427" s="1" t="s">
        <v>45</v>
      </c>
      <c r="AK427" s="22">
        <f>VLOOKUP(TablaCalificaciones[[#This Row],[Cierre: aporte a próximos pasos]],PESOS!A$25:B$29,2,0)</f>
        <v>10</v>
      </c>
      <c r="AL427" s="1"/>
      <c r="AM427" s="1"/>
    </row>
    <row r="428" spans="1:39">
      <c r="A428">
        <v>431</v>
      </c>
      <c r="B428" s="2">
        <v>46136.353518518503</v>
      </c>
      <c r="C428" s="2">
        <v>46136.3539930556</v>
      </c>
      <c r="D428" s="1" t="s">
        <v>219</v>
      </c>
      <c r="E428" s="1" t="s">
        <v>220</v>
      </c>
      <c r="G428" s="1"/>
      <c r="H428" s="2"/>
      <c r="I428" s="1" t="s">
        <v>134</v>
      </c>
      <c r="K428" s="1"/>
      <c r="L428" s="1" t="s">
        <v>220</v>
      </c>
      <c r="M428" s="26" t="str">
        <f>CONCATENATE(TablaCalificaciones[[#This Row],[Seleccione su nombre (Evaluador)]],TablaCalificaciones[[#This Row],[Seleccione el nombre del Estudiante]])</f>
        <v>Luis Felipe Urquiza AguiarOppíkofer López Jessica Marisol</v>
      </c>
      <c r="N428" s="1"/>
      <c r="O428" s="1" t="s">
        <v>290</v>
      </c>
      <c r="Q428" s="1"/>
      <c r="R428" s="1" t="s">
        <v>44</v>
      </c>
      <c r="S428" s="22">
        <f>VLOOKUP(TablaCalificaciones[[#This Row],[Apertura: problema y objetivo ]],PESOS!A$16:B$20,2,0)</f>
        <v>20</v>
      </c>
      <c r="T428" s="1"/>
      <c r="U428" s="1" t="s">
        <v>44</v>
      </c>
      <c r="V428" s="22">
        <f>VLOOKUP(TablaCalificaciones[[#This Row],[Metodología (nivel adecuado)]],PESOS!A$16:B$20,2,0)</f>
        <v>20</v>
      </c>
      <c r="W428" s="1"/>
      <c r="X428" s="1" t="s">
        <v>44</v>
      </c>
      <c r="Y428" s="22">
        <f>VLOOKUP(TablaCalificaciones[[#This Row],[Resultados y evidencia ]],PESOS!A$16:B$20,2,0)</f>
        <v>20</v>
      </c>
      <c r="Z428" s="1"/>
      <c r="AA428" s="1" t="s">
        <v>45</v>
      </c>
      <c r="AB428" s="22">
        <f>VLOOKUP(TablaCalificaciones[[#This Row],[Coherencia y manejo del tiempo]],PESOS!A$25:B$29,2,0)</f>
        <v>10</v>
      </c>
      <c r="AC428" s="1"/>
      <c r="AD428" s="1" t="s">
        <v>51</v>
      </c>
      <c r="AE428" s="22">
        <f>VLOOKUP(TablaCalificaciones[[#This Row],[Diapositivas como apoyo]],PESOS!A$25:B$29,2,0)</f>
        <v>8</v>
      </c>
      <c r="AF428" s="1"/>
      <c r="AG428" s="1" t="s">
        <v>51</v>
      </c>
      <c r="AH428" s="22">
        <f>VLOOKUP(TablaCalificaciones[[#This Row],[Respuestas a preguntas]],PESOS!A$25:B$29,2,0)</f>
        <v>8</v>
      </c>
      <c r="AI428" s="1"/>
      <c r="AJ428" s="1" t="s">
        <v>45</v>
      </c>
      <c r="AK428" s="22">
        <f>VLOOKUP(TablaCalificaciones[[#This Row],[Cierre: aporte a próximos pasos]],PESOS!A$25:B$29,2,0)</f>
        <v>10</v>
      </c>
      <c r="AL428" s="1"/>
      <c r="AM428" s="1"/>
    </row>
    <row r="429" spans="1:39">
      <c r="A429">
        <v>432</v>
      </c>
      <c r="B429" s="2">
        <v>46136.360833333303</v>
      </c>
      <c r="C429" s="2">
        <v>46136.367766203701</v>
      </c>
      <c r="D429" s="1" t="s">
        <v>93</v>
      </c>
      <c r="E429" s="1" t="s">
        <v>94</v>
      </c>
      <c r="G429" s="1"/>
      <c r="H429" s="2"/>
      <c r="I429" s="1" t="s">
        <v>134</v>
      </c>
      <c r="K429" s="1"/>
      <c r="L429" s="1" t="s">
        <v>95</v>
      </c>
      <c r="M429" s="26" t="str">
        <f>CONCATENATE(TablaCalificaciones[[#This Row],[Seleccione su nombre (Evaluador)]],TablaCalificaciones[[#This Row],[Seleccione el nombre del Estudiante]])</f>
        <v>Nelly Patricia Acosta VargasÁvila Jumbo Mateo Danilo</v>
      </c>
      <c r="N429" s="1"/>
      <c r="O429" s="1" t="s">
        <v>293</v>
      </c>
      <c r="Q429" s="1"/>
      <c r="R429" s="1" t="s">
        <v>44</v>
      </c>
      <c r="S429" s="22">
        <f>VLOOKUP(TablaCalificaciones[[#This Row],[Apertura: problema y objetivo ]],PESOS!A$16:B$20,2,0)</f>
        <v>20</v>
      </c>
      <c r="T429" s="1"/>
      <c r="U429" s="1" t="s">
        <v>44</v>
      </c>
      <c r="V429" s="22">
        <f>VLOOKUP(TablaCalificaciones[[#This Row],[Metodología (nivel adecuado)]],PESOS!A$16:B$20,2,0)</f>
        <v>20</v>
      </c>
      <c r="W429" s="1"/>
      <c r="X429" s="1" t="s">
        <v>44</v>
      </c>
      <c r="Y429" s="22">
        <f>VLOOKUP(TablaCalificaciones[[#This Row],[Resultados y evidencia ]],PESOS!A$16:B$20,2,0)</f>
        <v>20</v>
      </c>
      <c r="Z429" s="1"/>
      <c r="AA429" s="1" t="s">
        <v>45</v>
      </c>
      <c r="AB429" s="22">
        <f>VLOOKUP(TablaCalificaciones[[#This Row],[Coherencia y manejo del tiempo]],PESOS!A$25:B$29,2,0)</f>
        <v>10</v>
      </c>
      <c r="AC429" s="1"/>
      <c r="AD429" s="1" t="s">
        <v>45</v>
      </c>
      <c r="AE429" s="22">
        <f>VLOOKUP(TablaCalificaciones[[#This Row],[Diapositivas como apoyo]],PESOS!A$25:B$29,2,0)</f>
        <v>10</v>
      </c>
      <c r="AF429" s="1"/>
      <c r="AG429" s="1" t="s">
        <v>45</v>
      </c>
      <c r="AH429" s="22">
        <f>VLOOKUP(TablaCalificaciones[[#This Row],[Respuestas a preguntas]],PESOS!A$25:B$29,2,0)</f>
        <v>10</v>
      </c>
      <c r="AI429" s="1"/>
      <c r="AJ429" s="1" t="s">
        <v>45</v>
      </c>
      <c r="AK429" s="22">
        <f>VLOOKUP(TablaCalificaciones[[#This Row],[Cierre: aporte a próximos pasos]],PESOS!A$25:B$29,2,0)</f>
        <v>10</v>
      </c>
      <c r="AL429" s="1"/>
      <c r="AM429" s="1"/>
    </row>
    <row r="430" spans="1:39">
      <c r="A430">
        <v>433</v>
      </c>
      <c r="B430" s="2">
        <v>46136.3678587963</v>
      </c>
      <c r="C430" s="2">
        <v>46136.3686689815</v>
      </c>
      <c r="D430" s="1" t="s">
        <v>93</v>
      </c>
      <c r="E430" s="1" t="s">
        <v>94</v>
      </c>
      <c r="G430" s="1"/>
      <c r="H430" s="2"/>
      <c r="I430" s="1" t="s">
        <v>134</v>
      </c>
      <c r="K430" s="1"/>
      <c r="L430" s="1" t="s">
        <v>95</v>
      </c>
      <c r="M430" s="26" t="str">
        <f>CONCATENATE(TablaCalificaciones[[#This Row],[Seleccione su nombre (Evaluador)]],TablaCalificaciones[[#This Row],[Seleccione el nombre del Estudiante]])</f>
        <v>Nelly Patricia Acosta VargasValverde González Alberto Sebastián</v>
      </c>
      <c r="N430" s="1"/>
      <c r="O430" s="1" t="s">
        <v>294</v>
      </c>
      <c r="Q430" s="1"/>
      <c r="R430" s="1" t="s">
        <v>44</v>
      </c>
      <c r="S430" s="22">
        <f>VLOOKUP(TablaCalificaciones[[#This Row],[Apertura: problema y objetivo ]],PESOS!A$16:B$20,2,0)</f>
        <v>20</v>
      </c>
      <c r="T430" s="1"/>
      <c r="U430" s="1" t="s">
        <v>44</v>
      </c>
      <c r="V430" s="22">
        <f>VLOOKUP(TablaCalificaciones[[#This Row],[Metodología (nivel adecuado)]],PESOS!A$16:B$20,2,0)</f>
        <v>20</v>
      </c>
      <c r="W430" s="1"/>
      <c r="X430" s="1" t="s">
        <v>44</v>
      </c>
      <c r="Y430" s="22">
        <f>VLOOKUP(TablaCalificaciones[[#This Row],[Resultados y evidencia ]],PESOS!A$16:B$20,2,0)</f>
        <v>20</v>
      </c>
      <c r="Z430" s="1"/>
      <c r="AA430" s="1" t="s">
        <v>45</v>
      </c>
      <c r="AB430" s="22">
        <f>VLOOKUP(TablaCalificaciones[[#This Row],[Coherencia y manejo del tiempo]],PESOS!A$25:B$29,2,0)</f>
        <v>10</v>
      </c>
      <c r="AC430" s="1"/>
      <c r="AD430" s="1" t="s">
        <v>45</v>
      </c>
      <c r="AE430" s="22">
        <f>VLOOKUP(TablaCalificaciones[[#This Row],[Diapositivas como apoyo]],PESOS!A$25:B$29,2,0)</f>
        <v>10</v>
      </c>
      <c r="AF430" s="1"/>
      <c r="AG430" s="1" t="s">
        <v>45</v>
      </c>
      <c r="AH430" s="22">
        <f>VLOOKUP(TablaCalificaciones[[#This Row],[Respuestas a preguntas]],PESOS!A$25:B$29,2,0)</f>
        <v>10</v>
      </c>
      <c r="AI430" s="1"/>
      <c r="AJ430" s="1" t="s">
        <v>51</v>
      </c>
      <c r="AK430" s="22">
        <f>VLOOKUP(TablaCalificaciones[[#This Row],[Cierre: aporte a próximos pasos]],PESOS!A$25:B$29,2,0)</f>
        <v>8</v>
      </c>
      <c r="AL430" s="1"/>
      <c r="AM430" s="1"/>
    </row>
    <row r="431" spans="1:39">
      <c r="A431">
        <v>434</v>
      </c>
      <c r="B431" s="2">
        <v>46136.368703703702</v>
      </c>
      <c r="C431" s="2">
        <v>46136.369328703702</v>
      </c>
      <c r="D431" s="1" t="s">
        <v>93</v>
      </c>
      <c r="E431" s="1" t="s">
        <v>94</v>
      </c>
      <c r="G431" s="1"/>
      <c r="H431" s="2"/>
      <c r="I431" s="1" t="s">
        <v>134</v>
      </c>
      <c r="K431" s="1"/>
      <c r="L431" s="1" t="s">
        <v>95</v>
      </c>
      <c r="M431" s="26" t="str">
        <f>CONCATENATE(TablaCalificaciones[[#This Row],[Seleccione su nombre (Evaluador)]],TablaCalificaciones[[#This Row],[Seleccione el nombre del Estudiante]])</f>
        <v>Nelly Patricia Acosta VargasVinueza Rodríguez Jadira Estefanía</v>
      </c>
      <c r="N431" s="1"/>
      <c r="O431" s="1" t="s">
        <v>295</v>
      </c>
      <c r="Q431" s="1"/>
      <c r="R431" s="1" t="s">
        <v>44</v>
      </c>
      <c r="S431" s="22">
        <f>VLOOKUP(TablaCalificaciones[[#This Row],[Apertura: problema y objetivo ]],PESOS!A$16:B$20,2,0)</f>
        <v>20</v>
      </c>
      <c r="T431" s="1"/>
      <c r="U431" s="1" t="s">
        <v>44</v>
      </c>
      <c r="V431" s="22">
        <f>VLOOKUP(TablaCalificaciones[[#This Row],[Metodología (nivel adecuado)]],PESOS!A$16:B$20,2,0)</f>
        <v>20</v>
      </c>
      <c r="W431" s="1"/>
      <c r="X431" s="1" t="s">
        <v>44</v>
      </c>
      <c r="Y431" s="22">
        <f>VLOOKUP(TablaCalificaciones[[#This Row],[Resultados y evidencia ]],PESOS!A$16:B$20,2,0)</f>
        <v>20</v>
      </c>
      <c r="Z431" s="1"/>
      <c r="AA431" s="1" t="s">
        <v>45</v>
      </c>
      <c r="AB431" s="22">
        <f>VLOOKUP(TablaCalificaciones[[#This Row],[Coherencia y manejo del tiempo]],PESOS!A$25:B$29,2,0)</f>
        <v>10</v>
      </c>
      <c r="AC431" s="1"/>
      <c r="AD431" s="1" t="s">
        <v>45</v>
      </c>
      <c r="AE431" s="22">
        <f>VLOOKUP(TablaCalificaciones[[#This Row],[Diapositivas como apoyo]],PESOS!A$25:B$29,2,0)</f>
        <v>10</v>
      </c>
      <c r="AF431" s="1"/>
      <c r="AG431" s="1" t="s">
        <v>45</v>
      </c>
      <c r="AH431" s="22">
        <f>VLOOKUP(TablaCalificaciones[[#This Row],[Respuestas a preguntas]],PESOS!A$25:B$29,2,0)</f>
        <v>10</v>
      </c>
      <c r="AI431" s="1"/>
      <c r="AJ431" s="1" t="s">
        <v>45</v>
      </c>
      <c r="AK431" s="22">
        <f>VLOOKUP(TablaCalificaciones[[#This Row],[Cierre: aporte a próximos pasos]],PESOS!A$25:B$29,2,0)</f>
        <v>10</v>
      </c>
      <c r="AL431" s="1"/>
      <c r="AM431" s="1"/>
    </row>
    <row r="432" spans="1:39">
      <c r="A432">
        <v>435</v>
      </c>
      <c r="B432" s="2">
        <v>46136.356111111098</v>
      </c>
      <c r="C432" s="2">
        <v>46136.371793981503</v>
      </c>
      <c r="D432" s="1" t="s">
        <v>59</v>
      </c>
      <c r="E432" s="1" t="s">
        <v>60</v>
      </c>
      <c r="G432" s="1"/>
      <c r="H432" s="2"/>
      <c r="I432" s="1" t="s">
        <v>134</v>
      </c>
      <c r="K432" s="1"/>
      <c r="L432" s="1" t="s">
        <v>60</v>
      </c>
      <c r="M432" s="26" t="str">
        <f>CONCATENATE(TablaCalificaciones[[#This Row],[Seleccione su nombre (Evaluador)]],TablaCalificaciones[[#This Row],[Seleccione el nombre del Estudiante]])</f>
        <v>Santiago Leonardo SolórzanoSilva Villalobos Medardo Mauricio</v>
      </c>
      <c r="N432" s="1"/>
      <c r="O432" s="1" t="s">
        <v>296</v>
      </c>
      <c r="Q432" s="1"/>
      <c r="R432" s="1" t="s">
        <v>44</v>
      </c>
      <c r="S432" s="22">
        <f>VLOOKUP(TablaCalificaciones[[#This Row],[Apertura: problema y objetivo ]],PESOS!A$16:B$20,2,0)</f>
        <v>20</v>
      </c>
      <c r="T432" s="1"/>
      <c r="U432" s="1" t="s">
        <v>44</v>
      </c>
      <c r="V432" s="22">
        <f>VLOOKUP(TablaCalificaciones[[#This Row],[Metodología (nivel adecuado)]],PESOS!A$16:B$20,2,0)</f>
        <v>20</v>
      </c>
      <c r="W432" s="1"/>
      <c r="X432" s="1" t="s">
        <v>44</v>
      </c>
      <c r="Y432" s="22">
        <f>VLOOKUP(TablaCalificaciones[[#This Row],[Resultados y evidencia ]],PESOS!A$16:B$20,2,0)</f>
        <v>20</v>
      </c>
      <c r="Z432" s="1"/>
      <c r="AA432" s="1" t="s">
        <v>45</v>
      </c>
      <c r="AB432" s="22">
        <f>VLOOKUP(TablaCalificaciones[[#This Row],[Coherencia y manejo del tiempo]],PESOS!A$25:B$29,2,0)</f>
        <v>10</v>
      </c>
      <c r="AC432" s="1"/>
      <c r="AD432" s="1" t="s">
        <v>45</v>
      </c>
      <c r="AE432" s="22">
        <f>VLOOKUP(TablaCalificaciones[[#This Row],[Diapositivas como apoyo]],PESOS!A$25:B$29,2,0)</f>
        <v>10</v>
      </c>
      <c r="AF432" s="1"/>
      <c r="AG432" s="1" t="s">
        <v>45</v>
      </c>
      <c r="AH432" s="22">
        <f>VLOOKUP(TablaCalificaciones[[#This Row],[Respuestas a preguntas]],PESOS!A$25:B$29,2,0)</f>
        <v>10</v>
      </c>
      <c r="AI432" s="1"/>
      <c r="AJ432" s="1" t="s">
        <v>45</v>
      </c>
      <c r="AK432" s="22">
        <f>VLOOKUP(TablaCalificaciones[[#This Row],[Cierre: aporte a próximos pasos]],PESOS!A$25:B$29,2,0)</f>
        <v>10</v>
      </c>
      <c r="AL432" s="1"/>
      <c r="AM432" s="1"/>
    </row>
    <row r="433" spans="1:39">
      <c r="A433">
        <v>436</v>
      </c>
      <c r="B433" s="2">
        <v>46136.356759259303</v>
      </c>
      <c r="C433" s="2">
        <v>46136.371851851902</v>
      </c>
      <c r="D433" s="1" t="s">
        <v>59</v>
      </c>
      <c r="E433" s="1" t="s">
        <v>60</v>
      </c>
      <c r="G433" s="1"/>
      <c r="H433" s="2"/>
      <c r="I433" s="1" t="s">
        <v>134</v>
      </c>
      <c r="K433" s="1"/>
      <c r="L433" s="1" t="s">
        <v>60</v>
      </c>
      <c r="M433" s="26" t="str">
        <f>CONCATENATE(TablaCalificaciones[[#This Row],[Seleccione su nombre (Evaluador)]],TablaCalificaciones[[#This Row],[Seleccione el nombre del Estudiante]])</f>
        <v>Santiago Leonardo SolórzanoPelassa Zambrano Pietro Salvatore</v>
      </c>
      <c r="N433" s="1"/>
      <c r="O433" s="1" t="s">
        <v>297</v>
      </c>
      <c r="Q433" s="1"/>
      <c r="R433" s="1" t="s">
        <v>44</v>
      </c>
      <c r="S433" s="22">
        <f>VLOOKUP(TablaCalificaciones[[#This Row],[Apertura: problema y objetivo ]],PESOS!A$16:B$20,2,0)</f>
        <v>20</v>
      </c>
      <c r="T433" s="1"/>
      <c r="U433" s="1" t="s">
        <v>44</v>
      </c>
      <c r="V433" s="22">
        <f>VLOOKUP(TablaCalificaciones[[#This Row],[Metodología (nivel adecuado)]],PESOS!A$16:B$20,2,0)</f>
        <v>20</v>
      </c>
      <c r="W433" s="1"/>
      <c r="X433" s="1" t="s">
        <v>50</v>
      </c>
      <c r="Y433" s="22">
        <f>VLOOKUP(TablaCalificaciones[[#This Row],[Resultados y evidencia ]],PESOS!A$16:B$20,2,0)</f>
        <v>16</v>
      </c>
      <c r="Z433" s="1"/>
      <c r="AA433" s="1" t="s">
        <v>51</v>
      </c>
      <c r="AB433" s="22">
        <f>VLOOKUP(TablaCalificaciones[[#This Row],[Coherencia y manejo del tiempo]],PESOS!A$25:B$29,2,0)</f>
        <v>8</v>
      </c>
      <c r="AC433" s="1"/>
      <c r="AD433" s="1" t="s">
        <v>45</v>
      </c>
      <c r="AE433" s="22">
        <f>VLOOKUP(TablaCalificaciones[[#This Row],[Diapositivas como apoyo]],PESOS!A$25:B$29,2,0)</f>
        <v>10</v>
      </c>
      <c r="AF433" s="1"/>
      <c r="AG433" s="1" t="s">
        <v>45</v>
      </c>
      <c r="AH433" s="22">
        <f>VLOOKUP(TablaCalificaciones[[#This Row],[Respuestas a preguntas]],PESOS!A$25:B$29,2,0)</f>
        <v>10</v>
      </c>
      <c r="AI433" s="1"/>
      <c r="AJ433" s="1" t="s">
        <v>45</v>
      </c>
      <c r="AK433" s="22">
        <f>VLOOKUP(TablaCalificaciones[[#This Row],[Cierre: aporte a próximos pasos]],PESOS!A$25:B$29,2,0)</f>
        <v>10</v>
      </c>
      <c r="AL433" s="1"/>
      <c r="AM433" s="1"/>
    </row>
    <row r="434" spans="1:39">
      <c r="A434">
        <v>437</v>
      </c>
      <c r="B434" s="2">
        <v>46136.357291666704</v>
      </c>
      <c r="C434" s="2">
        <v>46136.371932870403</v>
      </c>
      <c r="D434" s="1" t="s">
        <v>59</v>
      </c>
      <c r="E434" s="1" t="s">
        <v>60</v>
      </c>
      <c r="G434" s="1"/>
      <c r="H434" s="2"/>
      <c r="I434" s="1" t="s">
        <v>134</v>
      </c>
      <c r="K434" s="1"/>
      <c r="L434" s="1" t="s">
        <v>60</v>
      </c>
      <c r="M434" s="26" t="str">
        <f>CONCATENATE(TablaCalificaciones[[#This Row],[Seleccione su nombre (Evaluador)]],TablaCalificaciones[[#This Row],[Seleccione el nombre del Estudiante]])</f>
        <v>Santiago Leonardo SolórzanoVera Zamora Victor Vicente</v>
      </c>
      <c r="N434" s="1"/>
      <c r="O434" s="1" t="s">
        <v>298</v>
      </c>
      <c r="Q434" s="1"/>
      <c r="R434" s="1" t="s">
        <v>44</v>
      </c>
      <c r="S434" s="22">
        <f>VLOOKUP(TablaCalificaciones[[#This Row],[Apertura: problema y objetivo ]],PESOS!A$16:B$20,2,0)</f>
        <v>20</v>
      </c>
      <c r="T434" s="1"/>
      <c r="U434" s="1" t="s">
        <v>44</v>
      </c>
      <c r="V434" s="22">
        <f>VLOOKUP(TablaCalificaciones[[#This Row],[Metodología (nivel adecuado)]],PESOS!A$16:B$20,2,0)</f>
        <v>20</v>
      </c>
      <c r="W434" s="1"/>
      <c r="X434" s="1" t="s">
        <v>50</v>
      </c>
      <c r="Y434" s="22">
        <f>VLOOKUP(TablaCalificaciones[[#This Row],[Resultados y evidencia ]],PESOS!A$16:B$20,2,0)</f>
        <v>16</v>
      </c>
      <c r="Z434" s="1"/>
      <c r="AA434" s="1" t="s">
        <v>51</v>
      </c>
      <c r="AB434" s="22">
        <f>VLOOKUP(TablaCalificaciones[[#This Row],[Coherencia y manejo del tiempo]],PESOS!A$25:B$29,2,0)</f>
        <v>8</v>
      </c>
      <c r="AC434" s="1"/>
      <c r="AD434" s="1" t="s">
        <v>45</v>
      </c>
      <c r="AE434" s="22">
        <f>VLOOKUP(TablaCalificaciones[[#This Row],[Diapositivas como apoyo]],PESOS!A$25:B$29,2,0)</f>
        <v>10</v>
      </c>
      <c r="AF434" s="1"/>
      <c r="AG434" s="1" t="s">
        <v>45</v>
      </c>
      <c r="AH434" s="22">
        <f>VLOOKUP(TablaCalificaciones[[#This Row],[Respuestas a preguntas]],PESOS!A$25:B$29,2,0)</f>
        <v>10</v>
      </c>
      <c r="AI434" s="1"/>
      <c r="AJ434" s="1" t="s">
        <v>45</v>
      </c>
      <c r="AK434" s="22">
        <f>VLOOKUP(TablaCalificaciones[[#This Row],[Cierre: aporte a próximos pasos]],PESOS!A$25:B$29,2,0)</f>
        <v>10</v>
      </c>
      <c r="AL434" s="1"/>
      <c r="AM434" s="1"/>
    </row>
    <row r="435" spans="1:39">
      <c r="A435">
        <v>438</v>
      </c>
      <c r="B435" s="2">
        <v>46136.352303240703</v>
      </c>
      <c r="C435" s="2">
        <v>46136.372731481497</v>
      </c>
      <c r="D435" s="1" t="s">
        <v>54</v>
      </c>
      <c r="E435" s="1" t="s">
        <v>55</v>
      </c>
      <c r="G435" s="1"/>
      <c r="H435" s="2"/>
      <c r="I435" s="1" t="s">
        <v>134</v>
      </c>
      <c r="K435" s="1"/>
      <c r="L435" s="1" t="s">
        <v>56</v>
      </c>
      <c r="M435" s="26" t="str">
        <f>CONCATENATE(TablaCalificaciones[[#This Row],[Seleccione su nombre (Evaluador)]],TablaCalificaciones[[#This Row],[Seleccione el nombre del Estudiante]])</f>
        <v>Marco Antonio Galarza CastilloÁvila Jumbo Mateo Danilo</v>
      </c>
      <c r="N435" s="1"/>
      <c r="O435" s="1" t="s">
        <v>293</v>
      </c>
      <c r="Q435" s="1"/>
      <c r="R435" s="1" t="s">
        <v>44</v>
      </c>
      <c r="S435" s="22">
        <f>VLOOKUP(TablaCalificaciones[[#This Row],[Apertura: problema y objetivo ]],PESOS!A$16:B$20,2,0)</f>
        <v>20</v>
      </c>
      <c r="T435" s="1"/>
      <c r="U435" s="1" t="s">
        <v>44</v>
      </c>
      <c r="V435" s="22">
        <f>VLOOKUP(TablaCalificaciones[[#This Row],[Metodología (nivel adecuado)]],PESOS!A$16:B$20,2,0)</f>
        <v>20</v>
      </c>
      <c r="W435" s="1"/>
      <c r="X435" s="1" t="s">
        <v>44</v>
      </c>
      <c r="Y435" s="22">
        <f>VLOOKUP(TablaCalificaciones[[#This Row],[Resultados y evidencia ]],PESOS!A$16:B$20,2,0)</f>
        <v>20</v>
      </c>
      <c r="Z435" s="1"/>
      <c r="AA435" s="1" t="s">
        <v>45</v>
      </c>
      <c r="AB435" s="22">
        <f>VLOOKUP(TablaCalificaciones[[#This Row],[Coherencia y manejo del tiempo]],PESOS!A$25:B$29,2,0)</f>
        <v>10</v>
      </c>
      <c r="AC435" s="1"/>
      <c r="AD435" s="1" t="s">
        <v>45</v>
      </c>
      <c r="AE435" s="22">
        <f>VLOOKUP(TablaCalificaciones[[#This Row],[Diapositivas como apoyo]],PESOS!A$25:B$29,2,0)</f>
        <v>10</v>
      </c>
      <c r="AF435" s="1"/>
      <c r="AG435" s="1" t="s">
        <v>45</v>
      </c>
      <c r="AH435" s="22">
        <f>VLOOKUP(TablaCalificaciones[[#This Row],[Respuestas a preguntas]],PESOS!A$25:B$29,2,0)</f>
        <v>10</v>
      </c>
      <c r="AI435" s="1"/>
      <c r="AJ435" s="1" t="s">
        <v>45</v>
      </c>
      <c r="AK435" s="22">
        <f>VLOOKUP(TablaCalificaciones[[#This Row],[Cierre: aporte a próximos pasos]],PESOS!A$25:B$29,2,0)</f>
        <v>10</v>
      </c>
      <c r="AL435" s="1"/>
      <c r="AM435" s="1"/>
    </row>
    <row r="436" spans="1:39">
      <c r="A436">
        <v>439</v>
      </c>
      <c r="B436" s="2">
        <v>46136.372743055603</v>
      </c>
      <c r="C436" s="2">
        <v>46136.373229166697</v>
      </c>
      <c r="D436" s="1" t="s">
        <v>54</v>
      </c>
      <c r="E436" s="1" t="s">
        <v>55</v>
      </c>
      <c r="G436" s="1"/>
      <c r="H436" s="2"/>
      <c r="I436" s="1" t="s">
        <v>134</v>
      </c>
      <c r="K436" s="1"/>
      <c r="L436" s="1" t="s">
        <v>56</v>
      </c>
      <c r="M436" s="26" t="str">
        <f>CONCATENATE(TablaCalificaciones[[#This Row],[Seleccione su nombre (Evaluador)]],TablaCalificaciones[[#This Row],[Seleccione el nombre del Estudiante]])</f>
        <v>Marco Antonio Galarza CastilloValverde González Alberto Sebastián</v>
      </c>
      <c r="N436" s="1"/>
      <c r="O436" s="1" t="s">
        <v>294</v>
      </c>
      <c r="Q436" s="1"/>
      <c r="R436" s="1" t="s">
        <v>44</v>
      </c>
      <c r="S436" s="22">
        <f>VLOOKUP(TablaCalificaciones[[#This Row],[Apertura: problema y objetivo ]],PESOS!A$16:B$20,2,0)</f>
        <v>20</v>
      </c>
      <c r="T436" s="1"/>
      <c r="U436" s="1" t="s">
        <v>44</v>
      </c>
      <c r="V436" s="22">
        <f>VLOOKUP(TablaCalificaciones[[#This Row],[Metodología (nivel adecuado)]],PESOS!A$16:B$20,2,0)</f>
        <v>20</v>
      </c>
      <c r="W436" s="1"/>
      <c r="X436" s="1" t="s">
        <v>44</v>
      </c>
      <c r="Y436" s="22">
        <f>VLOOKUP(TablaCalificaciones[[#This Row],[Resultados y evidencia ]],PESOS!A$16:B$20,2,0)</f>
        <v>20</v>
      </c>
      <c r="Z436" s="1"/>
      <c r="AA436" s="1" t="s">
        <v>45</v>
      </c>
      <c r="AB436" s="22">
        <f>VLOOKUP(TablaCalificaciones[[#This Row],[Coherencia y manejo del tiempo]],PESOS!A$25:B$29,2,0)</f>
        <v>10</v>
      </c>
      <c r="AC436" s="1"/>
      <c r="AD436" s="1" t="s">
        <v>45</v>
      </c>
      <c r="AE436" s="22">
        <f>VLOOKUP(TablaCalificaciones[[#This Row],[Diapositivas como apoyo]],PESOS!A$25:B$29,2,0)</f>
        <v>10</v>
      </c>
      <c r="AF436" s="1"/>
      <c r="AG436" s="1" t="s">
        <v>51</v>
      </c>
      <c r="AH436" s="22">
        <f>VLOOKUP(TablaCalificaciones[[#This Row],[Respuestas a preguntas]],PESOS!A$25:B$29,2,0)</f>
        <v>8</v>
      </c>
      <c r="AI436" s="1"/>
      <c r="AJ436" s="1" t="s">
        <v>45</v>
      </c>
      <c r="AK436" s="22">
        <f>VLOOKUP(TablaCalificaciones[[#This Row],[Cierre: aporte a próximos pasos]],PESOS!A$25:B$29,2,0)</f>
        <v>10</v>
      </c>
      <c r="AL436" s="1"/>
      <c r="AM436" s="1"/>
    </row>
    <row r="437" spans="1:39">
      <c r="A437">
        <v>440</v>
      </c>
      <c r="B437" s="2">
        <v>46136.373263888898</v>
      </c>
      <c r="C437" s="2">
        <v>46136.3741898148</v>
      </c>
      <c r="D437" s="1" t="s">
        <v>54</v>
      </c>
      <c r="E437" s="1" t="s">
        <v>55</v>
      </c>
      <c r="G437" s="1"/>
      <c r="H437" s="2"/>
      <c r="I437" s="1" t="s">
        <v>134</v>
      </c>
      <c r="K437" s="1"/>
      <c r="L437" s="1" t="s">
        <v>56</v>
      </c>
      <c r="M437" s="26" t="str">
        <f>CONCATENATE(TablaCalificaciones[[#This Row],[Seleccione su nombre (Evaluador)]],TablaCalificaciones[[#This Row],[Seleccione el nombre del Estudiante]])</f>
        <v>Marco Antonio Galarza CastilloVinueza Rodríguez Jadira Estefanía</v>
      </c>
      <c r="N437" s="1"/>
      <c r="O437" s="1" t="s">
        <v>295</v>
      </c>
      <c r="Q437" s="1"/>
      <c r="R437" s="1" t="s">
        <v>44</v>
      </c>
      <c r="S437" s="22">
        <f>VLOOKUP(TablaCalificaciones[[#This Row],[Apertura: problema y objetivo ]],PESOS!A$16:B$20,2,0)</f>
        <v>20</v>
      </c>
      <c r="T437" s="1"/>
      <c r="U437" s="1" t="s">
        <v>44</v>
      </c>
      <c r="V437" s="22">
        <f>VLOOKUP(TablaCalificaciones[[#This Row],[Metodología (nivel adecuado)]],PESOS!A$16:B$20,2,0)</f>
        <v>20</v>
      </c>
      <c r="W437" s="1"/>
      <c r="X437" s="1" t="s">
        <v>44</v>
      </c>
      <c r="Y437" s="22">
        <f>VLOOKUP(TablaCalificaciones[[#This Row],[Resultados y evidencia ]],PESOS!A$16:B$20,2,0)</f>
        <v>20</v>
      </c>
      <c r="Z437" s="1"/>
      <c r="AA437" s="1" t="s">
        <v>45</v>
      </c>
      <c r="AB437" s="22">
        <f>VLOOKUP(TablaCalificaciones[[#This Row],[Coherencia y manejo del tiempo]],PESOS!A$25:B$29,2,0)</f>
        <v>10</v>
      </c>
      <c r="AC437" s="1"/>
      <c r="AD437" s="1" t="s">
        <v>45</v>
      </c>
      <c r="AE437" s="22">
        <f>VLOOKUP(TablaCalificaciones[[#This Row],[Diapositivas como apoyo]],PESOS!A$25:B$29,2,0)</f>
        <v>10</v>
      </c>
      <c r="AF437" s="1"/>
      <c r="AG437" s="1" t="s">
        <v>51</v>
      </c>
      <c r="AH437" s="22">
        <f>VLOOKUP(TablaCalificaciones[[#This Row],[Respuestas a preguntas]],PESOS!A$25:B$29,2,0)</f>
        <v>8</v>
      </c>
      <c r="AI437" s="1"/>
      <c r="AJ437" s="1" t="s">
        <v>45</v>
      </c>
      <c r="AK437" s="22">
        <f>VLOOKUP(TablaCalificaciones[[#This Row],[Cierre: aporte a próximos pasos]],PESOS!A$25:B$29,2,0)</f>
        <v>10</v>
      </c>
      <c r="AL437" s="1"/>
      <c r="AM437" s="1"/>
    </row>
    <row r="438" spans="1:39">
      <c r="A438">
        <v>441</v>
      </c>
      <c r="B438" s="2">
        <v>46136.375752314802</v>
      </c>
      <c r="C438" s="2">
        <v>46136.390868055598</v>
      </c>
      <c r="D438" s="1" t="s">
        <v>59</v>
      </c>
      <c r="E438" s="1" t="s">
        <v>60</v>
      </c>
      <c r="G438" s="1"/>
      <c r="H438" s="2"/>
      <c r="I438" s="1" t="s">
        <v>134</v>
      </c>
      <c r="K438" s="1"/>
      <c r="L438" s="1" t="s">
        <v>60</v>
      </c>
      <c r="M438" s="26" t="str">
        <f>CONCATENATE(TablaCalificaciones[[#This Row],[Seleccione su nombre (Evaluador)]],TablaCalificaciones[[#This Row],[Seleccione el nombre del Estudiante]])</f>
        <v>Santiago Leonardo SolórzanoHernández Itas Dania Elizabeth</v>
      </c>
      <c r="N438" s="1"/>
      <c r="O438" s="1" t="s">
        <v>299</v>
      </c>
      <c r="Q438" s="1"/>
      <c r="R438" s="1" t="s">
        <v>44</v>
      </c>
      <c r="S438" s="22">
        <f>VLOOKUP(TablaCalificaciones[[#This Row],[Apertura: problema y objetivo ]],PESOS!A$16:B$20,2,0)</f>
        <v>20</v>
      </c>
      <c r="T438" s="1"/>
      <c r="U438" s="1" t="s">
        <v>44</v>
      </c>
      <c r="V438" s="22">
        <f>VLOOKUP(TablaCalificaciones[[#This Row],[Metodología (nivel adecuado)]],PESOS!A$16:B$20,2,0)</f>
        <v>20</v>
      </c>
      <c r="W438" s="1"/>
      <c r="X438" s="1" t="s">
        <v>44</v>
      </c>
      <c r="Y438" s="22">
        <f>VLOOKUP(TablaCalificaciones[[#This Row],[Resultados y evidencia ]],PESOS!A$16:B$20,2,0)</f>
        <v>20</v>
      </c>
      <c r="Z438" s="1"/>
      <c r="AA438" s="1" t="s">
        <v>45</v>
      </c>
      <c r="AB438" s="22">
        <f>VLOOKUP(TablaCalificaciones[[#This Row],[Coherencia y manejo del tiempo]],PESOS!A$25:B$29,2,0)</f>
        <v>10</v>
      </c>
      <c r="AC438" s="1"/>
      <c r="AD438" s="1" t="s">
        <v>45</v>
      </c>
      <c r="AE438" s="22">
        <f>VLOOKUP(TablaCalificaciones[[#This Row],[Diapositivas como apoyo]],PESOS!A$25:B$29,2,0)</f>
        <v>10</v>
      </c>
      <c r="AF438" s="1"/>
      <c r="AG438" s="1" t="s">
        <v>51</v>
      </c>
      <c r="AH438" s="22">
        <f>VLOOKUP(TablaCalificaciones[[#This Row],[Respuestas a preguntas]],PESOS!A$25:B$29,2,0)</f>
        <v>8</v>
      </c>
      <c r="AI438" s="1"/>
      <c r="AJ438" s="1" t="s">
        <v>45</v>
      </c>
      <c r="AK438" s="22">
        <f>VLOOKUP(TablaCalificaciones[[#This Row],[Cierre: aporte a próximos pasos]],PESOS!A$25:B$29,2,0)</f>
        <v>10</v>
      </c>
      <c r="AL438" s="1"/>
      <c r="AM438" s="1"/>
    </row>
    <row r="439" spans="1:39">
      <c r="A439">
        <v>442</v>
      </c>
      <c r="B439" s="2">
        <v>46136.375775462999</v>
      </c>
      <c r="C439" s="2">
        <v>46136.391157407401</v>
      </c>
      <c r="D439" s="1" t="s">
        <v>59</v>
      </c>
      <c r="E439" s="1" t="s">
        <v>60</v>
      </c>
      <c r="G439" s="1"/>
      <c r="H439" s="2"/>
      <c r="I439" s="1" t="s">
        <v>134</v>
      </c>
      <c r="K439" s="1"/>
      <c r="L439" s="1" t="s">
        <v>60</v>
      </c>
      <c r="M439" s="26" t="str">
        <f>CONCATENATE(TablaCalificaciones[[#This Row],[Seleccione su nombre (Evaluador)]],TablaCalificaciones[[#This Row],[Seleccione el nombre del Estudiante]])</f>
        <v>Santiago Leonardo SolórzanoBarragán Tingo Shirley Mayté</v>
      </c>
      <c r="N439" s="1"/>
      <c r="O439" s="1" t="s">
        <v>300</v>
      </c>
      <c r="Q439" s="1"/>
      <c r="R439" s="1" t="s">
        <v>44</v>
      </c>
      <c r="S439" s="22">
        <f>VLOOKUP(TablaCalificaciones[[#This Row],[Apertura: problema y objetivo ]],PESOS!A$16:B$20,2,0)</f>
        <v>20</v>
      </c>
      <c r="T439" s="1"/>
      <c r="U439" s="1" t="s">
        <v>44</v>
      </c>
      <c r="V439" s="22">
        <f>VLOOKUP(TablaCalificaciones[[#This Row],[Metodología (nivel adecuado)]],PESOS!A$16:B$20,2,0)</f>
        <v>20</v>
      </c>
      <c r="W439" s="1"/>
      <c r="X439" s="1" t="s">
        <v>44</v>
      </c>
      <c r="Y439" s="22">
        <f>VLOOKUP(TablaCalificaciones[[#This Row],[Resultados y evidencia ]],PESOS!A$16:B$20,2,0)</f>
        <v>20</v>
      </c>
      <c r="Z439" s="1"/>
      <c r="AA439" s="1" t="s">
        <v>45</v>
      </c>
      <c r="AB439" s="22">
        <f>VLOOKUP(TablaCalificaciones[[#This Row],[Coherencia y manejo del tiempo]],PESOS!A$25:B$29,2,0)</f>
        <v>10</v>
      </c>
      <c r="AC439" s="1"/>
      <c r="AD439" s="1" t="s">
        <v>45</v>
      </c>
      <c r="AE439" s="22">
        <f>VLOOKUP(TablaCalificaciones[[#This Row],[Diapositivas como apoyo]],PESOS!A$25:B$29,2,0)</f>
        <v>10</v>
      </c>
      <c r="AF439" s="1"/>
      <c r="AG439" s="1" t="s">
        <v>51</v>
      </c>
      <c r="AH439" s="22">
        <f>VLOOKUP(TablaCalificaciones[[#This Row],[Respuestas a preguntas]],PESOS!A$25:B$29,2,0)</f>
        <v>8</v>
      </c>
      <c r="AI439" s="1"/>
      <c r="AJ439" s="1" t="s">
        <v>45</v>
      </c>
      <c r="AK439" s="22">
        <f>VLOOKUP(TablaCalificaciones[[#This Row],[Cierre: aporte a próximos pasos]],PESOS!A$25:B$29,2,0)</f>
        <v>10</v>
      </c>
      <c r="AL439" s="1"/>
      <c r="AM439" s="1"/>
    </row>
    <row r="440" spans="1:39">
      <c r="A440">
        <v>443</v>
      </c>
      <c r="B440" s="2">
        <v>46136.375798611101</v>
      </c>
      <c r="C440" s="2">
        <v>46136.391446759299</v>
      </c>
      <c r="D440" s="1" t="s">
        <v>59</v>
      </c>
      <c r="E440" s="1" t="s">
        <v>60</v>
      </c>
      <c r="G440" s="1"/>
      <c r="H440" s="2"/>
      <c r="I440" s="1" t="s">
        <v>134</v>
      </c>
      <c r="K440" s="1"/>
      <c r="L440" s="1" t="s">
        <v>60</v>
      </c>
      <c r="M440" s="26" t="str">
        <f>CONCATENATE(TablaCalificaciones[[#This Row],[Seleccione su nombre (Evaluador)]],TablaCalificaciones[[#This Row],[Seleccione el nombre del Estudiante]])</f>
        <v>Santiago Leonardo SolórzanoSalazar Oviedo Mayra Josseth</v>
      </c>
      <c r="N440" s="1"/>
      <c r="O440" s="1" t="s">
        <v>301</v>
      </c>
      <c r="Q440" s="1"/>
      <c r="R440" s="1" t="s">
        <v>44</v>
      </c>
      <c r="S440" s="22">
        <f>VLOOKUP(TablaCalificaciones[[#This Row],[Apertura: problema y objetivo ]],PESOS!A$16:B$20,2,0)</f>
        <v>20</v>
      </c>
      <c r="T440" s="1"/>
      <c r="U440" s="1" t="s">
        <v>44</v>
      </c>
      <c r="V440" s="22">
        <f>VLOOKUP(TablaCalificaciones[[#This Row],[Metodología (nivel adecuado)]],PESOS!A$16:B$20,2,0)</f>
        <v>20</v>
      </c>
      <c r="W440" s="1"/>
      <c r="X440" s="1" t="s">
        <v>44</v>
      </c>
      <c r="Y440" s="22">
        <f>VLOOKUP(TablaCalificaciones[[#This Row],[Resultados y evidencia ]],PESOS!A$16:B$20,2,0)</f>
        <v>20</v>
      </c>
      <c r="Z440" s="1"/>
      <c r="AA440" s="1" t="s">
        <v>45</v>
      </c>
      <c r="AB440" s="22">
        <f>VLOOKUP(TablaCalificaciones[[#This Row],[Coherencia y manejo del tiempo]],PESOS!A$25:B$29,2,0)</f>
        <v>10</v>
      </c>
      <c r="AC440" s="1"/>
      <c r="AD440" s="1" t="s">
        <v>45</v>
      </c>
      <c r="AE440" s="22">
        <f>VLOOKUP(TablaCalificaciones[[#This Row],[Diapositivas como apoyo]],PESOS!A$25:B$29,2,0)</f>
        <v>10</v>
      </c>
      <c r="AF440" s="1"/>
      <c r="AG440" s="1" t="s">
        <v>51</v>
      </c>
      <c r="AH440" s="22">
        <f>VLOOKUP(TablaCalificaciones[[#This Row],[Respuestas a preguntas]],PESOS!A$25:B$29,2,0)</f>
        <v>8</v>
      </c>
      <c r="AI440" s="1"/>
      <c r="AJ440" s="1" t="s">
        <v>45</v>
      </c>
      <c r="AK440" s="22">
        <f>VLOOKUP(TablaCalificaciones[[#This Row],[Cierre: aporte a próximos pasos]],PESOS!A$25:B$29,2,0)</f>
        <v>10</v>
      </c>
      <c r="AL440" s="1"/>
      <c r="AM440" s="1"/>
    </row>
    <row r="441" spans="1:39">
      <c r="A441">
        <v>444</v>
      </c>
      <c r="B441" s="2">
        <v>46136.374224537001</v>
      </c>
      <c r="C441" s="2">
        <v>46136.392233796301</v>
      </c>
      <c r="D441" s="1" t="s">
        <v>54</v>
      </c>
      <c r="E441" s="1" t="s">
        <v>55</v>
      </c>
      <c r="G441" s="1"/>
      <c r="H441" s="2"/>
      <c r="I441" s="1" t="s">
        <v>134</v>
      </c>
      <c r="K441" s="1"/>
      <c r="L441" s="1" t="s">
        <v>56</v>
      </c>
      <c r="M441" s="26" t="str">
        <f>CONCATENATE(TablaCalificaciones[[#This Row],[Seleccione su nombre (Evaluador)]],TablaCalificaciones[[#This Row],[Seleccione el nombre del Estudiante]])</f>
        <v>Marco Antonio Galarza CastilloBarragán Tingo Shirley Mayté</v>
      </c>
      <c r="N441" s="1"/>
      <c r="O441" s="1" t="s">
        <v>300</v>
      </c>
      <c r="Q441" s="1"/>
      <c r="R441" s="1" t="s">
        <v>44</v>
      </c>
      <c r="S441" s="22">
        <f>VLOOKUP(TablaCalificaciones[[#This Row],[Apertura: problema y objetivo ]],PESOS!A$16:B$20,2,0)</f>
        <v>20</v>
      </c>
      <c r="T441" s="1"/>
      <c r="U441" s="1" t="s">
        <v>44</v>
      </c>
      <c r="V441" s="22">
        <f>VLOOKUP(TablaCalificaciones[[#This Row],[Metodología (nivel adecuado)]],PESOS!A$16:B$20,2,0)</f>
        <v>20</v>
      </c>
      <c r="W441" s="1"/>
      <c r="X441" s="1" t="s">
        <v>44</v>
      </c>
      <c r="Y441" s="22">
        <f>VLOOKUP(TablaCalificaciones[[#This Row],[Resultados y evidencia ]],PESOS!A$16:B$20,2,0)</f>
        <v>20</v>
      </c>
      <c r="Z441" s="1"/>
      <c r="AA441" s="1" t="s">
        <v>45</v>
      </c>
      <c r="AB441" s="22">
        <f>VLOOKUP(TablaCalificaciones[[#This Row],[Coherencia y manejo del tiempo]],PESOS!A$25:B$29,2,0)</f>
        <v>10</v>
      </c>
      <c r="AC441" s="1"/>
      <c r="AD441" s="1" t="s">
        <v>45</v>
      </c>
      <c r="AE441" s="22">
        <f>VLOOKUP(TablaCalificaciones[[#This Row],[Diapositivas como apoyo]],PESOS!A$25:B$29,2,0)</f>
        <v>10</v>
      </c>
      <c r="AF441" s="1"/>
      <c r="AG441" s="1" t="s">
        <v>45</v>
      </c>
      <c r="AH441" s="22">
        <f>VLOOKUP(TablaCalificaciones[[#This Row],[Respuestas a preguntas]],PESOS!A$25:B$29,2,0)</f>
        <v>10</v>
      </c>
      <c r="AI441" s="1"/>
      <c r="AJ441" s="1" t="s">
        <v>45</v>
      </c>
      <c r="AK441" s="22">
        <f>VLOOKUP(TablaCalificaciones[[#This Row],[Cierre: aporte a próximos pasos]],PESOS!A$25:B$29,2,0)</f>
        <v>10</v>
      </c>
      <c r="AL441" s="1"/>
      <c r="AM441" s="1"/>
    </row>
    <row r="442" spans="1:39">
      <c r="A442">
        <v>445</v>
      </c>
      <c r="B442" s="2">
        <v>46136.392256944397</v>
      </c>
      <c r="C442" s="2">
        <v>46136.392881944397</v>
      </c>
      <c r="D442" s="1" t="s">
        <v>54</v>
      </c>
      <c r="E442" s="1" t="s">
        <v>55</v>
      </c>
      <c r="G442" s="1"/>
      <c r="H442" s="2"/>
      <c r="I442" s="1" t="s">
        <v>134</v>
      </c>
      <c r="K442" s="1"/>
      <c r="L442" s="1" t="s">
        <v>56</v>
      </c>
      <c r="M442" s="26" t="str">
        <f>CONCATENATE(TablaCalificaciones[[#This Row],[Seleccione su nombre (Evaluador)]],TablaCalificaciones[[#This Row],[Seleccione el nombre del Estudiante]])</f>
        <v>Marco Antonio Galarza CastilloHernández Itas Dania Elizabeth</v>
      </c>
      <c r="N442" s="1"/>
      <c r="O442" s="1" t="s">
        <v>299</v>
      </c>
      <c r="Q442" s="1"/>
      <c r="R442" s="1" t="s">
        <v>44</v>
      </c>
      <c r="S442" s="22">
        <f>VLOOKUP(TablaCalificaciones[[#This Row],[Apertura: problema y objetivo ]],PESOS!A$16:B$20,2,0)</f>
        <v>20</v>
      </c>
      <c r="T442" s="1"/>
      <c r="U442" s="1" t="s">
        <v>44</v>
      </c>
      <c r="V442" s="22">
        <f>VLOOKUP(TablaCalificaciones[[#This Row],[Metodología (nivel adecuado)]],PESOS!A$16:B$20,2,0)</f>
        <v>20</v>
      </c>
      <c r="W442" s="1"/>
      <c r="X442" s="1" t="s">
        <v>44</v>
      </c>
      <c r="Y442" s="22">
        <f>VLOOKUP(TablaCalificaciones[[#This Row],[Resultados y evidencia ]],PESOS!A$16:B$20,2,0)</f>
        <v>20</v>
      </c>
      <c r="Z442" s="1"/>
      <c r="AA442" s="1" t="s">
        <v>45</v>
      </c>
      <c r="AB442" s="22">
        <f>VLOOKUP(TablaCalificaciones[[#This Row],[Coherencia y manejo del tiempo]],PESOS!A$25:B$29,2,0)</f>
        <v>10</v>
      </c>
      <c r="AC442" s="1"/>
      <c r="AD442" s="1" t="s">
        <v>45</v>
      </c>
      <c r="AE442" s="22">
        <f>VLOOKUP(TablaCalificaciones[[#This Row],[Diapositivas como apoyo]],PESOS!A$25:B$29,2,0)</f>
        <v>10</v>
      </c>
      <c r="AF442" s="1"/>
      <c r="AG442" s="1" t="s">
        <v>45</v>
      </c>
      <c r="AH442" s="22">
        <f>VLOOKUP(TablaCalificaciones[[#This Row],[Respuestas a preguntas]],PESOS!A$25:B$29,2,0)</f>
        <v>10</v>
      </c>
      <c r="AI442" s="1"/>
      <c r="AJ442" s="1" t="s">
        <v>45</v>
      </c>
      <c r="AK442" s="22">
        <f>VLOOKUP(TablaCalificaciones[[#This Row],[Cierre: aporte a próximos pasos]],PESOS!A$25:B$29,2,0)</f>
        <v>10</v>
      </c>
      <c r="AL442" s="1"/>
      <c r="AM442" s="1"/>
    </row>
    <row r="443" spans="1:39">
      <c r="A443">
        <v>446</v>
      </c>
      <c r="B443" s="2">
        <v>46136.3917476852</v>
      </c>
      <c r="C443" s="2">
        <v>46136.393043981501</v>
      </c>
      <c r="D443" s="1" t="s">
        <v>97</v>
      </c>
      <c r="E443" s="1" t="s">
        <v>98</v>
      </c>
      <c r="G443" s="1"/>
      <c r="H443" s="2"/>
      <c r="I443" s="1" t="s">
        <v>134</v>
      </c>
      <c r="K443" s="1"/>
      <c r="L443" s="1" t="s">
        <v>99</v>
      </c>
      <c r="M443" s="26" t="str">
        <f>CONCATENATE(TablaCalificaciones[[#This Row],[Seleccione su nombre (Evaluador)]],TablaCalificaciones[[#This Row],[Seleccione el nombre del Estudiante]])</f>
        <v>Víctor Javier Gómez RegaladoCarrillo Barros Juan Carlos</v>
      </c>
      <c r="N443" s="1"/>
      <c r="O443" s="1" t="s">
        <v>291</v>
      </c>
      <c r="Q443" s="1"/>
      <c r="R443" s="1" t="s">
        <v>50</v>
      </c>
      <c r="S443" s="22">
        <f>VLOOKUP(TablaCalificaciones[[#This Row],[Apertura: problema y objetivo ]],PESOS!A$16:B$20,2,0)</f>
        <v>16</v>
      </c>
      <c r="T443" s="1"/>
      <c r="U443" s="1" t="s">
        <v>50</v>
      </c>
      <c r="V443" s="22">
        <f>VLOOKUP(TablaCalificaciones[[#This Row],[Metodología (nivel adecuado)]],PESOS!A$16:B$20,2,0)</f>
        <v>16</v>
      </c>
      <c r="W443" s="1"/>
      <c r="X443" s="1" t="s">
        <v>50</v>
      </c>
      <c r="Y443" s="22">
        <f>VLOOKUP(TablaCalificaciones[[#This Row],[Resultados y evidencia ]],PESOS!A$16:B$20,2,0)</f>
        <v>16</v>
      </c>
      <c r="Z443" s="1"/>
      <c r="AA443" s="1" t="s">
        <v>51</v>
      </c>
      <c r="AB443" s="22">
        <f>VLOOKUP(TablaCalificaciones[[#This Row],[Coherencia y manejo del tiempo]],PESOS!A$25:B$29,2,0)</f>
        <v>8</v>
      </c>
      <c r="AC443" s="1"/>
      <c r="AD443" s="1" t="s">
        <v>51</v>
      </c>
      <c r="AE443" s="22">
        <f>VLOOKUP(TablaCalificaciones[[#This Row],[Diapositivas como apoyo]],PESOS!A$25:B$29,2,0)</f>
        <v>8</v>
      </c>
      <c r="AF443" s="1"/>
      <c r="AG443" s="1" t="s">
        <v>51</v>
      </c>
      <c r="AH443" s="22">
        <f>VLOOKUP(TablaCalificaciones[[#This Row],[Respuestas a preguntas]],PESOS!A$25:B$29,2,0)</f>
        <v>8</v>
      </c>
      <c r="AI443" s="1"/>
      <c r="AJ443" s="1" t="s">
        <v>51</v>
      </c>
      <c r="AK443" s="22">
        <f>VLOOKUP(TablaCalificaciones[[#This Row],[Cierre: aporte a próximos pasos]],PESOS!A$25:B$29,2,0)</f>
        <v>8</v>
      </c>
      <c r="AL443" s="1"/>
      <c r="AM443" s="1"/>
    </row>
    <row r="444" spans="1:39">
      <c r="A444">
        <v>447</v>
      </c>
      <c r="B444" s="2">
        <v>46136.392905092602</v>
      </c>
      <c r="C444" s="2">
        <v>46136.393194444398</v>
      </c>
      <c r="D444" s="1" t="s">
        <v>54</v>
      </c>
      <c r="E444" s="1" t="s">
        <v>55</v>
      </c>
      <c r="G444" s="1"/>
      <c r="H444" s="2"/>
      <c r="I444" s="1" t="s">
        <v>134</v>
      </c>
      <c r="K444" s="1"/>
      <c r="L444" s="1" t="s">
        <v>56</v>
      </c>
      <c r="M444" s="26" t="str">
        <f>CONCATENATE(TablaCalificaciones[[#This Row],[Seleccione su nombre (Evaluador)]],TablaCalificaciones[[#This Row],[Seleccione el nombre del Estudiante]])</f>
        <v>Marco Antonio Galarza CastilloSalazar Oviedo Mayra Josseth</v>
      </c>
      <c r="N444" s="1"/>
      <c r="O444" s="1" t="s">
        <v>301</v>
      </c>
      <c r="Q444" s="1"/>
      <c r="R444" s="1" t="s">
        <v>44</v>
      </c>
      <c r="S444" s="22">
        <f>VLOOKUP(TablaCalificaciones[[#This Row],[Apertura: problema y objetivo ]],PESOS!A$16:B$20,2,0)</f>
        <v>20</v>
      </c>
      <c r="T444" s="1"/>
      <c r="U444" s="1" t="s">
        <v>44</v>
      </c>
      <c r="V444" s="22">
        <f>VLOOKUP(TablaCalificaciones[[#This Row],[Metodología (nivel adecuado)]],PESOS!A$16:B$20,2,0)</f>
        <v>20</v>
      </c>
      <c r="W444" s="1"/>
      <c r="X444" s="1" t="s">
        <v>44</v>
      </c>
      <c r="Y444" s="22">
        <f>VLOOKUP(TablaCalificaciones[[#This Row],[Resultados y evidencia ]],PESOS!A$16:B$20,2,0)</f>
        <v>20</v>
      </c>
      <c r="Z444" s="1"/>
      <c r="AA444" s="1" t="s">
        <v>45</v>
      </c>
      <c r="AB444" s="22">
        <f>VLOOKUP(TablaCalificaciones[[#This Row],[Coherencia y manejo del tiempo]],PESOS!A$25:B$29,2,0)</f>
        <v>10</v>
      </c>
      <c r="AC444" s="1"/>
      <c r="AD444" s="1" t="s">
        <v>45</v>
      </c>
      <c r="AE444" s="22">
        <f>VLOOKUP(TablaCalificaciones[[#This Row],[Diapositivas como apoyo]],PESOS!A$25:B$29,2,0)</f>
        <v>10</v>
      </c>
      <c r="AF444" s="1"/>
      <c r="AG444" s="1" t="s">
        <v>45</v>
      </c>
      <c r="AH444" s="22">
        <f>VLOOKUP(TablaCalificaciones[[#This Row],[Respuestas a preguntas]],PESOS!A$25:B$29,2,0)</f>
        <v>10</v>
      </c>
      <c r="AI444" s="1"/>
      <c r="AJ444" s="1" t="s">
        <v>45</v>
      </c>
      <c r="AK444" s="22">
        <f>VLOOKUP(TablaCalificaciones[[#This Row],[Cierre: aporte a próximos pasos]],PESOS!A$25:B$29,2,0)</f>
        <v>10</v>
      </c>
      <c r="AL444" s="1"/>
      <c r="AM444" s="1"/>
    </row>
    <row r="445" spans="1:39">
      <c r="A445">
        <v>448</v>
      </c>
      <c r="B445" s="2">
        <v>46136.393136574101</v>
      </c>
      <c r="C445" s="2">
        <v>46136.393981481502</v>
      </c>
      <c r="D445" s="1" t="s">
        <v>97</v>
      </c>
      <c r="E445" s="1" t="s">
        <v>98</v>
      </c>
      <c r="G445" s="1"/>
      <c r="H445" s="2"/>
      <c r="I445" s="1" t="s">
        <v>134</v>
      </c>
      <c r="K445" s="1"/>
      <c r="L445" s="1" t="s">
        <v>99</v>
      </c>
      <c r="M445" s="26" t="str">
        <f>CONCATENATE(TablaCalificaciones[[#This Row],[Seleccione su nombre (Evaluador)]],TablaCalificaciones[[#This Row],[Seleccione el nombre del Estudiante]])</f>
        <v>Víctor Javier Gómez RegaladoOppíkofer López Jessica Marisol</v>
      </c>
      <c r="N445" s="1"/>
      <c r="O445" s="1" t="s">
        <v>290</v>
      </c>
      <c r="Q445" s="1"/>
      <c r="R445" s="1" t="s">
        <v>50</v>
      </c>
      <c r="S445" s="22">
        <f>VLOOKUP(TablaCalificaciones[[#This Row],[Apertura: problema y objetivo ]],PESOS!A$16:B$20,2,0)</f>
        <v>16</v>
      </c>
      <c r="T445" s="1"/>
      <c r="U445" s="1" t="s">
        <v>50</v>
      </c>
      <c r="V445" s="22">
        <f>VLOOKUP(TablaCalificaciones[[#This Row],[Metodología (nivel adecuado)]],PESOS!A$16:B$20,2,0)</f>
        <v>16</v>
      </c>
      <c r="W445" s="1"/>
      <c r="X445" s="1" t="s">
        <v>50</v>
      </c>
      <c r="Y445" s="22">
        <f>VLOOKUP(TablaCalificaciones[[#This Row],[Resultados y evidencia ]],PESOS!A$16:B$20,2,0)</f>
        <v>16</v>
      </c>
      <c r="Z445" s="1"/>
      <c r="AA445" s="1" t="s">
        <v>51</v>
      </c>
      <c r="AB445" s="22">
        <f>VLOOKUP(TablaCalificaciones[[#This Row],[Coherencia y manejo del tiempo]],PESOS!A$25:B$29,2,0)</f>
        <v>8</v>
      </c>
      <c r="AC445" s="1"/>
      <c r="AD445" s="1" t="s">
        <v>51</v>
      </c>
      <c r="AE445" s="22">
        <f>VLOOKUP(TablaCalificaciones[[#This Row],[Diapositivas como apoyo]],PESOS!A$25:B$29,2,0)</f>
        <v>8</v>
      </c>
      <c r="AF445" s="1"/>
      <c r="AG445" s="1" t="s">
        <v>51</v>
      </c>
      <c r="AH445" s="22">
        <f>VLOOKUP(TablaCalificaciones[[#This Row],[Respuestas a preguntas]],PESOS!A$25:B$29,2,0)</f>
        <v>8</v>
      </c>
      <c r="AI445" s="1"/>
      <c r="AJ445" s="1" t="s">
        <v>51</v>
      </c>
      <c r="AK445" s="22">
        <f>VLOOKUP(TablaCalificaciones[[#This Row],[Cierre: aporte a próximos pasos]],PESOS!A$25:B$29,2,0)</f>
        <v>8</v>
      </c>
      <c r="AL445" s="1"/>
      <c r="AM445" s="1"/>
    </row>
    <row r="446" spans="1:39">
      <c r="A446">
        <v>449</v>
      </c>
      <c r="B446" s="2">
        <v>46136.394039351901</v>
      </c>
      <c r="C446" s="2">
        <v>46136.394872685203</v>
      </c>
      <c r="D446" s="1" t="s">
        <v>97</v>
      </c>
      <c r="E446" s="1" t="s">
        <v>98</v>
      </c>
      <c r="G446" s="1"/>
      <c r="H446" s="2"/>
      <c r="I446" s="1" t="s">
        <v>134</v>
      </c>
      <c r="K446" s="1"/>
      <c r="L446" s="1" t="s">
        <v>99</v>
      </c>
      <c r="M446" s="26" t="str">
        <f>CONCATENATE(TablaCalificaciones[[#This Row],[Seleccione su nombre (Evaluador)]],TablaCalificaciones[[#This Row],[Seleccione el nombre del Estudiante]])</f>
        <v>Víctor Javier Gómez RegaladoSarabino Cuichan Bryan Benjamin</v>
      </c>
      <c r="N446" s="1"/>
      <c r="O446" s="1" t="s">
        <v>302</v>
      </c>
      <c r="Q446" s="1"/>
      <c r="R446" s="1" t="s">
        <v>44</v>
      </c>
      <c r="S446" s="22">
        <f>VLOOKUP(TablaCalificaciones[[#This Row],[Apertura: problema y objetivo ]],PESOS!A$16:B$20,2,0)</f>
        <v>20</v>
      </c>
      <c r="T446" s="1"/>
      <c r="U446" s="1" t="s">
        <v>44</v>
      </c>
      <c r="V446" s="22">
        <f>VLOOKUP(TablaCalificaciones[[#This Row],[Metodología (nivel adecuado)]],PESOS!A$16:B$20,2,0)</f>
        <v>20</v>
      </c>
      <c r="W446" s="1"/>
      <c r="X446" s="1" t="s">
        <v>44</v>
      </c>
      <c r="Y446" s="22">
        <f>VLOOKUP(TablaCalificaciones[[#This Row],[Resultados y evidencia ]],PESOS!A$16:B$20,2,0)</f>
        <v>20</v>
      </c>
      <c r="Z446" s="1"/>
      <c r="AA446" s="1" t="s">
        <v>45</v>
      </c>
      <c r="AB446" s="22">
        <f>VLOOKUP(TablaCalificaciones[[#This Row],[Coherencia y manejo del tiempo]],PESOS!A$25:B$29,2,0)</f>
        <v>10</v>
      </c>
      <c r="AC446" s="1"/>
      <c r="AD446" s="1" t="s">
        <v>45</v>
      </c>
      <c r="AE446" s="22">
        <f>VLOOKUP(TablaCalificaciones[[#This Row],[Diapositivas como apoyo]],PESOS!A$25:B$29,2,0)</f>
        <v>10</v>
      </c>
      <c r="AF446" s="1"/>
      <c r="AG446" s="1" t="s">
        <v>45</v>
      </c>
      <c r="AH446" s="22">
        <f>VLOOKUP(TablaCalificaciones[[#This Row],[Respuestas a preguntas]],PESOS!A$25:B$29,2,0)</f>
        <v>10</v>
      </c>
      <c r="AI446" s="1"/>
      <c r="AJ446" s="1" t="s">
        <v>45</v>
      </c>
      <c r="AK446" s="22">
        <f>VLOOKUP(TablaCalificaciones[[#This Row],[Cierre: aporte a próximos pasos]],PESOS!A$25:B$29,2,0)</f>
        <v>10</v>
      </c>
      <c r="AL446" s="1"/>
      <c r="AM446" s="1"/>
    </row>
    <row r="447" spans="1:39">
      <c r="A447">
        <v>450</v>
      </c>
      <c r="B447" s="2">
        <v>46136.395231481503</v>
      </c>
      <c r="C447" s="2">
        <v>46136.396307870396</v>
      </c>
      <c r="D447" s="1" t="s">
        <v>78</v>
      </c>
      <c r="E447" s="1" t="s">
        <v>79</v>
      </c>
      <c r="G447" s="1"/>
      <c r="H447" s="2"/>
      <c r="I447" s="1" t="s">
        <v>134</v>
      </c>
      <c r="K447" s="1"/>
      <c r="L447" s="1" t="s">
        <v>79</v>
      </c>
      <c r="M447" s="26" t="str">
        <f>CONCATENATE(TablaCalificaciones[[#This Row],[Seleccione su nombre (Evaluador)]],TablaCalificaciones[[#This Row],[Seleccione el nombre del Estudiante]])</f>
        <v>César Alberto Larrea AraujoSarabino Cuichan Bryan Benjamin</v>
      </c>
      <c r="N447" s="1"/>
      <c r="O447" s="1" t="s">
        <v>302</v>
      </c>
      <c r="Q447" s="1"/>
      <c r="R447" s="1" t="s">
        <v>44</v>
      </c>
      <c r="S447" s="22">
        <f>VLOOKUP(TablaCalificaciones[[#This Row],[Apertura: problema y objetivo ]],PESOS!A$16:B$20,2,0)</f>
        <v>20</v>
      </c>
      <c r="T447" s="1"/>
      <c r="U447" s="1" t="s">
        <v>50</v>
      </c>
      <c r="V447" s="22">
        <f>VLOOKUP(TablaCalificaciones[[#This Row],[Metodología (nivel adecuado)]],PESOS!A$16:B$20,2,0)</f>
        <v>16</v>
      </c>
      <c r="W447" s="1"/>
      <c r="X447" s="1" t="s">
        <v>44</v>
      </c>
      <c r="Y447" s="22">
        <f>VLOOKUP(TablaCalificaciones[[#This Row],[Resultados y evidencia ]],PESOS!A$16:B$20,2,0)</f>
        <v>20</v>
      </c>
      <c r="Z447" s="1"/>
      <c r="AA447" s="1" t="s">
        <v>45</v>
      </c>
      <c r="AB447" s="22">
        <f>VLOOKUP(TablaCalificaciones[[#This Row],[Coherencia y manejo del tiempo]],PESOS!A$25:B$29,2,0)</f>
        <v>10</v>
      </c>
      <c r="AC447" s="1"/>
      <c r="AD447" s="1" t="s">
        <v>51</v>
      </c>
      <c r="AE447" s="22">
        <f>VLOOKUP(TablaCalificaciones[[#This Row],[Diapositivas como apoyo]],PESOS!A$25:B$29,2,0)</f>
        <v>8</v>
      </c>
      <c r="AF447" s="1"/>
      <c r="AG447" s="1" t="s">
        <v>51</v>
      </c>
      <c r="AH447" s="22">
        <f>VLOOKUP(TablaCalificaciones[[#This Row],[Respuestas a preguntas]],PESOS!A$25:B$29,2,0)</f>
        <v>8</v>
      </c>
      <c r="AI447" s="1"/>
      <c r="AJ447" s="1" t="s">
        <v>45</v>
      </c>
      <c r="AK447" s="22">
        <f>VLOOKUP(TablaCalificaciones[[#This Row],[Cierre: aporte a próximos pasos]],PESOS!A$25:B$29,2,0)</f>
        <v>10</v>
      </c>
      <c r="AL447" s="1"/>
      <c r="AM447" s="1"/>
    </row>
    <row r="448" spans="1:39">
      <c r="A448">
        <v>451</v>
      </c>
      <c r="B448" s="2">
        <v>46136.409050925897</v>
      </c>
      <c r="C448" s="2">
        <v>46136.410196759301</v>
      </c>
      <c r="D448" s="1" t="s">
        <v>97</v>
      </c>
      <c r="E448" s="1" t="s">
        <v>98</v>
      </c>
      <c r="G448" s="1"/>
      <c r="H448" s="2"/>
      <c r="I448" s="1" t="s">
        <v>134</v>
      </c>
      <c r="K448" s="1"/>
      <c r="L448" s="1" t="s">
        <v>99</v>
      </c>
      <c r="M448" s="26" t="str">
        <f>CONCATENATE(TablaCalificaciones[[#This Row],[Seleccione su nombre (Evaluador)]],TablaCalificaciones[[#This Row],[Seleccione el nombre del Estudiante]])</f>
        <v>Víctor Javier Gómez RegaladoNaranjo Velastegui Edwin Gabriel</v>
      </c>
      <c r="N448" s="1"/>
      <c r="O448" s="1" t="s">
        <v>303</v>
      </c>
      <c r="Q448" s="1"/>
      <c r="R448" s="1" t="s">
        <v>44</v>
      </c>
      <c r="S448" s="22">
        <f>VLOOKUP(TablaCalificaciones[[#This Row],[Apertura: problema y objetivo ]],PESOS!A$16:B$20,2,0)</f>
        <v>20</v>
      </c>
      <c r="T448" s="1"/>
      <c r="U448" s="1" t="s">
        <v>44</v>
      </c>
      <c r="V448" s="22">
        <f>VLOOKUP(TablaCalificaciones[[#This Row],[Metodología (nivel adecuado)]],PESOS!A$16:B$20,2,0)</f>
        <v>20</v>
      </c>
      <c r="W448" s="1"/>
      <c r="X448" s="1" t="s">
        <v>44</v>
      </c>
      <c r="Y448" s="22">
        <f>VLOOKUP(TablaCalificaciones[[#This Row],[Resultados y evidencia ]],PESOS!A$16:B$20,2,0)</f>
        <v>20</v>
      </c>
      <c r="Z448" s="1"/>
      <c r="AA448" s="1" t="s">
        <v>45</v>
      </c>
      <c r="AB448" s="22">
        <f>VLOOKUP(TablaCalificaciones[[#This Row],[Coherencia y manejo del tiempo]],PESOS!A$25:B$29,2,0)</f>
        <v>10</v>
      </c>
      <c r="AC448" s="1"/>
      <c r="AD448" s="1" t="s">
        <v>45</v>
      </c>
      <c r="AE448" s="22">
        <f>VLOOKUP(TablaCalificaciones[[#This Row],[Diapositivas como apoyo]],PESOS!A$25:B$29,2,0)</f>
        <v>10</v>
      </c>
      <c r="AF448" s="1"/>
      <c r="AG448" s="1" t="s">
        <v>45</v>
      </c>
      <c r="AH448" s="22">
        <f>VLOOKUP(TablaCalificaciones[[#This Row],[Respuestas a preguntas]],PESOS!A$25:B$29,2,0)</f>
        <v>10</v>
      </c>
      <c r="AI448" s="1"/>
      <c r="AJ448" s="1" t="s">
        <v>45</v>
      </c>
      <c r="AK448" s="22">
        <f>VLOOKUP(TablaCalificaciones[[#This Row],[Cierre: aporte a próximos pasos]],PESOS!A$25:B$29,2,0)</f>
        <v>10</v>
      </c>
      <c r="AL448" s="1"/>
      <c r="AM448" s="1"/>
    </row>
    <row r="449" spans="1:39">
      <c r="A449">
        <v>452</v>
      </c>
      <c r="B449" s="2">
        <v>46136.3978935185</v>
      </c>
      <c r="C449" s="2">
        <v>46136.413472222201</v>
      </c>
      <c r="D449" s="1" t="s">
        <v>54</v>
      </c>
      <c r="E449" s="1" t="s">
        <v>55</v>
      </c>
      <c r="G449" s="1"/>
      <c r="H449" s="2"/>
      <c r="I449" s="1" t="s">
        <v>134</v>
      </c>
      <c r="K449" s="1"/>
      <c r="L449" s="1" t="s">
        <v>56</v>
      </c>
      <c r="M449" s="26" t="str">
        <f>CONCATENATE(TablaCalificaciones[[#This Row],[Seleccione su nombre (Evaluador)]],TablaCalificaciones[[#This Row],[Seleccione el nombre del Estudiante]])</f>
        <v>Marco Antonio Galarza CastilloCamacho González Renato Daniel</v>
      </c>
      <c r="N449" s="1"/>
      <c r="O449" s="1" t="s">
        <v>304</v>
      </c>
      <c r="Q449" s="1"/>
      <c r="R449" s="1" t="s">
        <v>44</v>
      </c>
      <c r="S449" s="22">
        <f>VLOOKUP(TablaCalificaciones[[#This Row],[Apertura: problema y objetivo ]],PESOS!A$16:B$20,2,0)</f>
        <v>20</v>
      </c>
      <c r="T449" s="1"/>
      <c r="U449" s="1" t="s">
        <v>44</v>
      </c>
      <c r="V449" s="22">
        <f>VLOOKUP(TablaCalificaciones[[#This Row],[Metodología (nivel adecuado)]],PESOS!A$16:B$20,2,0)</f>
        <v>20</v>
      </c>
      <c r="W449" s="1"/>
      <c r="X449" s="1" t="s">
        <v>44</v>
      </c>
      <c r="Y449" s="22">
        <f>VLOOKUP(TablaCalificaciones[[#This Row],[Resultados y evidencia ]],PESOS!A$16:B$20,2,0)</f>
        <v>20</v>
      </c>
      <c r="Z449" s="1"/>
      <c r="AA449" s="1" t="s">
        <v>45</v>
      </c>
      <c r="AB449" s="22">
        <f>VLOOKUP(TablaCalificaciones[[#This Row],[Coherencia y manejo del tiempo]],PESOS!A$25:B$29,2,0)</f>
        <v>10</v>
      </c>
      <c r="AC449" s="1"/>
      <c r="AD449" s="1" t="s">
        <v>51</v>
      </c>
      <c r="AE449" s="22">
        <f>VLOOKUP(TablaCalificaciones[[#This Row],[Diapositivas como apoyo]],PESOS!A$25:B$29,2,0)</f>
        <v>8</v>
      </c>
      <c r="AF449" s="1"/>
      <c r="AG449" s="1" t="s">
        <v>45</v>
      </c>
      <c r="AH449" s="22">
        <f>VLOOKUP(TablaCalificaciones[[#This Row],[Respuestas a preguntas]],PESOS!A$25:B$29,2,0)</f>
        <v>10</v>
      </c>
      <c r="AI449" s="1"/>
      <c r="AJ449" s="1" t="s">
        <v>45</v>
      </c>
      <c r="AK449" s="22">
        <f>VLOOKUP(TablaCalificaciones[[#This Row],[Cierre: aporte a próximos pasos]],PESOS!A$25:B$29,2,0)</f>
        <v>10</v>
      </c>
      <c r="AL449" s="1"/>
      <c r="AM449" s="1"/>
    </row>
    <row r="450" spans="1:39">
      <c r="A450">
        <v>453</v>
      </c>
      <c r="B450" s="2">
        <v>46136.413495370398</v>
      </c>
      <c r="C450" s="2">
        <v>46136.4139236111</v>
      </c>
      <c r="D450" s="1" t="s">
        <v>54</v>
      </c>
      <c r="E450" s="1" t="s">
        <v>55</v>
      </c>
      <c r="G450" s="1"/>
      <c r="H450" s="2"/>
      <c r="I450" s="1" t="s">
        <v>134</v>
      </c>
      <c r="K450" s="1"/>
      <c r="L450" s="1" t="s">
        <v>56</v>
      </c>
      <c r="M450" s="26" t="str">
        <f>CONCATENATE(TablaCalificaciones[[#This Row],[Seleccione su nombre (Evaluador)]],TablaCalificaciones[[#This Row],[Seleccione el nombre del Estudiante]])</f>
        <v>Marco Antonio Galarza CastilloGomez de la Torre Reyes Oswaldo Fernando</v>
      </c>
      <c r="N450" s="1"/>
      <c r="O450" s="1" t="s">
        <v>305</v>
      </c>
      <c r="Q450" s="1"/>
      <c r="R450" s="1" t="s">
        <v>44</v>
      </c>
      <c r="S450" s="22">
        <f>VLOOKUP(TablaCalificaciones[[#This Row],[Apertura: problema y objetivo ]],PESOS!A$16:B$20,2,0)</f>
        <v>20</v>
      </c>
      <c r="T450" s="1"/>
      <c r="U450" s="1" t="s">
        <v>44</v>
      </c>
      <c r="V450" s="22">
        <f>VLOOKUP(TablaCalificaciones[[#This Row],[Metodología (nivel adecuado)]],PESOS!A$16:B$20,2,0)</f>
        <v>20</v>
      </c>
      <c r="W450" s="1"/>
      <c r="X450" s="1" t="s">
        <v>44</v>
      </c>
      <c r="Y450" s="22">
        <f>VLOOKUP(TablaCalificaciones[[#This Row],[Resultados y evidencia ]],PESOS!A$16:B$20,2,0)</f>
        <v>20</v>
      </c>
      <c r="Z450" s="1"/>
      <c r="AA450" s="1" t="s">
        <v>45</v>
      </c>
      <c r="AB450" s="22">
        <f>VLOOKUP(TablaCalificaciones[[#This Row],[Coherencia y manejo del tiempo]],PESOS!A$25:B$29,2,0)</f>
        <v>10</v>
      </c>
      <c r="AC450" s="1"/>
      <c r="AD450" s="1" t="s">
        <v>51</v>
      </c>
      <c r="AE450" s="22">
        <f>VLOOKUP(TablaCalificaciones[[#This Row],[Diapositivas como apoyo]],PESOS!A$25:B$29,2,0)</f>
        <v>8</v>
      </c>
      <c r="AF450" s="1"/>
      <c r="AG450" s="1" t="s">
        <v>45</v>
      </c>
      <c r="AH450" s="22">
        <f>VLOOKUP(TablaCalificaciones[[#This Row],[Respuestas a preguntas]],PESOS!A$25:B$29,2,0)</f>
        <v>10</v>
      </c>
      <c r="AI450" s="1"/>
      <c r="AJ450" s="1" t="s">
        <v>45</v>
      </c>
      <c r="AK450" s="22">
        <f>VLOOKUP(TablaCalificaciones[[#This Row],[Cierre: aporte a próximos pasos]],PESOS!A$25:B$29,2,0)</f>
        <v>10</v>
      </c>
      <c r="AL450" s="1"/>
      <c r="AM450" s="1"/>
    </row>
    <row r="451" spans="1:39">
      <c r="A451">
        <v>454</v>
      </c>
      <c r="B451" s="2">
        <v>46136.396840277797</v>
      </c>
      <c r="C451" s="2">
        <v>46136.415150462999</v>
      </c>
      <c r="D451" s="1" t="s">
        <v>59</v>
      </c>
      <c r="E451" s="1" t="s">
        <v>60</v>
      </c>
      <c r="G451" s="1"/>
      <c r="H451" s="2"/>
      <c r="I451" s="1" t="s">
        <v>134</v>
      </c>
      <c r="K451" s="1"/>
      <c r="L451" s="1" t="s">
        <v>60</v>
      </c>
      <c r="M451" s="26" t="str">
        <f>CONCATENATE(TablaCalificaciones[[#This Row],[Seleccione su nombre (Evaluador)]],TablaCalificaciones[[#This Row],[Seleccione el nombre del Estudiante]])</f>
        <v>Santiago Leonardo SolórzanoNaranjo Velastegui Edwin Gabriel</v>
      </c>
      <c r="N451" s="1"/>
      <c r="O451" s="1" t="s">
        <v>303</v>
      </c>
      <c r="Q451" s="1"/>
      <c r="R451" s="1" t="s">
        <v>44</v>
      </c>
      <c r="S451" s="22">
        <f>VLOOKUP(TablaCalificaciones[[#This Row],[Apertura: problema y objetivo ]],PESOS!A$16:B$20,2,0)</f>
        <v>20</v>
      </c>
      <c r="T451" s="1"/>
      <c r="U451" s="1" t="s">
        <v>44</v>
      </c>
      <c r="V451" s="22">
        <f>VLOOKUP(TablaCalificaciones[[#This Row],[Metodología (nivel adecuado)]],PESOS!A$16:B$20,2,0)</f>
        <v>20</v>
      </c>
      <c r="W451" s="1"/>
      <c r="X451" s="1" t="s">
        <v>44</v>
      </c>
      <c r="Y451" s="22">
        <f>VLOOKUP(TablaCalificaciones[[#This Row],[Resultados y evidencia ]],PESOS!A$16:B$20,2,0)</f>
        <v>20</v>
      </c>
      <c r="Z451" s="1"/>
      <c r="AA451" s="1" t="s">
        <v>51</v>
      </c>
      <c r="AB451" s="22">
        <f>VLOOKUP(TablaCalificaciones[[#This Row],[Coherencia y manejo del tiempo]],PESOS!A$25:B$29,2,0)</f>
        <v>8</v>
      </c>
      <c r="AC451" s="1"/>
      <c r="AD451" s="1" t="s">
        <v>45</v>
      </c>
      <c r="AE451" s="22">
        <f>VLOOKUP(TablaCalificaciones[[#This Row],[Diapositivas como apoyo]],PESOS!A$25:B$29,2,0)</f>
        <v>10</v>
      </c>
      <c r="AF451" s="1"/>
      <c r="AG451" s="1" t="s">
        <v>45</v>
      </c>
      <c r="AH451" s="22">
        <f>VLOOKUP(TablaCalificaciones[[#This Row],[Respuestas a preguntas]],PESOS!A$25:B$29,2,0)</f>
        <v>10</v>
      </c>
      <c r="AI451" s="1"/>
      <c r="AJ451" s="1" t="s">
        <v>45</v>
      </c>
      <c r="AK451" s="22">
        <f>VLOOKUP(TablaCalificaciones[[#This Row],[Cierre: aporte a próximos pasos]],PESOS!A$25:B$29,2,0)</f>
        <v>10</v>
      </c>
      <c r="AL451" s="1"/>
      <c r="AM451" s="1"/>
    </row>
    <row r="452" spans="1:39">
      <c r="A452">
        <v>455</v>
      </c>
      <c r="B452" s="2">
        <v>46136.419675925899</v>
      </c>
      <c r="C452" s="2">
        <v>46136.430960648097</v>
      </c>
      <c r="D452" s="1" t="s">
        <v>69</v>
      </c>
      <c r="E452" s="1" t="s">
        <v>70</v>
      </c>
      <c r="G452" s="1"/>
      <c r="H452" s="2"/>
      <c r="I452" s="1" t="s">
        <v>134</v>
      </c>
      <c r="K452" s="1"/>
      <c r="L452" s="1" t="s">
        <v>71</v>
      </c>
      <c r="M452" s="26" t="str">
        <f>CONCATENATE(TablaCalificaciones[[#This Row],[Seleccione su nombre (Evaluador)]],TablaCalificaciones[[#This Row],[Seleccione el nombre del Estudiante]])</f>
        <v>Ana Belén Tulcanaza PrietoEcheverría López Aarón David</v>
      </c>
      <c r="N452" s="1"/>
      <c r="O452" s="1" t="s">
        <v>306</v>
      </c>
      <c r="Q452" s="1"/>
      <c r="R452" s="1" t="s">
        <v>44</v>
      </c>
      <c r="S452" s="22">
        <f>VLOOKUP(TablaCalificaciones[[#This Row],[Apertura: problema y objetivo ]],PESOS!A$16:B$20,2,0)</f>
        <v>20</v>
      </c>
      <c r="T452" s="1"/>
      <c r="U452" s="1" t="s">
        <v>44</v>
      </c>
      <c r="V452" s="22">
        <f>VLOOKUP(TablaCalificaciones[[#This Row],[Metodología (nivel adecuado)]],PESOS!A$16:B$20,2,0)</f>
        <v>20</v>
      </c>
      <c r="W452" s="1"/>
      <c r="X452" s="1" t="s">
        <v>44</v>
      </c>
      <c r="Y452" s="22">
        <f>VLOOKUP(TablaCalificaciones[[#This Row],[Resultados y evidencia ]],PESOS!A$16:B$20,2,0)</f>
        <v>20</v>
      </c>
      <c r="Z452" s="1"/>
      <c r="AA452" s="1" t="s">
        <v>45</v>
      </c>
      <c r="AB452" s="22">
        <f>VLOOKUP(TablaCalificaciones[[#This Row],[Coherencia y manejo del tiempo]],PESOS!A$25:B$29,2,0)</f>
        <v>10</v>
      </c>
      <c r="AC452" s="1"/>
      <c r="AD452" s="1" t="s">
        <v>45</v>
      </c>
      <c r="AE452" s="22">
        <f>VLOOKUP(TablaCalificaciones[[#This Row],[Diapositivas como apoyo]],PESOS!A$25:B$29,2,0)</f>
        <v>10</v>
      </c>
      <c r="AF452" s="1"/>
      <c r="AG452" s="1" t="s">
        <v>45</v>
      </c>
      <c r="AH452" s="22">
        <f>VLOOKUP(TablaCalificaciones[[#This Row],[Respuestas a preguntas]],PESOS!A$25:B$29,2,0)</f>
        <v>10</v>
      </c>
      <c r="AI452" s="1"/>
      <c r="AJ452" s="1" t="s">
        <v>45</v>
      </c>
      <c r="AK452" s="22">
        <f>VLOOKUP(TablaCalificaciones[[#This Row],[Cierre: aporte a próximos pasos]],PESOS!A$25:B$29,2,0)</f>
        <v>10</v>
      </c>
      <c r="AL452" s="1"/>
      <c r="AM452" s="1"/>
    </row>
    <row r="453" spans="1:39">
      <c r="A453">
        <v>456</v>
      </c>
      <c r="B453" s="2">
        <v>46136.4202546296</v>
      </c>
      <c r="C453" s="2">
        <v>46136.431134259299</v>
      </c>
      <c r="D453" s="1" t="s">
        <v>69</v>
      </c>
      <c r="E453" s="1" t="s">
        <v>70</v>
      </c>
      <c r="G453" s="1"/>
      <c r="H453" s="2"/>
      <c r="I453" s="1" t="s">
        <v>134</v>
      </c>
      <c r="K453" s="1"/>
      <c r="L453" s="1" t="s">
        <v>71</v>
      </c>
      <c r="M453" s="26" t="str">
        <f>CONCATENATE(TablaCalificaciones[[#This Row],[Seleccione su nombre (Evaluador)]],TablaCalificaciones[[#This Row],[Seleccione el nombre del Estudiante]])</f>
        <v>Ana Belén Tulcanaza PrietoGuambo Heredia José Luis</v>
      </c>
      <c r="N453" s="1"/>
      <c r="O453" s="1" t="s">
        <v>307</v>
      </c>
      <c r="Q453" s="1"/>
      <c r="R453" s="1" t="s">
        <v>44</v>
      </c>
      <c r="S453" s="22">
        <f>VLOOKUP(TablaCalificaciones[[#This Row],[Apertura: problema y objetivo ]],PESOS!A$16:B$20,2,0)</f>
        <v>20</v>
      </c>
      <c r="T453" s="1"/>
      <c r="U453" s="1" t="s">
        <v>44</v>
      </c>
      <c r="V453" s="22">
        <f>VLOOKUP(TablaCalificaciones[[#This Row],[Metodología (nivel adecuado)]],PESOS!A$16:B$20,2,0)</f>
        <v>20</v>
      </c>
      <c r="W453" s="1"/>
      <c r="X453" s="1" t="s">
        <v>44</v>
      </c>
      <c r="Y453" s="22">
        <f>VLOOKUP(TablaCalificaciones[[#This Row],[Resultados y evidencia ]],PESOS!A$16:B$20,2,0)</f>
        <v>20</v>
      </c>
      <c r="Z453" s="1"/>
      <c r="AA453" s="1" t="s">
        <v>45</v>
      </c>
      <c r="AB453" s="22">
        <f>VLOOKUP(TablaCalificaciones[[#This Row],[Coherencia y manejo del tiempo]],PESOS!A$25:B$29,2,0)</f>
        <v>10</v>
      </c>
      <c r="AC453" s="1"/>
      <c r="AD453" s="1" t="s">
        <v>45</v>
      </c>
      <c r="AE453" s="22">
        <f>VLOOKUP(TablaCalificaciones[[#This Row],[Diapositivas como apoyo]],PESOS!A$25:B$29,2,0)</f>
        <v>10</v>
      </c>
      <c r="AF453" s="1"/>
      <c r="AG453" s="1" t="s">
        <v>45</v>
      </c>
      <c r="AH453" s="22">
        <f>VLOOKUP(TablaCalificaciones[[#This Row],[Respuestas a preguntas]],PESOS!A$25:B$29,2,0)</f>
        <v>10</v>
      </c>
      <c r="AI453" s="1"/>
      <c r="AJ453" s="1" t="s">
        <v>45</v>
      </c>
      <c r="AK453" s="22">
        <f>VLOOKUP(TablaCalificaciones[[#This Row],[Cierre: aporte a próximos pasos]],PESOS!A$25:B$29,2,0)</f>
        <v>10</v>
      </c>
      <c r="AL453" s="1"/>
      <c r="AM453" s="1"/>
    </row>
    <row r="454" spans="1:39">
      <c r="A454">
        <v>457</v>
      </c>
      <c r="B454" s="2">
        <v>46136.415763888901</v>
      </c>
      <c r="C454" s="2">
        <v>46136.435497685197</v>
      </c>
      <c r="D454" s="1" t="s">
        <v>59</v>
      </c>
      <c r="E454" s="1" t="s">
        <v>60</v>
      </c>
      <c r="G454" s="1"/>
      <c r="H454" s="2"/>
      <c r="I454" s="1" t="s">
        <v>134</v>
      </c>
      <c r="K454" s="1"/>
      <c r="L454" s="1" t="s">
        <v>60</v>
      </c>
      <c r="M454" s="26" t="str">
        <f>CONCATENATE(TablaCalificaciones[[#This Row],[Seleccione su nombre (Evaluador)]],TablaCalificaciones[[#This Row],[Seleccione el nombre del Estudiante]])</f>
        <v>Santiago Leonardo SolórzanoMontenegro Reinoso Sthefany Carolina</v>
      </c>
      <c r="N454" s="1"/>
      <c r="O454" s="1" t="s">
        <v>308</v>
      </c>
      <c r="Q454" s="1"/>
      <c r="R454" s="1" t="s">
        <v>44</v>
      </c>
      <c r="S454" s="22">
        <f>VLOOKUP(TablaCalificaciones[[#This Row],[Apertura: problema y objetivo ]],PESOS!A$16:B$20,2,0)</f>
        <v>20</v>
      </c>
      <c r="T454" s="1"/>
      <c r="U454" s="1" t="s">
        <v>44</v>
      </c>
      <c r="V454" s="22">
        <f>VLOOKUP(TablaCalificaciones[[#This Row],[Metodología (nivel adecuado)]],PESOS!A$16:B$20,2,0)</f>
        <v>20</v>
      </c>
      <c r="W454" s="1"/>
      <c r="X454" s="1" t="s">
        <v>44</v>
      </c>
      <c r="Y454" s="22">
        <f>VLOOKUP(TablaCalificaciones[[#This Row],[Resultados y evidencia ]],PESOS!A$16:B$20,2,0)</f>
        <v>20</v>
      </c>
      <c r="Z454" s="1"/>
      <c r="AA454" s="1" t="s">
        <v>51</v>
      </c>
      <c r="AB454" s="22">
        <f>VLOOKUP(TablaCalificaciones[[#This Row],[Coherencia y manejo del tiempo]],PESOS!A$25:B$29,2,0)</f>
        <v>8</v>
      </c>
      <c r="AC454" s="1"/>
      <c r="AD454" s="1" t="s">
        <v>45</v>
      </c>
      <c r="AE454" s="22">
        <f>VLOOKUP(TablaCalificaciones[[#This Row],[Diapositivas como apoyo]],PESOS!A$25:B$29,2,0)</f>
        <v>10</v>
      </c>
      <c r="AF454" s="1"/>
      <c r="AG454" s="1" t="s">
        <v>45</v>
      </c>
      <c r="AH454" s="22">
        <f>VLOOKUP(TablaCalificaciones[[#This Row],[Respuestas a preguntas]],PESOS!A$25:B$29,2,0)</f>
        <v>10</v>
      </c>
      <c r="AI454" s="1"/>
      <c r="AJ454" s="1" t="s">
        <v>45</v>
      </c>
      <c r="AK454" s="22">
        <f>VLOOKUP(TablaCalificaciones[[#This Row],[Cierre: aporte a próximos pasos]],PESOS!A$25:B$29,2,0)</f>
        <v>10</v>
      </c>
      <c r="AL454" s="1"/>
      <c r="AM454" s="1"/>
    </row>
    <row r="455" spans="1:39">
      <c r="A455">
        <v>458</v>
      </c>
      <c r="B455" s="2">
        <v>46136.415798611102</v>
      </c>
      <c r="C455" s="2">
        <v>46136.435590277797</v>
      </c>
      <c r="D455" s="1" t="s">
        <v>54</v>
      </c>
      <c r="E455" s="1" t="s">
        <v>55</v>
      </c>
      <c r="G455" s="1"/>
      <c r="H455" s="2"/>
      <c r="I455" s="1" t="s">
        <v>134</v>
      </c>
      <c r="K455" s="1"/>
      <c r="L455" s="1" t="s">
        <v>56</v>
      </c>
      <c r="M455" s="26" t="str">
        <f>CONCATENATE(TablaCalificaciones[[#This Row],[Seleccione su nombre (Evaluador)]],TablaCalificaciones[[#This Row],[Seleccione el nombre del Estudiante]])</f>
        <v>Marco Antonio Galarza CastilloDíaz Erazo Max Ernesto</v>
      </c>
      <c r="N455" s="1"/>
      <c r="O455" s="1" t="s">
        <v>309</v>
      </c>
      <c r="Q455" s="1"/>
      <c r="R455" s="1" t="s">
        <v>44</v>
      </c>
      <c r="S455" s="22">
        <f>VLOOKUP(TablaCalificaciones[[#This Row],[Apertura: problema y objetivo ]],PESOS!A$16:B$20,2,0)</f>
        <v>20</v>
      </c>
      <c r="T455" s="1"/>
      <c r="U455" s="1" t="s">
        <v>44</v>
      </c>
      <c r="V455" s="22">
        <f>VLOOKUP(TablaCalificaciones[[#This Row],[Metodología (nivel adecuado)]],PESOS!A$16:B$20,2,0)</f>
        <v>20</v>
      </c>
      <c r="W455" s="1"/>
      <c r="X455" s="1" t="s">
        <v>44</v>
      </c>
      <c r="Y455" s="22">
        <f>VLOOKUP(TablaCalificaciones[[#This Row],[Resultados y evidencia ]],PESOS!A$16:B$20,2,0)</f>
        <v>20</v>
      </c>
      <c r="Z455" s="1"/>
      <c r="AA455" s="1" t="s">
        <v>45</v>
      </c>
      <c r="AB455" s="22">
        <f>VLOOKUP(TablaCalificaciones[[#This Row],[Coherencia y manejo del tiempo]],PESOS!A$25:B$29,2,0)</f>
        <v>10</v>
      </c>
      <c r="AC455" s="1"/>
      <c r="AD455" s="1" t="s">
        <v>45</v>
      </c>
      <c r="AE455" s="22">
        <f>VLOOKUP(TablaCalificaciones[[#This Row],[Diapositivas como apoyo]],PESOS!A$25:B$29,2,0)</f>
        <v>10</v>
      </c>
      <c r="AF455" s="1"/>
      <c r="AG455" s="1" t="s">
        <v>45</v>
      </c>
      <c r="AH455" s="22">
        <f>VLOOKUP(TablaCalificaciones[[#This Row],[Respuestas a preguntas]],PESOS!A$25:B$29,2,0)</f>
        <v>10</v>
      </c>
      <c r="AI455" s="1"/>
      <c r="AJ455" s="1" t="s">
        <v>45</v>
      </c>
      <c r="AK455" s="22">
        <f>VLOOKUP(TablaCalificaciones[[#This Row],[Cierre: aporte a próximos pasos]],PESOS!A$25:B$29,2,0)</f>
        <v>10</v>
      </c>
      <c r="AL455" s="1"/>
      <c r="AM455" s="1"/>
    </row>
    <row r="456" spans="1:39">
      <c r="A456">
        <v>459</v>
      </c>
      <c r="B456" s="2">
        <v>46136.415787037004</v>
      </c>
      <c r="C456" s="2">
        <v>46136.435995370397</v>
      </c>
      <c r="D456" s="1" t="s">
        <v>59</v>
      </c>
      <c r="E456" s="1" t="s">
        <v>60</v>
      </c>
      <c r="G456" s="1"/>
      <c r="H456" s="2"/>
      <c r="I456" s="1" t="s">
        <v>134</v>
      </c>
      <c r="K456" s="1"/>
      <c r="L456" s="1" t="s">
        <v>60</v>
      </c>
      <c r="M456" s="26" t="str">
        <f>CONCATENATE(TablaCalificaciones[[#This Row],[Seleccione su nombre (Evaluador)]],TablaCalificaciones[[#This Row],[Seleccione el nombre del Estudiante]])</f>
        <v>Santiago Leonardo SolórzanoDíaz Erazo Max Ernesto</v>
      </c>
      <c r="N456" s="1"/>
      <c r="O456" s="1" t="s">
        <v>309</v>
      </c>
      <c r="Q456" s="1"/>
      <c r="R456" s="1" t="s">
        <v>44</v>
      </c>
      <c r="S456" s="22">
        <f>VLOOKUP(TablaCalificaciones[[#This Row],[Apertura: problema y objetivo ]],PESOS!A$16:B$20,2,0)</f>
        <v>20</v>
      </c>
      <c r="T456" s="1"/>
      <c r="U456" s="1" t="s">
        <v>44</v>
      </c>
      <c r="V456" s="22">
        <f>VLOOKUP(TablaCalificaciones[[#This Row],[Metodología (nivel adecuado)]],PESOS!A$16:B$20,2,0)</f>
        <v>20</v>
      </c>
      <c r="W456" s="1"/>
      <c r="X456" s="1" t="s">
        <v>44</v>
      </c>
      <c r="Y456" s="22">
        <f>VLOOKUP(TablaCalificaciones[[#This Row],[Resultados y evidencia ]],PESOS!A$16:B$20,2,0)</f>
        <v>20</v>
      </c>
      <c r="Z456" s="1"/>
      <c r="AA456" s="1" t="s">
        <v>51</v>
      </c>
      <c r="AB456" s="22">
        <f>VLOOKUP(TablaCalificaciones[[#This Row],[Coherencia y manejo del tiempo]],PESOS!A$25:B$29,2,0)</f>
        <v>8</v>
      </c>
      <c r="AC456" s="1"/>
      <c r="AD456" s="1" t="s">
        <v>45</v>
      </c>
      <c r="AE456" s="22">
        <f>VLOOKUP(TablaCalificaciones[[#This Row],[Diapositivas como apoyo]],PESOS!A$25:B$29,2,0)</f>
        <v>10</v>
      </c>
      <c r="AF456" s="1"/>
      <c r="AG456" s="1" t="s">
        <v>45</v>
      </c>
      <c r="AH456" s="22">
        <f>VLOOKUP(TablaCalificaciones[[#This Row],[Respuestas a preguntas]],PESOS!A$25:B$29,2,0)</f>
        <v>10</v>
      </c>
      <c r="AI456" s="1"/>
      <c r="AJ456" s="1" t="s">
        <v>45</v>
      </c>
      <c r="AK456" s="22">
        <f>VLOOKUP(TablaCalificaciones[[#This Row],[Cierre: aporte a próximos pasos]],PESOS!A$25:B$29,2,0)</f>
        <v>10</v>
      </c>
      <c r="AL456" s="1"/>
      <c r="AM456" s="1"/>
    </row>
    <row r="457" spans="1:39">
      <c r="A457">
        <v>460</v>
      </c>
      <c r="B457" s="2">
        <v>46136.4358796296</v>
      </c>
      <c r="C457" s="2">
        <v>46136.436215277798</v>
      </c>
      <c r="D457" s="1" t="s">
        <v>54</v>
      </c>
      <c r="E457" s="1" t="s">
        <v>55</v>
      </c>
      <c r="G457" s="1"/>
      <c r="H457" s="2"/>
      <c r="I457" s="1" t="s">
        <v>134</v>
      </c>
      <c r="K457" s="1"/>
      <c r="L457" s="1" t="s">
        <v>56</v>
      </c>
      <c r="M457" s="26" t="str">
        <f>CONCATENATE(TablaCalificaciones[[#This Row],[Seleccione su nombre (Evaluador)]],TablaCalificaciones[[#This Row],[Seleccione el nombre del Estudiante]])</f>
        <v>Marco Antonio Galarza CastilloMontenegro Reinoso Sthefany Carolina</v>
      </c>
      <c r="N457" s="1"/>
      <c r="O457" s="1" t="s">
        <v>308</v>
      </c>
      <c r="Q457" s="1"/>
      <c r="R457" s="1" t="s">
        <v>44</v>
      </c>
      <c r="S457" s="22">
        <f>VLOOKUP(TablaCalificaciones[[#This Row],[Apertura: problema y objetivo ]],PESOS!A$16:B$20,2,0)</f>
        <v>20</v>
      </c>
      <c r="T457" s="1"/>
      <c r="U457" s="1" t="s">
        <v>44</v>
      </c>
      <c r="V457" s="22">
        <f>VLOOKUP(TablaCalificaciones[[#This Row],[Metodología (nivel adecuado)]],PESOS!A$16:B$20,2,0)</f>
        <v>20</v>
      </c>
      <c r="W457" s="1"/>
      <c r="X457" s="1" t="s">
        <v>44</v>
      </c>
      <c r="Y457" s="22">
        <f>VLOOKUP(TablaCalificaciones[[#This Row],[Resultados y evidencia ]],PESOS!A$16:B$20,2,0)</f>
        <v>20</v>
      </c>
      <c r="Z457" s="1"/>
      <c r="AA457" s="1" t="s">
        <v>51</v>
      </c>
      <c r="AB457" s="22">
        <f>VLOOKUP(TablaCalificaciones[[#This Row],[Coherencia y manejo del tiempo]],PESOS!A$25:B$29,2,0)</f>
        <v>8</v>
      </c>
      <c r="AC457" s="1"/>
      <c r="AD457" s="1" t="s">
        <v>51</v>
      </c>
      <c r="AE457" s="22">
        <f>VLOOKUP(TablaCalificaciones[[#This Row],[Diapositivas como apoyo]],PESOS!A$25:B$29,2,0)</f>
        <v>8</v>
      </c>
      <c r="AF457" s="1"/>
      <c r="AG457" s="1" t="s">
        <v>51</v>
      </c>
      <c r="AH457" s="22">
        <f>VLOOKUP(TablaCalificaciones[[#This Row],[Respuestas a preguntas]],PESOS!A$25:B$29,2,0)</f>
        <v>8</v>
      </c>
      <c r="AI457" s="1"/>
      <c r="AJ457" s="1" t="s">
        <v>45</v>
      </c>
      <c r="AK457" s="22">
        <f>VLOOKUP(TablaCalificaciones[[#This Row],[Cierre: aporte a próximos pasos]],PESOS!A$25:B$29,2,0)</f>
        <v>10</v>
      </c>
      <c r="AL457" s="1"/>
      <c r="AM457" s="1"/>
    </row>
    <row r="458" spans="1:39">
      <c r="A458">
        <v>461</v>
      </c>
      <c r="B458" s="2">
        <v>46136.378530092603</v>
      </c>
      <c r="C458" s="2">
        <v>46136.452013888898</v>
      </c>
      <c r="D458" s="1" t="s">
        <v>93</v>
      </c>
      <c r="E458" s="1" t="s">
        <v>94</v>
      </c>
      <c r="G458" s="1"/>
      <c r="H458" s="2"/>
      <c r="I458" s="1" t="s">
        <v>134</v>
      </c>
      <c r="K458" s="1"/>
      <c r="L458" s="1" t="s">
        <v>95</v>
      </c>
      <c r="M458" s="26" t="str">
        <f>CONCATENATE(TablaCalificaciones[[#This Row],[Seleccione su nombre (Evaluador)]],TablaCalificaciones[[#This Row],[Seleccione el nombre del Estudiante]])</f>
        <v>Nelly Patricia Acosta VargasMolina Vásconez Alex François</v>
      </c>
      <c r="N458" s="1"/>
      <c r="O458" s="1" t="s">
        <v>310</v>
      </c>
      <c r="Q458" s="1"/>
      <c r="R458" s="1" t="s">
        <v>44</v>
      </c>
      <c r="S458" s="22">
        <f>VLOOKUP(TablaCalificaciones[[#This Row],[Apertura: problema y objetivo ]],PESOS!A$16:B$20,2,0)</f>
        <v>20</v>
      </c>
      <c r="T458" s="1"/>
      <c r="U458" s="1" t="s">
        <v>44</v>
      </c>
      <c r="V458" s="22">
        <f>VLOOKUP(TablaCalificaciones[[#This Row],[Metodología (nivel adecuado)]],PESOS!A$16:B$20,2,0)</f>
        <v>20</v>
      </c>
      <c r="W458" s="1"/>
      <c r="X458" s="1" t="s">
        <v>44</v>
      </c>
      <c r="Y458" s="22">
        <f>VLOOKUP(TablaCalificaciones[[#This Row],[Resultados y evidencia ]],PESOS!A$16:B$20,2,0)</f>
        <v>20</v>
      </c>
      <c r="Z458" s="1"/>
      <c r="AA458" s="1" t="s">
        <v>45</v>
      </c>
      <c r="AB458" s="22">
        <f>VLOOKUP(TablaCalificaciones[[#This Row],[Coherencia y manejo del tiempo]],PESOS!A$25:B$29,2,0)</f>
        <v>10</v>
      </c>
      <c r="AC458" s="1"/>
      <c r="AD458" s="1" t="s">
        <v>45</v>
      </c>
      <c r="AE458" s="22">
        <f>VLOOKUP(TablaCalificaciones[[#This Row],[Diapositivas como apoyo]],PESOS!A$25:B$29,2,0)</f>
        <v>10</v>
      </c>
      <c r="AF458" s="1"/>
      <c r="AG458" s="1" t="s">
        <v>45</v>
      </c>
      <c r="AH458" s="22">
        <f>VLOOKUP(TablaCalificaciones[[#This Row],[Respuestas a preguntas]],PESOS!A$25:B$29,2,0)</f>
        <v>10</v>
      </c>
      <c r="AI458" s="1"/>
      <c r="AJ458" s="1" t="s">
        <v>45</v>
      </c>
      <c r="AK458" s="22">
        <f>VLOOKUP(TablaCalificaciones[[#This Row],[Cierre: aporte a próximos pasos]],PESOS!A$25:B$29,2,0)</f>
        <v>10</v>
      </c>
      <c r="AL458" s="1"/>
      <c r="AM458" s="1"/>
    </row>
    <row r="459" spans="1:39">
      <c r="A459">
        <v>462</v>
      </c>
      <c r="B459" s="2">
        <v>46136.4520486111</v>
      </c>
      <c r="C459" s="2">
        <v>46136.452708333301</v>
      </c>
      <c r="D459" s="1" t="s">
        <v>93</v>
      </c>
      <c r="E459" s="1" t="s">
        <v>94</v>
      </c>
      <c r="G459" s="1"/>
      <c r="H459" s="2"/>
      <c r="I459" s="1" t="s">
        <v>134</v>
      </c>
      <c r="K459" s="1"/>
      <c r="L459" s="1" t="s">
        <v>95</v>
      </c>
      <c r="M459" s="26" t="str">
        <f>CONCATENATE(TablaCalificaciones[[#This Row],[Seleccione su nombre (Evaluador)]],TablaCalificaciones[[#This Row],[Seleccione el nombre del Estudiante]])</f>
        <v>Nelly Patricia Acosta VargasMoyano Sánchez Jean Pierre</v>
      </c>
      <c r="N459" s="1"/>
      <c r="O459" s="1" t="s">
        <v>311</v>
      </c>
      <c r="Q459" s="1"/>
      <c r="R459" s="1" t="s">
        <v>44</v>
      </c>
      <c r="S459" s="22">
        <f>VLOOKUP(TablaCalificaciones[[#This Row],[Apertura: problema y objetivo ]],PESOS!A$16:B$20,2,0)</f>
        <v>20</v>
      </c>
      <c r="T459" s="1"/>
      <c r="U459" s="1" t="s">
        <v>44</v>
      </c>
      <c r="V459" s="22">
        <f>VLOOKUP(TablaCalificaciones[[#This Row],[Metodología (nivel adecuado)]],PESOS!A$16:B$20,2,0)</f>
        <v>20</v>
      </c>
      <c r="W459" s="1"/>
      <c r="X459" s="1" t="s">
        <v>44</v>
      </c>
      <c r="Y459" s="22">
        <f>VLOOKUP(TablaCalificaciones[[#This Row],[Resultados y evidencia ]],PESOS!A$16:B$20,2,0)</f>
        <v>20</v>
      </c>
      <c r="Z459" s="1"/>
      <c r="AA459" s="1" t="s">
        <v>45</v>
      </c>
      <c r="AB459" s="22">
        <f>VLOOKUP(TablaCalificaciones[[#This Row],[Coherencia y manejo del tiempo]],PESOS!A$25:B$29,2,0)</f>
        <v>10</v>
      </c>
      <c r="AC459" s="1"/>
      <c r="AD459" s="1" t="s">
        <v>45</v>
      </c>
      <c r="AE459" s="22">
        <f>VLOOKUP(TablaCalificaciones[[#This Row],[Diapositivas como apoyo]],PESOS!A$25:B$29,2,0)</f>
        <v>10</v>
      </c>
      <c r="AF459" s="1"/>
      <c r="AG459" s="1" t="s">
        <v>45</v>
      </c>
      <c r="AH459" s="22">
        <f>VLOOKUP(TablaCalificaciones[[#This Row],[Respuestas a preguntas]],PESOS!A$25:B$29,2,0)</f>
        <v>10</v>
      </c>
      <c r="AI459" s="1"/>
      <c r="AJ459" s="1" t="s">
        <v>45</v>
      </c>
      <c r="AK459" s="22">
        <f>VLOOKUP(TablaCalificaciones[[#This Row],[Cierre: aporte a próximos pasos]],PESOS!A$25:B$29,2,0)</f>
        <v>10</v>
      </c>
      <c r="AL459" s="1"/>
      <c r="AM459" s="1"/>
    </row>
    <row r="460" spans="1:39">
      <c r="A460">
        <v>463</v>
      </c>
      <c r="B460" s="2">
        <v>46136.438553240703</v>
      </c>
      <c r="C460" s="2">
        <v>46136.453657407401</v>
      </c>
      <c r="D460" s="1" t="s">
        <v>59</v>
      </c>
      <c r="E460" s="1" t="s">
        <v>60</v>
      </c>
      <c r="G460" s="1"/>
      <c r="H460" s="2"/>
      <c r="I460" s="1" t="s">
        <v>134</v>
      </c>
      <c r="K460" s="1"/>
      <c r="L460" s="1" t="s">
        <v>60</v>
      </c>
      <c r="M460" s="26" t="str">
        <f>CONCATENATE(TablaCalificaciones[[#This Row],[Seleccione su nombre (Evaluador)]],TablaCalificaciones[[#This Row],[Seleccione el nombre del Estudiante]])</f>
        <v>Santiago Leonardo SolórzanoMoyano Sánchez Jean Pierre</v>
      </c>
      <c r="N460" s="1"/>
      <c r="O460" s="1" t="s">
        <v>311</v>
      </c>
      <c r="Q460" s="1"/>
      <c r="R460" s="1" t="s">
        <v>44</v>
      </c>
      <c r="S460" s="22">
        <f>VLOOKUP(TablaCalificaciones[[#This Row],[Apertura: problema y objetivo ]],PESOS!A$16:B$20,2,0)</f>
        <v>20</v>
      </c>
      <c r="T460" s="1"/>
      <c r="U460" s="1" t="s">
        <v>44</v>
      </c>
      <c r="V460" s="22">
        <f>VLOOKUP(TablaCalificaciones[[#This Row],[Metodología (nivel adecuado)]],PESOS!A$16:B$20,2,0)</f>
        <v>20</v>
      </c>
      <c r="W460" s="1"/>
      <c r="X460" s="1" t="s">
        <v>44</v>
      </c>
      <c r="Y460" s="22">
        <f>VLOOKUP(TablaCalificaciones[[#This Row],[Resultados y evidencia ]],PESOS!A$16:B$20,2,0)</f>
        <v>20</v>
      </c>
      <c r="Z460" s="1"/>
      <c r="AA460" s="1" t="s">
        <v>45</v>
      </c>
      <c r="AB460" s="22">
        <f>VLOOKUP(TablaCalificaciones[[#This Row],[Coherencia y manejo del tiempo]],PESOS!A$25:B$29,2,0)</f>
        <v>10</v>
      </c>
      <c r="AC460" s="1"/>
      <c r="AD460" s="1" t="s">
        <v>45</v>
      </c>
      <c r="AE460" s="22">
        <f>VLOOKUP(TablaCalificaciones[[#This Row],[Diapositivas como apoyo]],PESOS!A$25:B$29,2,0)</f>
        <v>10</v>
      </c>
      <c r="AF460" s="1"/>
      <c r="AG460" s="1" t="s">
        <v>45</v>
      </c>
      <c r="AH460" s="22">
        <f>VLOOKUP(TablaCalificaciones[[#This Row],[Respuestas a preguntas]],PESOS!A$25:B$29,2,0)</f>
        <v>10</v>
      </c>
      <c r="AI460" s="1"/>
      <c r="AJ460" s="1" t="s">
        <v>45</v>
      </c>
      <c r="AK460" s="22">
        <f>VLOOKUP(TablaCalificaciones[[#This Row],[Cierre: aporte a próximos pasos]],PESOS!A$25:B$29,2,0)</f>
        <v>10</v>
      </c>
      <c r="AL460" s="1"/>
      <c r="AM460" s="1"/>
    </row>
    <row r="461" spans="1:39">
      <c r="A461">
        <v>464</v>
      </c>
      <c r="B461" s="2">
        <v>46136.439155092601</v>
      </c>
      <c r="C461" s="2">
        <v>46136.453726851803</v>
      </c>
      <c r="D461" s="1" t="s">
        <v>59</v>
      </c>
      <c r="E461" s="1" t="s">
        <v>60</v>
      </c>
      <c r="G461" s="1"/>
      <c r="H461" s="2"/>
      <c r="I461" s="1" t="s">
        <v>134</v>
      </c>
      <c r="K461" s="1"/>
      <c r="L461" s="1" t="s">
        <v>60</v>
      </c>
      <c r="M461" s="26" t="str">
        <f>CONCATENATE(TablaCalificaciones[[#This Row],[Seleccione su nombre (Evaluador)]],TablaCalificaciones[[#This Row],[Seleccione el nombre del Estudiante]])</f>
        <v>Santiago Leonardo SolórzanoMolina Vásconez Alex François</v>
      </c>
      <c r="N461" s="1"/>
      <c r="O461" s="1" t="s">
        <v>310</v>
      </c>
      <c r="Q461" s="1"/>
      <c r="R461" s="1" t="s">
        <v>44</v>
      </c>
      <c r="S461" s="22">
        <f>VLOOKUP(TablaCalificaciones[[#This Row],[Apertura: problema y objetivo ]],PESOS!A$16:B$20,2,0)</f>
        <v>20</v>
      </c>
      <c r="T461" s="1"/>
      <c r="U461" s="1" t="s">
        <v>44</v>
      </c>
      <c r="V461" s="22">
        <f>VLOOKUP(TablaCalificaciones[[#This Row],[Metodología (nivel adecuado)]],PESOS!A$16:B$20,2,0)</f>
        <v>20</v>
      </c>
      <c r="W461" s="1"/>
      <c r="X461" s="1" t="s">
        <v>44</v>
      </c>
      <c r="Y461" s="22">
        <f>VLOOKUP(TablaCalificaciones[[#This Row],[Resultados y evidencia ]],PESOS!A$16:B$20,2,0)</f>
        <v>20</v>
      </c>
      <c r="Z461" s="1"/>
      <c r="AA461" s="1" t="s">
        <v>45</v>
      </c>
      <c r="AB461" s="22">
        <f>VLOOKUP(TablaCalificaciones[[#This Row],[Coherencia y manejo del tiempo]],PESOS!A$25:B$29,2,0)</f>
        <v>10</v>
      </c>
      <c r="AC461" s="1"/>
      <c r="AD461" s="1" t="s">
        <v>45</v>
      </c>
      <c r="AE461" s="22">
        <f>VLOOKUP(TablaCalificaciones[[#This Row],[Diapositivas como apoyo]],PESOS!A$25:B$29,2,0)</f>
        <v>10</v>
      </c>
      <c r="AF461" s="1"/>
      <c r="AG461" s="1" t="s">
        <v>45</v>
      </c>
      <c r="AH461" s="22">
        <f>VLOOKUP(TablaCalificaciones[[#This Row],[Respuestas a preguntas]],PESOS!A$25:B$29,2,0)</f>
        <v>10</v>
      </c>
      <c r="AI461" s="1"/>
      <c r="AJ461" s="1" t="s">
        <v>45</v>
      </c>
      <c r="AK461" s="22">
        <f>VLOOKUP(TablaCalificaciones[[#This Row],[Cierre: aporte a próximos pasos]],PESOS!A$25:B$29,2,0)</f>
        <v>10</v>
      </c>
      <c r="AL461" s="1"/>
      <c r="AM461" s="1"/>
    </row>
    <row r="462" spans="1:39">
      <c r="A462">
        <v>465</v>
      </c>
      <c r="B462" s="2">
        <v>46136.456967592603</v>
      </c>
      <c r="C462" s="2">
        <v>46136.457962963003</v>
      </c>
      <c r="D462" s="1" t="s">
        <v>259</v>
      </c>
      <c r="E462" s="1" t="s">
        <v>260</v>
      </c>
      <c r="G462" s="1"/>
      <c r="H462" s="2"/>
      <c r="I462" s="1" t="s">
        <v>134</v>
      </c>
      <c r="K462" s="1"/>
      <c r="L462" s="1" t="s">
        <v>261</v>
      </c>
      <c r="M462" s="26" t="str">
        <f>CONCATENATE(TablaCalificaciones[[#This Row],[Seleccione su nombre (Evaluador)]],TablaCalificaciones[[#This Row],[Seleccione el nombre del Estudiante]])</f>
        <v>Erislán MartínezEcheverría López Aarón David</v>
      </c>
      <c r="N462" s="1"/>
      <c r="O462" s="1" t="s">
        <v>306</v>
      </c>
      <c r="Q462" s="1"/>
      <c r="R462" s="1" t="s">
        <v>44</v>
      </c>
      <c r="S462" s="22">
        <f>VLOOKUP(TablaCalificaciones[[#This Row],[Apertura: problema y objetivo ]],PESOS!A$16:B$20,2,0)</f>
        <v>20</v>
      </c>
      <c r="T462" s="1"/>
      <c r="U462" s="1" t="s">
        <v>44</v>
      </c>
      <c r="V462" s="22">
        <f>VLOOKUP(TablaCalificaciones[[#This Row],[Metodología (nivel adecuado)]],PESOS!A$16:B$20,2,0)</f>
        <v>20</v>
      </c>
      <c r="W462" s="1"/>
      <c r="X462" s="1" t="s">
        <v>44</v>
      </c>
      <c r="Y462" s="22">
        <f>VLOOKUP(TablaCalificaciones[[#This Row],[Resultados y evidencia ]],PESOS!A$16:B$20,2,0)</f>
        <v>20</v>
      </c>
      <c r="Z462" s="1"/>
      <c r="AA462" s="1" t="s">
        <v>45</v>
      </c>
      <c r="AB462" s="22">
        <f>VLOOKUP(TablaCalificaciones[[#This Row],[Coherencia y manejo del tiempo]],PESOS!A$25:B$29,2,0)</f>
        <v>10</v>
      </c>
      <c r="AC462" s="1"/>
      <c r="AD462" s="1" t="s">
        <v>45</v>
      </c>
      <c r="AE462" s="22">
        <f>VLOOKUP(TablaCalificaciones[[#This Row],[Diapositivas como apoyo]],PESOS!A$25:B$29,2,0)</f>
        <v>10</v>
      </c>
      <c r="AF462" s="1"/>
      <c r="AG462" s="1" t="s">
        <v>83</v>
      </c>
      <c r="AH462" s="22">
        <f>VLOOKUP(TablaCalificaciones[[#This Row],[Respuestas a preguntas]],PESOS!A$25:B$29,2,0)</f>
        <v>6</v>
      </c>
      <c r="AI462" s="1"/>
      <c r="AJ462" s="1" t="s">
        <v>45</v>
      </c>
      <c r="AK462" s="22">
        <f>VLOOKUP(TablaCalificaciones[[#This Row],[Cierre: aporte a próximos pasos]],PESOS!A$25:B$29,2,0)</f>
        <v>10</v>
      </c>
      <c r="AL462" s="1"/>
      <c r="AM462" s="1"/>
    </row>
    <row r="463" spans="1:39">
      <c r="A463">
        <v>466</v>
      </c>
      <c r="B463" s="2">
        <v>46136.457986111098</v>
      </c>
      <c r="C463" s="2">
        <v>46136.458981481497</v>
      </c>
      <c r="D463" s="1" t="s">
        <v>259</v>
      </c>
      <c r="E463" s="1" t="s">
        <v>260</v>
      </c>
      <c r="G463" s="1"/>
      <c r="H463" s="2"/>
      <c r="I463" s="1" t="s">
        <v>134</v>
      </c>
      <c r="K463" s="1"/>
      <c r="L463" s="1" t="s">
        <v>261</v>
      </c>
      <c r="M463" s="26" t="str">
        <f>CONCATENATE(TablaCalificaciones[[#This Row],[Seleccione su nombre (Evaluador)]],TablaCalificaciones[[#This Row],[Seleccione el nombre del Estudiante]])</f>
        <v>Erislán MartínezGuambo Heredia José Luis</v>
      </c>
      <c r="N463" s="1"/>
      <c r="O463" s="1" t="s">
        <v>307</v>
      </c>
      <c r="Q463" s="1"/>
      <c r="R463" s="1" t="s">
        <v>44</v>
      </c>
      <c r="S463" s="22">
        <f>VLOOKUP(TablaCalificaciones[[#This Row],[Apertura: problema y objetivo ]],PESOS!A$16:B$20,2,0)</f>
        <v>20</v>
      </c>
      <c r="T463" s="1"/>
      <c r="U463" s="1" t="s">
        <v>44</v>
      </c>
      <c r="V463" s="22">
        <f>VLOOKUP(TablaCalificaciones[[#This Row],[Metodología (nivel adecuado)]],PESOS!A$16:B$20,2,0)</f>
        <v>20</v>
      </c>
      <c r="W463" s="1"/>
      <c r="X463" s="1" t="s">
        <v>44</v>
      </c>
      <c r="Y463" s="22">
        <f>VLOOKUP(TablaCalificaciones[[#This Row],[Resultados y evidencia ]],PESOS!A$16:B$20,2,0)</f>
        <v>20</v>
      </c>
      <c r="Z463" s="1"/>
      <c r="AA463" s="1" t="s">
        <v>45</v>
      </c>
      <c r="AB463" s="22">
        <f>VLOOKUP(TablaCalificaciones[[#This Row],[Coherencia y manejo del tiempo]],PESOS!A$25:B$29,2,0)</f>
        <v>10</v>
      </c>
      <c r="AC463" s="1"/>
      <c r="AD463" s="1" t="s">
        <v>45</v>
      </c>
      <c r="AE463" s="22">
        <f>VLOOKUP(TablaCalificaciones[[#This Row],[Diapositivas como apoyo]],PESOS!A$25:B$29,2,0)</f>
        <v>10</v>
      </c>
      <c r="AF463" s="1"/>
      <c r="AG463" s="1" t="s">
        <v>45</v>
      </c>
      <c r="AH463" s="22">
        <f>VLOOKUP(TablaCalificaciones[[#This Row],[Respuestas a preguntas]],PESOS!A$25:B$29,2,0)</f>
        <v>10</v>
      </c>
      <c r="AI463" s="1"/>
      <c r="AJ463" s="1" t="s">
        <v>45</v>
      </c>
      <c r="AK463" s="22">
        <f>VLOOKUP(TablaCalificaciones[[#This Row],[Cierre: aporte a próximos pasos]],PESOS!A$25:B$29,2,0)</f>
        <v>10</v>
      </c>
      <c r="AL463" s="1"/>
      <c r="AM463" s="1"/>
    </row>
    <row r="464" spans="1:39">
      <c r="A464">
        <v>467</v>
      </c>
      <c r="B464" s="2">
        <v>46136.462951388901</v>
      </c>
      <c r="C464" s="2">
        <v>46136.475428240701</v>
      </c>
      <c r="D464" s="1" t="s">
        <v>59</v>
      </c>
      <c r="E464" s="1" t="s">
        <v>60</v>
      </c>
      <c r="G464" s="1"/>
      <c r="H464" s="2"/>
      <c r="I464" s="1" t="s">
        <v>134</v>
      </c>
      <c r="K464" s="1"/>
      <c r="L464" s="1" t="s">
        <v>60</v>
      </c>
      <c r="M464" s="26" t="str">
        <f>CONCATENATE(TablaCalificaciones[[#This Row],[Seleccione su nombre (Evaluador)]],TablaCalificaciones[[#This Row],[Seleccione el nombre del Estudiante]])</f>
        <v>Santiago Leonardo SolórzanoMartínez Velastegui Natalia Elizabeth</v>
      </c>
      <c r="N464" s="1"/>
      <c r="O464" s="1" t="s">
        <v>312</v>
      </c>
      <c r="Q464" s="1"/>
      <c r="R464" s="1" t="s">
        <v>44</v>
      </c>
      <c r="S464" s="22">
        <f>VLOOKUP(TablaCalificaciones[[#This Row],[Apertura: problema y objetivo ]],PESOS!A$16:B$20,2,0)</f>
        <v>20</v>
      </c>
      <c r="T464" s="1"/>
      <c r="U464" s="1" t="s">
        <v>44</v>
      </c>
      <c r="V464" s="22">
        <f>VLOOKUP(TablaCalificaciones[[#This Row],[Metodología (nivel adecuado)]],PESOS!A$16:B$20,2,0)</f>
        <v>20</v>
      </c>
      <c r="W464" s="1"/>
      <c r="X464" s="1" t="s">
        <v>44</v>
      </c>
      <c r="Y464" s="22">
        <f>VLOOKUP(TablaCalificaciones[[#This Row],[Resultados y evidencia ]],PESOS!A$16:B$20,2,0)</f>
        <v>20</v>
      </c>
      <c r="Z464" s="1"/>
      <c r="AA464" s="1" t="s">
        <v>45</v>
      </c>
      <c r="AB464" s="22">
        <f>VLOOKUP(TablaCalificaciones[[#This Row],[Coherencia y manejo del tiempo]],PESOS!A$25:B$29,2,0)</f>
        <v>10</v>
      </c>
      <c r="AC464" s="1"/>
      <c r="AD464" s="1" t="s">
        <v>45</v>
      </c>
      <c r="AE464" s="22">
        <f>VLOOKUP(TablaCalificaciones[[#This Row],[Diapositivas como apoyo]],PESOS!A$25:B$29,2,0)</f>
        <v>10</v>
      </c>
      <c r="AF464" s="1"/>
      <c r="AG464" s="1" t="s">
        <v>45</v>
      </c>
      <c r="AH464" s="22">
        <f>VLOOKUP(TablaCalificaciones[[#This Row],[Respuestas a preguntas]],PESOS!A$25:B$29,2,0)</f>
        <v>10</v>
      </c>
      <c r="AI464" s="1"/>
      <c r="AJ464" s="1" t="s">
        <v>45</v>
      </c>
      <c r="AK464" s="22">
        <f>VLOOKUP(TablaCalificaciones[[#This Row],[Cierre: aporte a próximos pasos]],PESOS!A$25:B$29,2,0)</f>
        <v>10</v>
      </c>
      <c r="AL464" s="1"/>
      <c r="AM464" s="1"/>
    </row>
    <row r="465" spans="1:39">
      <c r="A465">
        <v>468</v>
      </c>
      <c r="B465" s="2">
        <v>46136.462581018503</v>
      </c>
      <c r="C465" s="2">
        <v>46136.475462962997</v>
      </c>
      <c r="D465" s="1" t="s">
        <v>59</v>
      </c>
      <c r="E465" s="1" t="s">
        <v>60</v>
      </c>
      <c r="G465" s="1"/>
      <c r="H465" s="2"/>
      <c r="I465" s="1" t="s">
        <v>134</v>
      </c>
      <c r="K465" s="1"/>
      <c r="L465" s="1" t="s">
        <v>60</v>
      </c>
      <c r="M465" s="26" t="str">
        <f>CONCATENATE(TablaCalificaciones[[#This Row],[Seleccione su nombre (Evaluador)]],TablaCalificaciones[[#This Row],[Seleccione el nombre del Estudiante]])</f>
        <v>Santiago Leonardo SolórzanoVera Cedeño Sindy Viveka</v>
      </c>
      <c r="N465" s="1"/>
      <c r="O465" s="1" t="s">
        <v>313</v>
      </c>
      <c r="Q465" s="1"/>
      <c r="R465" s="1" t="s">
        <v>44</v>
      </c>
      <c r="S465" s="22">
        <f>VLOOKUP(TablaCalificaciones[[#This Row],[Apertura: problema y objetivo ]],PESOS!A$16:B$20,2,0)</f>
        <v>20</v>
      </c>
      <c r="T465" s="1"/>
      <c r="U465" s="1" t="s">
        <v>44</v>
      </c>
      <c r="V465" s="22">
        <f>VLOOKUP(TablaCalificaciones[[#This Row],[Metodología (nivel adecuado)]],PESOS!A$16:B$20,2,0)</f>
        <v>20</v>
      </c>
      <c r="W465" s="1"/>
      <c r="X465" s="1" t="s">
        <v>44</v>
      </c>
      <c r="Y465" s="22">
        <f>VLOOKUP(TablaCalificaciones[[#This Row],[Resultados y evidencia ]],PESOS!A$16:B$20,2,0)</f>
        <v>20</v>
      </c>
      <c r="Z465" s="1"/>
      <c r="AA465" s="1" t="s">
        <v>45</v>
      </c>
      <c r="AB465" s="22">
        <f>VLOOKUP(TablaCalificaciones[[#This Row],[Coherencia y manejo del tiempo]],PESOS!A$25:B$29,2,0)</f>
        <v>10</v>
      </c>
      <c r="AC465" s="1"/>
      <c r="AD465" s="1" t="s">
        <v>45</v>
      </c>
      <c r="AE465" s="22">
        <f>VLOOKUP(TablaCalificaciones[[#This Row],[Diapositivas como apoyo]],PESOS!A$25:B$29,2,0)</f>
        <v>10</v>
      </c>
      <c r="AF465" s="1"/>
      <c r="AG465" s="1" t="s">
        <v>45</v>
      </c>
      <c r="AH465" s="22">
        <f>VLOOKUP(TablaCalificaciones[[#This Row],[Respuestas a preguntas]],PESOS!A$25:B$29,2,0)</f>
        <v>10</v>
      </c>
      <c r="AI465" s="1"/>
      <c r="AJ465" s="1" t="s">
        <v>45</v>
      </c>
      <c r="AK465" s="22">
        <f>VLOOKUP(TablaCalificaciones[[#This Row],[Cierre: aporte a próximos pasos]],PESOS!A$25:B$29,2,0)</f>
        <v>10</v>
      </c>
      <c r="AL465" s="1"/>
      <c r="AM465" s="1"/>
    </row>
    <row r="466" spans="1:39">
      <c r="A466">
        <v>469</v>
      </c>
      <c r="B466" s="2">
        <v>46136.463263888902</v>
      </c>
      <c r="C466" s="2">
        <v>46136.475543981498</v>
      </c>
      <c r="D466" s="1" t="s">
        <v>59</v>
      </c>
      <c r="E466" s="1" t="s">
        <v>60</v>
      </c>
      <c r="G466" s="1"/>
      <c r="H466" s="2"/>
      <c r="I466" s="1" t="s">
        <v>134</v>
      </c>
      <c r="K466" s="1"/>
      <c r="L466" s="1" t="s">
        <v>60</v>
      </c>
      <c r="M466" s="26" t="str">
        <f>CONCATENATE(TablaCalificaciones[[#This Row],[Seleccione su nombre (Evaluador)]],TablaCalificaciones[[#This Row],[Seleccione el nombre del Estudiante]])</f>
        <v>Santiago Leonardo SolórzanoIbujés Flores Verónica Elizabeth</v>
      </c>
      <c r="N466" s="1"/>
      <c r="O466" s="1" t="s">
        <v>314</v>
      </c>
      <c r="Q466" s="1"/>
      <c r="R466" s="1" t="s">
        <v>44</v>
      </c>
      <c r="S466" s="22">
        <f>VLOOKUP(TablaCalificaciones[[#This Row],[Apertura: problema y objetivo ]],PESOS!A$16:B$20,2,0)</f>
        <v>20</v>
      </c>
      <c r="T466" s="1"/>
      <c r="U466" s="1" t="s">
        <v>44</v>
      </c>
      <c r="V466" s="22">
        <f>VLOOKUP(TablaCalificaciones[[#This Row],[Metodología (nivel adecuado)]],PESOS!A$16:B$20,2,0)</f>
        <v>20</v>
      </c>
      <c r="W466" s="1"/>
      <c r="X466" s="1" t="s">
        <v>44</v>
      </c>
      <c r="Y466" s="22">
        <f>VLOOKUP(TablaCalificaciones[[#This Row],[Resultados y evidencia ]],PESOS!A$16:B$20,2,0)</f>
        <v>20</v>
      </c>
      <c r="Z466" s="1"/>
      <c r="AA466" s="1" t="s">
        <v>45</v>
      </c>
      <c r="AB466" s="22">
        <f>VLOOKUP(TablaCalificaciones[[#This Row],[Coherencia y manejo del tiempo]],PESOS!A$25:B$29,2,0)</f>
        <v>10</v>
      </c>
      <c r="AC466" s="1"/>
      <c r="AD466" s="1" t="s">
        <v>45</v>
      </c>
      <c r="AE466" s="22">
        <f>VLOOKUP(TablaCalificaciones[[#This Row],[Diapositivas como apoyo]],PESOS!A$25:B$29,2,0)</f>
        <v>10</v>
      </c>
      <c r="AF466" s="1"/>
      <c r="AG466" s="1" t="s">
        <v>45</v>
      </c>
      <c r="AH466" s="22">
        <f>VLOOKUP(TablaCalificaciones[[#This Row],[Respuestas a preguntas]],PESOS!A$25:B$29,2,0)</f>
        <v>10</v>
      </c>
      <c r="AI466" s="1"/>
      <c r="AJ466" s="1" t="s">
        <v>45</v>
      </c>
      <c r="AK466" s="22">
        <f>VLOOKUP(TablaCalificaciones[[#This Row],[Cierre: aporte a próximos pasos]],PESOS!A$25:B$29,2,0)</f>
        <v>10</v>
      </c>
      <c r="AL466" s="1"/>
      <c r="AM466" s="1"/>
    </row>
    <row r="467" spans="1:39">
      <c r="A467">
        <v>470</v>
      </c>
      <c r="B467" s="2">
        <v>46136.461736111101</v>
      </c>
      <c r="C467" s="2">
        <v>46136.476597222201</v>
      </c>
      <c r="D467" s="1" t="s">
        <v>54</v>
      </c>
      <c r="E467" s="1" t="s">
        <v>55</v>
      </c>
      <c r="G467" s="1"/>
      <c r="H467" s="2"/>
      <c r="I467" s="1" t="s">
        <v>134</v>
      </c>
      <c r="K467" s="1"/>
      <c r="L467" s="1" t="s">
        <v>56</v>
      </c>
      <c r="M467" s="26" t="str">
        <f>CONCATENATE(TablaCalificaciones[[#This Row],[Seleccione su nombre (Evaluador)]],TablaCalificaciones[[#This Row],[Seleccione el nombre del Estudiante]])</f>
        <v>Marco Antonio Galarza CastilloIbujés Flores Verónica Elizabeth</v>
      </c>
      <c r="N467" s="1"/>
      <c r="O467" s="1" t="s">
        <v>314</v>
      </c>
      <c r="Q467" s="1"/>
      <c r="R467" s="1" t="s">
        <v>44</v>
      </c>
      <c r="S467" s="22">
        <f>VLOOKUP(TablaCalificaciones[[#This Row],[Apertura: problema y objetivo ]],PESOS!A$16:B$20,2,0)</f>
        <v>20</v>
      </c>
      <c r="T467" s="1"/>
      <c r="U467" s="1" t="s">
        <v>44</v>
      </c>
      <c r="V467" s="22">
        <f>VLOOKUP(TablaCalificaciones[[#This Row],[Metodología (nivel adecuado)]],PESOS!A$16:B$20,2,0)</f>
        <v>20</v>
      </c>
      <c r="W467" s="1"/>
      <c r="X467" s="1" t="s">
        <v>44</v>
      </c>
      <c r="Y467" s="22">
        <f>VLOOKUP(TablaCalificaciones[[#This Row],[Resultados y evidencia ]],PESOS!A$16:B$20,2,0)</f>
        <v>20</v>
      </c>
      <c r="Z467" s="1"/>
      <c r="AA467" s="1" t="s">
        <v>45</v>
      </c>
      <c r="AB467" s="22">
        <f>VLOOKUP(TablaCalificaciones[[#This Row],[Coherencia y manejo del tiempo]],PESOS!A$25:B$29,2,0)</f>
        <v>10</v>
      </c>
      <c r="AC467" s="1"/>
      <c r="AD467" s="1" t="s">
        <v>45</v>
      </c>
      <c r="AE467" s="22">
        <f>VLOOKUP(TablaCalificaciones[[#This Row],[Diapositivas como apoyo]],PESOS!A$25:B$29,2,0)</f>
        <v>10</v>
      </c>
      <c r="AF467" s="1"/>
      <c r="AG467" s="1" t="s">
        <v>45</v>
      </c>
      <c r="AH467" s="22">
        <f>VLOOKUP(TablaCalificaciones[[#This Row],[Respuestas a preguntas]],PESOS!A$25:B$29,2,0)</f>
        <v>10</v>
      </c>
      <c r="AI467" s="1"/>
      <c r="AJ467" s="1" t="s">
        <v>45</v>
      </c>
      <c r="AK467" s="22">
        <f>VLOOKUP(TablaCalificaciones[[#This Row],[Cierre: aporte a próximos pasos]],PESOS!A$25:B$29,2,0)</f>
        <v>10</v>
      </c>
      <c r="AL467" s="1"/>
      <c r="AM467" s="1"/>
    </row>
    <row r="468" spans="1:39">
      <c r="A468">
        <v>471</v>
      </c>
      <c r="B468" s="2">
        <v>46136.4766087963</v>
      </c>
      <c r="C468" s="2">
        <v>46136.477164351803</v>
      </c>
      <c r="D468" s="1" t="s">
        <v>54</v>
      </c>
      <c r="E468" s="1" t="s">
        <v>55</v>
      </c>
      <c r="G468" s="1"/>
      <c r="H468" s="2"/>
      <c r="I468" s="1" t="s">
        <v>134</v>
      </c>
      <c r="K468" s="1"/>
      <c r="L468" s="1" t="s">
        <v>56</v>
      </c>
      <c r="M468" s="26" t="str">
        <f>CONCATENATE(TablaCalificaciones[[#This Row],[Seleccione su nombre (Evaluador)]],TablaCalificaciones[[#This Row],[Seleccione el nombre del Estudiante]])</f>
        <v>Marco Antonio Galarza CastilloMartínez Velastegui Natalia Elizabeth</v>
      </c>
      <c r="N468" s="1"/>
      <c r="O468" s="1" t="s">
        <v>312</v>
      </c>
      <c r="Q468" s="1"/>
      <c r="R468" s="1" t="s">
        <v>44</v>
      </c>
      <c r="S468" s="22">
        <f>VLOOKUP(TablaCalificaciones[[#This Row],[Apertura: problema y objetivo ]],PESOS!A$16:B$20,2,0)</f>
        <v>20</v>
      </c>
      <c r="T468" s="1"/>
      <c r="U468" s="1" t="s">
        <v>44</v>
      </c>
      <c r="V468" s="22">
        <f>VLOOKUP(TablaCalificaciones[[#This Row],[Metodología (nivel adecuado)]],PESOS!A$16:B$20,2,0)</f>
        <v>20</v>
      </c>
      <c r="W468" s="1"/>
      <c r="X468" s="1" t="s">
        <v>44</v>
      </c>
      <c r="Y468" s="22">
        <f>VLOOKUP(TablaCalificaciones[[#This Row],[Resultados y evidencia ]],PESOS!A$16:B$20,2,0)</f>
        <v>20</v>
      </c>
      <c r="Z468" s="1"/>
      <c r="AA468" s="1" t="s">
        <v>45</v>
      </c>
      <c r="AB468" s="22">
        <f>VLOOKUP(TablaCalificaciones[[#This Row],[Coherencia y manejo del tiempo]],PESOS!A$25:B$29,2,0)</f>
        <v>10</v>
      </c>
      <c r="AC468" s="1"/>
      <c r="AD468" s="1" t="s">
        <v>45</v>
      </c>
      <c r="AE468" s="22">
        <f>VLOOKUP(TablaCalificaciones[[#This Row],[Diapositivas como apoyo]],PESOS!A$25:B$29,2,0)</f>
        <v>10</v>
      </c>
      <c r="AF468" s="1"/>
      <c r="AG468" s="1" t="s">
        <v>51</v>
      </c>
      <c r="AH468" s="22">
        <f>VLOOKUP(TablaCalificaciones[[#This Row],[Respuestas a preguntas]],PESOS!A$25:B$29,2,0)</f>
        <v>8</v>
      </c>
      <c r="AI468" s="1"/>
      <c r="AJ468" s="1" t="s">
        <v>45</v>
      </c>
      <c r="AK468" s="22">
        <f>VLOOKUP(TablaCalificaciones[[#This Row],[Cierre: aporte a próximos pasos]],PESOS!A$25:B$29,2,0)</f>
        <v>10</v>
      </c>
      <c r="AL468" s="1"/>
      <c r="AM468" s="1"/>
    </row>
    <row r="469" spans="1:39">
      <c r="A469">
        <v>472</v>
      </c>
      <c r="B469" s="2">
        <v>46136.477175925902</v>
      </c>
      <c r="C469" s="2">
        <v>46136.477557870399</v>
      </c>
      <c r="D469" s="1" t="s">
        <v>54</v>
      </c>
      <c r="E469" s="1" t="s">
        <v>55</v>
      </c>
      <c r="G469" s="1"/>
      <c r="H469" s="2"/>
      <c r="I469" s="1" t="s">
        <v>134</v>
      </c>
      <c r="K469" s="1"/>
      <c r="L469" s="1" t="s">
        <v>56</v>
      </c>
      <c r="M469" s="26" t="str">
        <f>CONCATENATE(TablaCalificaciones[[#This Row],[Seleccione su nombre (Evaluador)]],TablaCalificaciones[[#This Row],[Seleccione el nombre del Estudiante]])</f>
        <v>Marco Antonio Galarza CastilloVera Cedeño Sindy Viveka</v>
      </c>
      <c r="N469" s="1"/>
      <c r="O469" s="1" t="s">
        <v>313</v>
      </c>
      <c r="Q469" s="1"/>
      <c r="R469" s="1" t="s">
        <v>44</v>
      </c>
      <c r="S469" s="22">
        <f>VLOOKUP(TablaCalificaciones[[#This Row],[Apertura: problema y objetivo ]],PESOS!A$16:B$20,2,0)</f>
        <v>20</v>
      </c>
      <c r="T469" s="1"/>
      <c r="U469" s="1" t="s">
        <v>44</v>
      </c>
      <c r="V469" s="22">
        <f>VLOOKUP(TablaCalificaciones[[#This Row],[Metodología (nivel adecuado)]],PESOS!A$16:B$20,2,0)</f>
        <v>20</v>
      </c>
      <c r="W469" s="1"/>
      <c r="X469" s="1" t="s">
        <v>44</v>
      </c>
      <c r="Y469" s="22">
        <f>VLOOKUP(TablaCalificaciones[[#This Row],[Resultados y evidencia ]],PESOS!A$16:B$20,2,0)</f>
        <v>20</v>
      </c>
      <c r="Z469" s="1"/>
      <c r="AA469" s="1" t="s">
        <v>45</v>
      </c>
      <c r="AB469" s="22">
        <f>VLOOKUP(TablaCalificaciones[[#This Row],[Coherencia y manejo del tiempo]],PESOS!A$25:B$29,2,0)</f>
        <v>10</v>
      </c>
      <c r="AC469" s="1"/>
      <c r="AD469" s="1" t="s">
        <v>45</v>
      </c>
      <c r="AE469" s="22">
        <f>VLOOKUP(TablaCalificaciones[[#This Row],[Diapositivas como apoyo]],PESOS!A$25:B$29,2,0)</f>
        <v>10</v>
      </c>
      <c r="AF469" s="1"/>
      <c r="AG469" s="1" t="s">
        <v>51</v>
      </c>
      <c r="AH469" s="22">
        <f>VLOOKUP(TablaCalificaciones[[#This Row],[Respuestas a preguntas]],PESOS!A$25:B$29,2,0)</f>
        <v>8</v>
      </c>
      <c r="AI469" s="1"/>
      <c r="AJ469" s="1" t="s">
        <v>45</v>
      </c>
      <c r="AK469" s="22">
        <f>VLOOKUP(TablaCalificaciones[[#This Row],[Cierre: aporte a próximos pasos]],PESOS!A$25:B$29,2,0)</f>
        <v>10</v>
      </c>
      <c r="AL469" s="1"/>
      <c r="AM469" s="1"/>
    </row>
    <row r="470" spans="1:39">
      <c r="A470">
        <v>473</v>
      </c>
      <c r="B470" s="2">
        <v>46136.477581018502</v>
      </c>
      <c r="C470" s="2">
        <v>46136.497511574104</v>
      </c>
      <c r="D470" s="1" t="s">
        <v>54</v>
      </c>
      <c r="E470" s="1" t="s">
        <v>55</v>
      </c>
      <c r="G470" s="1"/>
      <c r="H470" s="2"/>
      <c r="I470" s="1" t="s">
        <v>134</v>
      </c>
      <c r="K470" s="1"/>
      <c r="L470" s="1" t="s">
        <v>56</v>
      </c>
      <c r="M470" s="26" t="str">
        <f>CONCATENATE(TablaCalificaciones[[#This Row],[Seleccione su nombre (Evaluador)]],TablaCalificaciones[[#This Row],[Seleccione el nombre del Estudiante]])</f>
        <v>Marco Antonio Galarza CastilloGallegos Cadena Vanessa Nicole</v>
      </c>
      <c r="N470" s="1"/>
      <c r="O470" s="1" t="s">
        <v>315</v>
      </c>
      <c r="Q470" s="1"/>
      <c r="R470" s="1" t="s">
        <v>44</v>
      </c>
      <c r="S470" s="22">
        <f>VLOOKUP(TablaCalificaciones[[#This Row],[Apertura: problema y objetivo ]],PESOS!A$16:B$20,2,0)</f>
        <v>20</v>
      </c>
      <c r="T470" s="1"/>
      <c r="U470" s="1" t="s">
        <v>44</v>
      </c>
      <c r="V470" s="22">
        <f>VLOOKUP(TablaCalificaciones[[#This Row],[Metodología (nivel adecuado)]],PESOS!A$16:B$20,2,0)</f>
        <v>20</v>
      </c>
      <c r="W470" s="1"/>
      <c r="X470" s="1" t="s">
        <v>44</v>
      </c>
      <c r="Y470" s="22">
        <f>VLOOKUP(TablaCalificaciones[[#This Row],[Resultados y evidencia ]],PESOS!A$16:B$20,2,0)</f>
        <v>20</v>
      </c>
      <c r="Z470" s="1"/>
      <c r="AA470" s="1" t="s">
        <v>45</v>
      </c>
      <c r="AB470" s="22">
        <f>VLOOKUP(TablaCalificaciones[[#This Row],[Coherencia y manejo del tiempo]],PESOS!A$25:B$29,2,0)</f>
        <v>10</v>
      </c>
      <c r="AC470" s="1"/>
      <c r="AD470" s="1" t="s">
        <v>45</v>
      </c>
      <c r="AE470" s="22">
        <f>VLOOKUP(TablaCalificaciones[[#This Row],[Diapositivas como apoyo]],PESOS!A$25:B$29,2,0)</f>
        <v>10</v>
      </c>
      <c r="AF470" s="1"/>
      <c r="AG470" s="1" t="s">
        <v>45</v>
      </c>
      <c r="AH470" s="22">
        <f>VLOOKUP(TablaCalificaciones[[#This Row],[Respuestas a preguntas]],PESOS!A$25:B$29,2,0)</f>
        <v>10</v>
      </c>
      <c r="AI470" s="1"/>
      <c r="AJ470" s="1" t="s">
        <v>45</v>
      </c>
      <c r="AK470" s="22">
        <f>VLOOKUP(TablaCalificaciones[[#This Row],[Cierre: aporte a próximos pasos]],PESOS!A$25:B$29,2,0)</f>
        <v>10</v>
      </c>
      <c r="AL470" s="1"/>
      <c r="AM470" s="1"/>
    </row>
    <row r="471" spans="1:39">
      <c r="A471">
        <v>474</v>
      </c>
      <c r="B471" s="2">
        <v>46136.497523148202</v>
      </c>
      <c r="C471" s="2">
        <v>46136.4978819444</v>
      </c>
      <c r="D471" s="1" t="s">
        <v>54</v>
      </c>
      <c r="E471" s="1" t="s">
        <v>55</v>
      </c>
      <c r="G471" s="1"/>
      <c r="H471" s="2"/>
      <c r="I471" s="1" t="s">
        <v>134</v>
      </c>
      <c r="K471" s="1"/>
      <c r="L471" s="1" t="s">
        <v>56</v>
      </c>
      <c r="M471" s="26" t="str">
        <f>CONCATENATE(TablaCalificaciones[[#This Row],[Seleccione su nombre (Evaluador)]],TablaCalificaciones[[#This Row],[Seleccione el nombre del Estudiante]])</f>
        <v>Marco Antonio Galarza CastilloMéndez Valencia Danilo Francisco</v>
      </c>
      <c r="N471" s="1"/>
      <c r="O471" s="1" t="s">
        <v>316</v>
      </c>
      <c r="Q471" s="1"/>
      <c r="R471" s="1" t="s">
        <v>44</v>
      </c>
      <c r="S471" s="22">
        <f>VLOOKUP(TablaCalificaciones[[#This Row],[Apertura: problema y objetivo ]],PESOS!A$16:B$20,2,0)</f>
        <v>20</v>
      </c>
      <c r="T471" s="1"/>
      <c r="U471" s="1" t="s">
        <v>44</v>
      </c>
      <c r="V471" s="22">
        <f>VLOOKUP(TablaCalificaciones[[#This Row],[Metodología (nivel adecuado)]],PESOS!A$16:B$20,2,0)</f>
        <v>20</v>
      </c>
      <c r="W471" s="1"/>
      <c r="X471" s="1" t="s">
        <v>44</v>
      </c>
      <c r="Y471" s="22">
        <f>VLOOKUP(TablaCalificaciones[[#This Row],[Resultados y evidencia ]],PESOS!A$16:B$20,2,0)</f>
        <v>20</v>
      </c>
      <c r="Z471" s="1"/>
      <c r="AA471" s="1" t="s">
        <v>45</v>
      </c>
      <c r="AB471" s="22">
        <f>VLOOKUP(TablaCalificaciones[[#This Row],[Coherencia y manejo del tiempo]],PESOS!A$25:B$29,2,0)</f>
        <v>10</v>
      </c>
      <c r="AC471" s="1"/>
      <c r="AD471" s="1" t="s">
        <v>45</v>
      </c>
      <c r="AE471" s="22">
        <f>VLOOKUP(TablaCalificaciones[[#This Row],[Diapositivas como apoyo]],PESOS!A$25:B$29,2,0)</f>
        <v>10</v>
      </c>
      <c r="AF471" s="1"/>
      <c r="AG471" s="1" t="s">
        <v>45</v>
      </c>
      <c r="AH471" s="22">
        <f>VLOOKUP(TablaCalificaciones[[#This Row],[Respuestas a preguntas]],PESOS!A$25:B$29,2,0)</f>
        <v>10</v>
      </c>
      <c r="AI471" s="1"/>
      <c r="AJ471" s="1" t="s">
        <v>45</v>
      </c>
      <c r="AK471" s="22">
        <f>VLOOKUP(TablaCalificaciones[[#This Row],[Cierre: aporte a próximos pasos]],PESOS!A$25:B$29,2,0)</f>
        <v>10</v>
      </c>
      <c r="AL471" s="1"/>
      <c r="AM471" s="1"/>
    </row>
    <row r="472" spans="1:39">
      <c r="A472">
        <v>475</v>
      </c>
      <c r="B472" s="2">
        <v>46136.480914351901</v>
      </c>
      <c r="C472" s="2">
        <v>46136.498055555603</v>
      </c>
      <c r="D472" s="1" t="s">
        <v>59</v>
      </c>
      <c r="E472" s="1" t="s">
        <v>60</v>
      </c>
      <c r="G472" s="1"/>
      <c r="H472" s="2"/>
      <c r="I472" s="1" t="s">
        <v>134</v>
      </c>
      <c r="K472" s="1"/>
      <c r="L472" s="1" t="s">
        <v>60</v>
      </c>
      <c r="M472" s="26" t="str">
        <f>CONCATENATE(TablaCalificaciones[[#This Row],[Seleccione su nombre (Evaluador)]],TablaCalificaciones[[#This Row],[Seleccione el nombre del Estudiante]])</f>
        <v>Santiago Leonardo SolórzanoGallegos Cadena Vanessa Nicole</v>
      </c>
      <c r="N472" s="1"/>
      <c r="O472" s="1" t="s">
        <v>315</v>
      </c>
      <c r="Q472" s="1"/>
      <c r="R472" s="1" t="s">
        <v>44</v>
      </c>
      <c r="S472" s="22">
        <f>VLOOKUP(TablaCalificaciones[[#This Row],[Apertura: problema y objetivo ]],PESOS!A$16:B$20,2,0)</f>
        <v>20</v>
      </c>
      <c r="T472" s="1"/>
      <c r="U472" s="1" t="s">
        <v>44</v>
      </c>
      <c r="V472" s="22">
        <f>VLOOKUP(TablaCalificaciones[[#This Row],[Metodología (nivel adecuado)]],PESOS!A$16:B$20,2,0)</f>
        <v>20</v>
      </c>
      <c r="W472" s="1"/>
      <c r="X472" s="1" t="s">
        <v>44</v>
      </c>
      <c r="Y472" s="22">
        <f>VLOOKUP(TablaCalificaciones[[#This Row],[Resultados y evidencia ]],PESOS!A$16:B$20,2,0)</f>
        <v>20</v>
      </c>
      <c r="Z472" s="1"/>
      <c r="AA472" s="1" t="s">
        <v>45</v>
      </c>
      <c r="AB472" s="22">
        <f>VLOOKUP(TablaCalificaciones[[#This Row],[Coherencia y manejo del tiempo]],PESOS!A$25:B$29,2,0)</f>
        <v>10</v>
      </c>
      <c r="AC472" s="1"/>
      <c r="AD472" s="1" t="s">
        <v>45</v>
      </c>
      <c r="AE472" s="22">
        <f>VLOOKUP(TablaCalificaciones[[#This Row],[Diapositivas como apoyo]],PESOS!A$25:B$29,2,0)</f>
        <v>10</v>
      </c>
      <c r="AF472" s="1"/>
      <c r="AG472" s="1" t="s">
        <v>51</v>
      </c>
      <c r="AH472" s="22">
        <f>VLOOKUP(TablaCalificaciones[[#This Row],[Respuestas a preguntas]],PESOS!A$25:B$29,2,0)</f>
        <v>8</v>
      </c>
      <c r="AI472" s="1"/>
      <c r="AJ472" s="1" t="s">
        <v>45</v>
      </c>
      <c r="AK472" s="22">
        <f>VLOOKUP(TablaCalificaciones[[#This Row],[Cierre: aporte a próximos pasos]],PESOS!A$25:B$29,2,0)</f>
        <v>10</v>
      </c>
      <c r="AL472" s="1"/>
      <c r="AM472" s="1"/>
    </row>
    <row r="473" spans="1:39">
      <c r="A473">
        <v>476</v>
      </c>
      <c r="B473" s="2">
        <v>46136.481701388897</v>
      </c>
      <c r="C473" s="2">
        <v>46136.498368055603</v>
      </c>
      <c r="D473" s="1" t="s">
        <v>59</v>
      </c>
      <c r="E473" s="1" t="s">
        <v>60</v>
      </c>
      <c r="G473" s="1"/>
      <c r="H473" s="2"/>
      <c r="I473" s="1" t="s">
        <v>134</v>
      </c>
      <c r="K473" s="1"/>
      <c r="L473" s="1" t="s">
        <v>60</v>
      </c>
      <c r="M473" s="26" t="str">
        <f>CONCATENATE(TablaCalificaciones[[#This Row],[Seleccione su nombre (Evaluador)]],TablaCalificaciones[[#This Row],[Seleccione el nombre del Estudiante]])</f>
        <v>Santiago Leonardo SolórzanoMéndez Valencia Danilo Francisco</v>
      </c>
      <c r="N473" s="1"/>
      <c r="O473" s="1" t="s">
        <v>316</v>
      </c>
      <c r="Q473" s="1"/>
      <c r="R473" s="1" t="s">
        <v>44</v>
      </c>
      <c r="S473" s="22">
        <f>VLOOKUP(TablaCalificaciones[[#This Row],[Apertura: problema y objetivo ]],PESOS!A$16:B$20,2,0)</f>
        <v>20</v>
      </c>
      <c r="T473" s="1"/>
      <c r="U473" s="1" t="s">
        <v>44</v>
      </c>
      <c r="V473" s="22">
        <f>VLOOKUP(TablaCalificaciones[[#This Row],[Metodología (nivel adecuado)]],PESOS!A$16:B$20,2,0)</f>
        <v>20</v>
      </c>
      <c r="W473" s="1"/>
      <c r="X473" s="1" t="s">
        <v>44</v>
      </c>
      <c r="Y473" s="22">
        <f>VLOOKUP(TablaCalificaciones[[#This Row],[Resultados y evidencia ]],PESOS!A$16:B$20,2,0)</f>
        <v>20</v>
      </c>
      <c r="Z473" s="1"/>
      <c r="AA473" s="1" t="s">
        <v>45</v>
      </c>
      <c r="AB473" s="22">
        <f>VLOOKUP(TablaCalificaciones[[#This Row],[Coherencia y manejo del tiempo]],PESOS!A$25:B$29,2,0)</f>
        <v>10</v>
      </c>
      <c r="AC473" s="1"/>
      <c r="AD473" s="1" t="s">
        <v>45</v>
      </c>
      <c r="AE473" s="22">
        <f>VLOOKUP(TablaCalificaciones[[#This Row],[Diapositivas como apoyo]],PESOS!A$25:B$29,2,0)</f>
        <v>10</v>
      </c>
      <c r="AF473" s="1"/>
      <c r="AG473" s="1" t="s">
        <v>51</v>
      </c>
      <c r="AH473" s="22">
        <f>VLOOKUP(TablaCalificaciones[[#This Row],[Respuestas a preguntas]],PESOS!A$25:B$29,2,0)</f>
        <v>8</v>
      </c>
      <c r="AI473" s="1"/>
      <c r="AJ473" s="1" t="s">
        <v>45</v>
      </c>
      <c r="AK473" s="22">
        <f>VLOOKUP(TablaCalificaciones[[#This Row],[Cierre: aporte a próximos pasos]],PESOS!A$25:B$29,2,0)</f>
        <v>10</v>
      </c>
      <c r="AL473" s="1"/>
      <c r="AM473" s="1"/>
    </row>
    <row r="474" spans="1:39">
      <c r="A474">
        <v>477</v>
      </c>
      <c r="B474" s="2">
        <v>46136.486192129603</v>
      </c>
      <c r="C474" s="2">
        <v>46136.498391203699</v>
      </c>
      <c r="D474" s="1" t="s">
        <v>90</v>
      </c>
      <c r="E474" s="1" t="s">
        <v>91</v>
      </c>
      <c r="G474" s="1"/>
      <c r="H474" s="2"/>
      <c r="I474" s="1" t="s">
        <v>134</v>
      </c>
      <c r="K474" s="1"/>
      <c r="L474" s="1" t="s">
        <v>91</v>
      </c>
      <c r="M474" s="26" t="str">
        <f>CONCATENATE(TablaCalificaciones[[#This Row],[Seleccione su nombre (Evaluador)]],TablaCalificaciones[[#This Row],[Seleccione el nombre del Estudiante]])</f>
        <v>Jessica Maria Guevara ZambranoGallegos Cadena Vanessa Nicole</v>
      </c>
      <c r="N474" s="1"/>
      <c r="O474" s="1" t="s">
        <v>315</v>
      </c>
      <c r="Q474" s="1"/>
      <c r="R474" s="1" t="s">
        <v>44</v>
      </c>
      <c r="S474" s="22">
        <f>VLOOKUP(TablaCalificaciones[[#This Row],[Apertura: problema y objetivo ]],PESOS!A$16:B$20,2,0)</f>
        <v>20</v>
      </c>
      <c r="T474" s="1"/>
      <c r="U474" s="1" t="s">
        <v>44</v>
      </c>
      <c r="V474" s="22">
        <f>VLOOKUP(TablaCalificaciones[[#This Row],[Metodología (nivel adecuado)]],PESOS!A$16:B$20,2,0)</f>
        <v>20</v>
      </c>
      <c r="W474" s="1"/>
      <c r="X474" s="1" t="s">
        <v>44</v>
      </c>
      <c r="Y474" s="22">
        <f>VLOOKUP(TablaCalificaciones[[#This Row],[Resultados y evidencia ]],PESOS!A$16:B$20,2,0)</f>
        <v>20</v>
      </c>
      <c r="Z474" s="1"/>
      <c r="AA474" s="1" t="s">
        <v>45</v>
      </c>
      <c r="AB474" s="22">
        <f>VLOOKUP(TablaCalificaciones[[#This Row],[Coherencia y manejo del tiempo]],PESOS!A$25:B$29,2,0)</f>
        <v>10</v>
      </c>
      <c r="AC474" s="1"/>
      <c r="AD474" s="1" t="s">
        <v>45</v>
      </c>
      <c r="AE474" s="22">
        <f>VLOOKUP(TablaCalificaciones[[#This Row],[Diapositivas como apoyo]],PESOS!A$25:B$29,2,0)</f>
        <v>10</v>
      </c>
      <c r="AF474" s="1"/>
      <c r="AG474" s="1" t="s">
        <v>45</v>
      </c>
      <c r="AH474" s="22">
        <f>VLOOKUP(TablaCalificaciones[[#This Row],[Respuestas a preguntas]],PESOS!A$25:B$29,2,0)</f>
        <v>10</v>
      </c>
      <c r="AI474" s="1"/>
      <c r="AJ474" s="1" t="s">
        <v>45</v>
      </c>
      <c r="AK474" s="22">
        <f>VLOOKUP(TablaCalificaciones[[#This Row],[Cierre: aporte a próximos pasos]],PESOS!A$25:B$29,2,0)</f>
        <v>10</v>
      </c>
      <c r="AL474" s="1"/>
      <c r="AM474" s="1"/>
    </row>
    <row r="475" spans="1:39">
      <c r="A475">
        <v>478</v>
      </c>
      <c r="B475" s="2">
        <v>46136.498449074097</v>
      </c>
      <c r="C475" s="2">
        <v>46136.4991898148</v>
      </c>
      <c r="D475" s="1" t="s">
        <v>90</v>
      </c>
      <c r="E475" s="1" t="s">
        <v>91</v>
      </c>
      <c r="G475" s="1"/>
      <c r="H475" s="2"/>
      <c r="I475" s="1" t="s">
        <v>134</v>
      </c>
      <c r="K475" s="1"/>
      <c r="L475" s="1" t="s">
        <v>91</v>
      </c>
      <c r="M475" s="26" t="str">
        <f>CONCATENATE(TablaCalificaciones[[#This Row],[Seleccione su nombre (Evaluador)]],TablaCalificaciones[[#This Row],[Seleccione el nombre del Estudiante]])</f>
        <v>Jessica Maria Guevara ZambranoMéndez Valencia Danilo Francisco</v>
      </c>
      <c r="N475" s="1"/>
      <c r="O475" s="1" t="s">
        <v>316</v>
      </c>
      <c r="Q475" s="1"/>
      <c r="R475" s="1" t="s">
        <v>44</v>
      </c>
      <c r="S475" s="22">
        <f>VLOOKUP(TablaCalificaciones[[#This Row],[Apertura: problema y objetivo ]],PESOS!A$16:B$20,2,0)</f>
        <v>20</v>
      </c>
      <c r="T475" s="1"/>
      <c r="U475" s="1" t="s">
        <v>44</v>
      </c>
      <c r="V475" s="22">
        <f>VLOOKUP(TablaCalificaciones[[#This Row],[Metodología (nivel adecuado)]],PESOS!A$16:B$20,2,0)</f>
        <v>20</v>
      </c>
      <c r="W475" s="1"/>
      <c r="X475" s="1" t="s">
        <v>44</v>
      </c>
      <c r="Y475" s="22">
        <f>VLOOKUP(TablaCalificaciones[[#This Row],[Resultados y evidencia ]],PESOS!A$16:B$20,2,0)</f>
        <v>20</v>
      </c>
      <c r="Z475" s="1"/>
      <c r="AA475" s="1" t="s">
        <v>45</v>
      </c>
      <c r="AB475" s="22">
        <f>VLOOKUP(TablaCalificaciones[[#This Row],[Coherencia y manejo del tiempo]],PESOS!A$25:B$29,2,0)</f>
        <v>10</v>
      </c>
      <c r="AC475" s="1"/>
      <c r="AD475" s="1" t="s">
        <v>45</v>
      </c>
      <c r="AE475" s="22">
        <f>VLOOKUP(TablaCalificaciones[[#This Row],[Diapositivas como apoyo]],PESOS!A$25:B$29,2,0)</f>
        <v>10</v>
      </c>
      <c r="AF475" s="1"/>
      <c r="AG475" s="1" t="s">
        <v>45</v>
      </c>
      <c r="AH475" s="22">
        <f>VLOOKUP(TablaCalificaciones[[#This Row],[Respuestas a preguntas]],PESOS!A$25:B$29,2,0)</f>
        <v>10</v>
      </c>
      <c r="AI475" s="1"/>
      <c r="AJ475" s="1" t="s">
        <v>45</v>
      </c>
      <c r="AK475" s="22">
        <f>VLOOKUP(TablaCalificaciones[[#This Row],[Cierre: aporte a próximos pasos]],PESOS!A$25:B$29,2,0)</f>
        <v>10</v>
      </c>
      <c r="AL475" s="1"/>
      <c r="AM475" s="1"/>
    </row>
    <row r="476" spans="1:39">
      <c r="A476">
        <v>479</v>
      </c>
      <c r="B476" s="2">
        <v>46136.499074074098</v>
      </c>
      <c r="C476" s="2">
        <v>46136.512974537</v>
      </c>
      <c r="D476" s="1" t="s">
        <v>103</v>
      </c>
      <c r="E476" s="1" t="s">
        <v>104</v>
      </c>
      <c r="G476" s="1"/>
      <c r="H476" s="2"/>
      <c r="I476" s="1" t="s">
        <v>134</v>
      </c>
      <c r="K476" s="1"/>
      <c r="L476" s="1" t="s">
        <v>56</v>
      </c>
      <c r="M476" s="26" t="str">
        <f>CONCATENATE(TablaCalificaciones[[#This Row],[Seleccione su nombre (Evaluador)]],TablaCalificaciones[[#This Row],[Seleccione el nombre del Estudiante]])</f>
        <v>Marco Antonio Galarza CastilloEndara Revelo Andrés Giovanni</v>
      </c>
      <c r="N476" s="1"/>
      <c r="O476" s="1" t="s">
        <v>317</v>
      </c>
      <c r="Q476" s="1"/>
      <c r="R476" s="1" t="s">
        <v>44</v>
      </c>
      <c r="S476" s="22">
        <f>VLOOKUP(TablaCalificaciones[[#This Row],[Apertura: problema y objetivo ]],PESOS!A$16:B$20,2,0)</f>
        <v>20</v>
      </c>
      <c r="T476" s="1"/>
      <c r="U476" s="1" t="s">
        <v>50</v>
      </c>
      <c r="V476" s="22">
        <f>VLOOKUP(TablaCalificaciones[[#This Row],[Metodología (nivel adecuado)]],PESOS!A$16:B$20,2,0)</f>
        <v>16</v>
      </c>
      <c r="W476" s="1"/>
      <c r="X476" s="1" t="s">
        <v>50</v>
      </c>
      <c r="Y476" s="22">
        <f>VLOOKUP(TablaCalificaciones[[#This Row],[Resultados y evidencia ]],PESOS!A$16:B$20,2,0)</f>
        <v>16</v>
      </c>
      <c r="Z476" s="1"/>
      <c r="AA476" s="1" t="s">
        <v>45</v>
      </c>
      <c r="AB476" s="22">
        <f>VLOOKUP(TablaCalificaciones[[#This Row],[Coherencia y manejo del tiempo]],PESOS!A$25:B$29,2,0)</f>
        <v>10</v>
      </c>
      <c r="AC476" s="1"/>
      <c r="AD476" s="1" t="s">
        <v>45</v>
      </c>
      <c r="AE476" s="22">
        <f>VLOOKUP(TablaCalificaciones[[#This Row],[Diapositivas como apoyo]],PESOS!A$25:B$29,2,0)</f>
        <v>10</v>
      </c>
      <c r="AF476" s="1"/>
      <c r="AG476" s="1" t="s">
        <v>51</v>
      </c>
      <c r="AH476" s="22">
        <f>VLOOKUP(TablaCalificaciones[[#This Row],[Respuestas a preguntas]],PESOS!A$25:B$29,2,0)</f>
        <v>8</v>
      </c>
      <c r="AI476" s="1"/>
      <c r="AJ476" s="1" t="s">
        <v>45</v>
      </c>
      <c r="AK476" s="22">
        <f>VLOOKUP(TablaCalificaciones[[#This Row],[Cierre: aporte a próximos pasos]],PESOS!A$25:B$29,2,0)</f>
        <v>10</v>
      </c>
      <c r="AL476" s="1"/>
      <c r="AM476" s="1"/>
    </row>
    <row r="477" spans="1:39">
      <c r="A477">
        <v>480</v>
      </c>
      <c r="B477" s="2">
        <v>46136.512997685197</v>
      </c>
      <c r="C477" s="2">
        <v>46136.513541666704</v>
      </c>
      <c r="D477" s="1" t="s">
        <v>103</v>
      </c>
      <c r="E477" s="1" t="s">
        <v>104</v>
      </c>
      <c r="G477" s="1"/>
      <c r="H477" s="2"/>
      <c r="I477" s="1" t="s">
        <v>134</v>
      </c>
      <c r="K477" s="1"/>
      <c r="L477" s="1" t="s">
        <v>56</v>
      </c>
      <c r="M477" s="26" t="str">
        <f>CONCATENATE(TablaCalificaciones[[#This Row],[Seleccione su nombre (Evaluador)]],TablaCalificaciones[[#This Row],[Seleccione el nombre del Estudiante]])</f>
        <v>Marco Antonio Galarza CastilloFreire Amores Carol Maite</v>
      </c>
      <c r="N477" s="1"/>
      <c r="O477" s="1" t="s">
        <v>318</v>
      </c>
      <c r="Q477" s="1"/>
      <c r="R477" s="1" t="s">
        <v>50</v>
      </c>
      <c r="S477" s="22">
        <f>VLOOKUP(TablaCalificaciones[[#This Row],[Apertura: problema y objetivo ]],PESOS!A$16:B$20,2,0)</f>
        <v>16</v>
      </c>
      <c r="T477" s="1"/>
      <c r="U477" s="1" t="s">
        <v>50</v>
      </c>
      <c r="V477" s="22">
        <f>VLOOKUP(TablaCalificaciones[[#This Row],[Metodología (nivel adecuado)]],PESOS!A$16:B$20,2,0)</f>
        <v>16</v>
      </c>
      <c r="W477" s="1"/>
      <c r="X477" s="1" t="s">
        <v>50</v>
      </c>
      <c r="Y477" s="22">
        <f>VLOOKUP(TablaCalificaciones[[#This Row],[Resultados y evidencia ]],PESOS!A$16:B$20,2,0)</f>
        <v>16</v>
      </c>
      <c r="Z477" s="1"/>
      <c r="AA477" s="1" t="s">
        <v>45</v>
      </c>
      <c r="AB477" s="22">
        <f>VLOOKUP(TablaCalificaciones[[#This Row],[Coherencia y manejo del tiempo]],PESOS!A$25:B$29,2,0)</f>
        <v>10</v>
      </c>
      <c r="AC477" s="1"/>
      <c r="AD477" s="1" t="s">
        <v>45</v>
      </c>
      <c r="AE477" s="22">
        <f>VLOOKUP(TablaCalificaciones[[#This Row],[Diapositivas como apoyo]],PESOS!A$25:B$29,2,0)</f>
        <v>10</v>
      </c>
      <c r="AF477" s="1"/>
      <c r="AG477" s="1" t="s">
        <v>51</v>
      </c>
      <c r="AH477" s="22">
        <f>VLOOKUP(TablaCalificaciones[[#This Row],[Respuestas a preguntas]],PESOS!A$25:B$29,2,0)</f>
        <v>8</v>
      </c>
      <c r="AI477" s="1"/>
      <c r="AJ477" s="1" t="s">
        <v>45</v>
      </c>
      <c r="AK477" s="22">
        <f>VLOOKUP(TablaCalificaciones[[#This Row],[Cierre: aporte a próximos pasos]],PESOS!A$25:B$29,2,0)</f>
        <v>10</v>
      </c>
      <c r="AL477" s="1"/>
      <c r="AM477" s="1"/>
    </row>
    <row r="478" spans="1:39">
      <c r="A478">
        <v>481</v>
      </c>
      <c r="B478" s="2">
        <v>46136.500428240703</v>
      </c>
      <c r="C478" s="2">
        <v>46136.517615740697</v>
      </c>
      <c r="D478" s="1" t="s">
        <v>59</v>
      </c>
      <c r="E478" s="1" t="s">
        <v>60</v>
      </c>
      <c r="G478" s="1"/>
      <c r="H478" s="2"/>
      <c r="I478" s="1" t="s">
        <v>134</v>
      </c>
      <c r="K478" s="1"/>
      <c r="L478" s="1" t="s">
        <v>60</v>
      </c>
      <c r="M478" s="26" t="str">
        <f>CONCATENATE(TablaCalificaciones[[#This Row],[Seleccione su nombre (Evaluador)]],TablaCalificaciones[[#This Row],[Seleccione el nombre del Estudiante]])</f>
        <v>Santiago Leonardo SolórzanoFreire Amores Carol Maite</v>
      </c>
      <c r="N478" s="1"/>
      <c r="O478" s="1" t="s">
        <v>318</v>
      </c>
      <c r="Q478" s="1"/>
      <c r="R478" s="1" t="s">
        <v>50</v>
      </c>
      <c r="S478" s="22">
        <f>VLOOKUP(TablaCalificaciones[[#This Row],[Apertura: problema y objetivo ]],PESOS!A$16:B$20,2,0)</f>
        <v>16</v>
      </c>
      <c r="T478" s="1"/>
      <c r="U478" s="1" t="s">
        <v>50</v>
      </c>
      <c r="V478" s="22">
        <f>VLOOKUP(TablaCalificaciones[[#This Row],[Metodología (nivel adecuado)]],PESOS!A$16:B$20,2,0)</f>
        <v>16</v>
      </c>
      <c r="W478" s="1"/>
      <c r="X478" s="1" t="s">
        <v>50</v>
      </c>
      <c r="Y478" s="22">
        <f>VLOOKUP(TablaCalificaciones[[#This Row],[Resultados y evidencia ]],PESOS!A$16:B$20,2,0)</f>
        <v>16</v>
      </c>
      <c r="Z478" s="1"/>
      <c r="AA478" s="1" t="s">
        <v>51</v>
      </c>
      <c r="AB478" s="22">
        <f>VLOOKUP(TablaCalificaciones[[#This Row],[Coherencia y manejo del tiempo]],PESOS!A$25:B$29,2,0)</f>
        <v>8</v>
      </c>
      <c r="AC478" s="1"/>
      <c r="AD478" s="1" t="s">
        <v>51</v>
      </c>
      <c r="AE478" s="22">
        <f>VLOOKUP(TablaCalificaciones[[#This Row],[Diapositivas como apoyo]],PESOS!A$25:B$29,2,0)</f>
        <v>8</v>
      </c>
      <c r="AF478" s="1"/>
      <c r="AG478" s="1" t="s">
        <v>51</v>
      </c>
      <c r="AH478" s="22">
        <f>VLOOKUP(TablaCalificaciones[[#This Row],[Respuestas a preguntas]],PESOS!A$25:B$29,2,0)</f>
        <v>8</v>
      </c>
      <c r="AI478" s="1"/>
      <c r="AJ478" s="1" t="s">
        <v>51</v>
      </c>
      <c r="AK478" s="22">
        <f>VLOOKUP(TablaCalificaciones[[#This Row],[Cierre: aporte a próximos pasos]],PESOS!A$25:B$29,2,0)</f>
        <v>8</v>
      </c>
      <c r="AL478" s="1"/>
      <c r="AM478" s="1"/>
    </row>
    <row r="479" spans="1:39">
      <c r="A479">
        <v>482</v>
      </c>
      <c r="B479" s="2">
        <v>46136.5008564815</v>
      </c>
      <c r="C479" s="2">
        <v>46136.517650463</v>
      </c>
      <c r="D479" s="1" t="s">
        <v>59</v>
      </c>
      <c r="E479" s="1" t="s">
        <v>60</v>
      </c>
      <c r="G479" s="1"/>
      <c r="H479" s="2"/>
      <c r="I479" s="1" t="s">
        <v>134</v>
      </c>
      <c r="K479" s="1"/>
      <c r="L479" s="1" t="s">
        <v>60</v>
      </c>
      <c r="M479" s="26" t="str">
        <f>CONCATENATE(TablaCalificaciones[[#This Row],[Seleccione su nombre (Evaluador)]],TablaCalificaciones[[#This Row],[Seleccione el nombre del Estudiante]])</f>
        <v>Santiago Leonardo SolórzanoEndara Revelo Andrés Giovanni</v>
      </c>
      <c r="N479" s="1"/>
      <c r="O479" s="1" t="s">
        <v>317</v>
      </c>
      <c r="Q479" s="1"/>
      <c r="R479" s="1" t="s">
        <v>50</v>
      </c>
      <c r="S479" s="22">
        <f>VLOOKUP(TablaCalificaciones[[#This Row],[Apertura: problema y objetivo ]],PESOS!A$16:B$20,2,0)</f>
        <v>16</v>
      </c>
      <c r="T479" s="1"/>
      <c r="U479" s="1" t="s">
        <v>50</v>
      </c>
      <c r="V479" s="22">
        <f>VLOOKUP(TablaCalificaciones[[#This Row],[Metodología (nivel adecuado)]],PESOS!A$16:B$20,2,0)</f>
        <v>16</v>
      </c>
      <c r="W479" s="1"/>
      <c r="X479" s="1" t="s">
        <v>50</v>
      </c>
      <c r="Y479" s="22">
        <f>VLOOKUP(TablaCalificaciones[[#This Row],[Resultados y evidencia ]],PESOS!A$16:B$20,2,0)</f>
        <v>16</v>
      </c>
      <c r="Z479" s="1"/>
      <c r="AA479" s="1" t="s">
        <v>51</v>
      </c>
      <c r="AB479" s="22">
        <f>VLOOKUP(TablaCalificaciones[[#This Row],[Coherencia y manejo del tiempo]],PESOS!A$25:B$29,2,0)</f>
        <v>8</v>
      </c>
      <c r="AC479" s="1"/>
      <c r="AD479" s="1" t="s">
        <v>51</v>
      </c>
      <c r="AE479" s="22">
        <f>VLOOKUP(TablaCalificaciones[[#This Row],[Diapositivas como apoyo]],PESOS!A$25:B$29,2,0)</f>
        <v>8</v>
      </c>
      <c r="AF479" s="1"/>
      <c r="AG479" s="1" t="s">
        <v>51</v>
      </c>
      <c r="AH479" s="22">
        <f>VLOOKUP(TablaCalificaciones[[#This Row],[Respuestas a preguntas]],PESOS!A$25:B$29,2,0)</f>
        <v>8</v>
      </c>
      <c r="AI479" s="1"/>
      <c r="AJ479" s="1" t="s">
        <v>51</v>
      </c>
      <c r="AK479" s="22">
        <f>VLOOKUP(TablaCalificaciones[[#This Row],[Cierre: aporte a próximos pasos]],PESOS!A$25:B$29,2,0)</f>
        <v>8</v>
      </c>
      <c r="AL479" s="1"/>
      <c r="AM479" s="1"/>
    </row>
    <row r="480" spans="1:39">
      <c r="A480">
        <v>483</v>
      </c>
      <c r="B480" s="2">
        <v>46136.414247685199</v>
      </c>
      <c r="C480" s="2">
        <v>46136.521400463003</v>
      </c>
      <c r="D480" s="1" t="s">
        <v>39</v>
      </c>
      <c r="E480" s="1" t="s">
        <v>40</v>
      </c>
      <c r="G480" s="1"/>
      <c r="H480" s="2"/>
      <c r="I480" s="1" t="s">
        <v>134</v>
      </c>
      <c r="K480" s="1"/>
      <c r="L480" s="1" t="s">
        <v>42</v>
      </c>
      <c r="M480" s="26" t="str">
        <f>CONCATENATE(TablaCalificaciones[[#This Row],[Seleccione su nombre (Evaluador)]],TablaCalificaciones[[#This Row],[Seleccione el nombre del Estudiante]])</f>
        <v>Patricio David PonceBaquerizo Trujillo Julián Darío</v>
      </c>
      <c r="N480" s="1"/>
      <c r="O480" s="1" t="s">
        <v>319</v>
      </c>
      <c r="Q480" s="1"/>
      <c r="R480" s="1" t="s">
        <v>44</v>
      </c>
      <c r="S480" s="22">
        <f>VLOOKUP(TablaCalificaciones[[#This Row],[Apertura: problema y objetivo ]],PESOS!A$16:B$20,2,0)</f>
        <v>20</v>
      </c>
      <c r="T480" s="1"/>
      <c r="U480" s="1" t="s">
        <v>44</v>
      </c>
      <c r="V480" s="22">
        <f>VLOOKUP(TablaCalificaciones[[#This Row],[Metodología (nivel adecuado)]],PESOS!A$16:B$20,2,0)</f>
        <v>20</v>
      </c>
      <c r="W480" s="1"/>
      <c r="X480" s="1" t="s">
        <v>44</v>
      </c>
      <c r="Y480" s="22">
        <f>VLOOKUP(TablaCalificaciones[[#This Row],[Resultados y evidencia ]],PESOS!A$16:B$20,2,0)</f>
        <v>20</v>
      </c>
      <c r="Z480" s="1"/>
      <c r="AA480" s="1" t="s">
        <v>45</v>
      </c>
      <c r="AB480" s="22">
        <f>VLOOKUP(TablaCalificaciones[[#This Row],[Coherencia y manejo del tiempo]],PESOS!A$25:B$29,2,0)</f>
        <v>10</v>
      </c>
      <c r="AC480" s="1"/>
      <c r="AD480" s="1" t="s">
        <v>45</v>
      </c>
      <c r="AE480" s="22">
        <f>VLOOKUP(TablaCalificaciones[[#This Row],[Diapositivas como apoyo]],PESOS!A$25:B$29,2,0)</f>
        <v>10</v>
      </c>
      <c r="AF480" s="1"/>
      <c r="AG480" s="1" t="s">
        <v>51</v>
      </c>
      <c r="AH480" s="22">
        <f>VLOOKUP(TablaCalificaciones[[#This Row],[Respuestas a preguntas]],PESOS!A$25:B$29,2,0)</f>
        <v>8</v>
      </c>
      <c r="AI480" s="1"/>
      <c r="AJ480" s="1" t="s">
        <v>45</v>
      </c>
      <c r="AK480" s="22">
        <f>VLOOKUP(TablaCalificaciones[[#This Row],[Cierre: aporte a próximos pasos]],PESOS!A$25:B$29,2,0)</f>
        <v>10</v>
      </c>
      <c r="AL480" s="1"/>
      <c r="AM480" s="1"/>
    </row>
    <row r="481" spans="1:39">
      <c r="A481">
        <v>484</v>
      </c>
      <c r="B481" s="2">
        <v>46136.521423611099</v>
      </c>
      <c r="C481" s="2">
        <v>46136.5218634259</v>
      </c>
      <c r="D481" s="1" t="s">
        <v>39</v>
      </c>
      <c r="E481" s="1" t="s">
        <v>40</v>
      </c>
      <c r="G481" s="1"/>
      <c r="H481" s="2"/>
      <c r="I481" s="1" t="s">
        <v>134</v>
      </c>
      <c r="K481" s="1"/>
      <c r="L481" s="1" t="s">
        <v>42</v>
      </c>
      <c r="M481" s="26" t="str">
        <f>CONCATENATE(TablaCalificaciones[[#This Row],[Seleccione su nombre (Evaluador)]],TablaCalificaciones[[#This Row],[Seleccione el nombre del Estudiante]])</f>
        <v>Patricio David PonceParedes Betancourt Inés María</v>
      </c>
      <c r="N481" s="1"/>
      <c r="O481" s="1" t="s">
        <v>320</v>
      </c>
      <c r="Q481" s="1"/>
      <c r="R481" s="1" t="s">
        <v>44</v>
      </c>
      <c r="S481" s="22">
        <f>VLOOKUP(TablaCalificaciones[[#This Row],[Apertura: problema y objetivo ]],PESOS!A$16:B$20,2,0)</f>
        <v>20</v>
      </c>
      <c r="T481" s="1"/>
      <c r="U481" s="1" t="s">
        <v>44</v>
      </c>
      <c r="V481" s="22">
        <f>VLOOKUP(TablaCalificaciones[[#This Row],[Metodología (nivel adecuado)]],PESOS!A$16:B$20,2,0)</f>
        <v>20</v>
      </c>
      <c r="W481" s="1"/>
      <c r="X481" s="1" t="s">
        <v>44</v>
      </c>
      <c r="Y481" s="22">
        <f>VLOOKUP(TablaCalificaciones[[#This Row],[Resultados y evidencia ]],PESOS!A$16:B$20,2,0)</f>
        <v>20</v>
      </c>
      <c r="Z481" s="1"/>
      <c r="AA481" s="1" t="s">
        <v>45</v>
      </c>
      <c r="AB481" s="22">
        <f>VLOOKUP(TablaCalificaciones[[#This Row],[Coherencia y manejo del tiempo]],PESOS!A$25:B$29,2,0)</f>
        <v>10</v>
      </c>
      <c r="AC481" s="1"/>
      <c r="AD481" s="1" t="s">
        <v>45</v>
      </c>
      <c r="AE481" s="22">
        <f>VLOOKUP(TablaCalificaciones[[#This Row],[Diapositivas como apoyo]],PESOS!A$25:B$29,2,0)</f>
        <v>10</v>
      </c>
      <c r="AF481" s="1"/>
      <c r="AG481" s="1" t="s">
        <v>51</v>
      </c>
      <c r="AH481" s="22">
        <f>VLOOKUP(TablaCalificaciones[[#This Row],[Respuestas a preguntas]],PESOS!A$25:B$29,2,0)</f>
        <v>8</v>
      </c>
      <c r="AI481" s="1"/>
      <c r="AJ481" s="1" t="s">
        <v>45</v>
      </c>
      <c r="AK481" s="22">
        <f>VLOOKUP(TablaCalificaciones[[#This Row],[Cierre: aporte a próximos pasos]],PESOS!A$25:B$29,2,0)</f>
        <v>10</v>
      </c>
      <c r="AL481" s="1"/>
      <c r="AM481" s="1"/>
    </row>
    <row r="482" spans="1:39">
      <c r="A482">
        <v>485</v>
      </c>
      <c r="B482" s="2">
        <v>46136.521874999999</v>
      </c>
      <c r="C482" s="2">
        <v>46136.522384259297</v>
      </c>
      <c r="D482" s="1" t="s">
        <v>39</v>
      </c>
      <c r="E482" s="1" t="s">
        <v>40</v>
      </c>
      <c r="G482" s="1"/>
      <c r="H482" s="2"/>
      <c r="I482" s="1" t="s">
        <v>134</v>
      </c>
      <c r="K482" s="1"/>
      <c r="L482" s="1" t="s">
        <v>42</v>
      </c>
      <c r="M482" s="26" t="str">
        <f>CONCATENATE(TablaCalificaciones[[#This Row],[Seleccione su nombre (Evaluador)]],TablaCalificaciones[[#This Row],[Seleccione el nombre del Estudiante]])</f>
        <v>Patricio David PonceRojas Calero César Augusto</v>
      </c>
      <c r="N482" s="1"/>
      <c r="O482" s="1" t="s">
        <v>321</v>
      </c>
      <c r="Q482" s="1"/>
      <c r="R482" s="1" t="s">
        <v>44</v>
      </c>
      <c r="S482" s="22">
        <f>VLOOKUP(TablaCalificaciones[[#This Row],[Apertura: problema y objetivo ]],PESOS!A$16:B$20,2,0)</f>
        <v>20</v>
      </c>
      <c r="T482" s="1"/>
      <c r="U482" s="1" t="s">
        <v>44</v>
      </c>
      <c r="V482" s="22">
        <f>VLOOKUP(TablaCalificaciones[[#This Row],[Metodología (nivel adecuado)]],PESOS!A$16:B$20,2,0)</f>
        <v>20</v>
      </c>
      <c r="W482" s="1"/>
      <c r="X482" s="1" t="s">
        <v>44</v>
      </c>
      <c r="Y482" s="22">
        <f>VLOOKUP(TablaCalificaciones[[#This Row],[Resultados y evidencia ]],PESOS!A$16:B$20,2,0)</f>
        <v>20</v>
      </c>
      <c r="Z482" s="1"/>
      <c r="AA482" s="1" t="s">
        <v>45</v>
      </c>
      <c r="AB482" s="22">
        <f>VLOOKUP(TablaCalificaciones[[#This Row],[Coherencia y manejo del tiempo]],PESOS!A$25:B$29,2,0)</f>
        <v>10</v>
      </c>
      <c r="AC482" s="1"/>
      <c r="AD482" s="1" t="s">
        <v>45</v>
      </c>
      <c r="AE482" s="22">
        <f>VLOOKUP(TablaCalificaciones[[#This Row],[Diapositivas como apoyo]],PESOS!A$25:B$29,2,0)</f>
        <v>10</v>
      </c>
      <c r="AF482" s="1"/>
      <c r="AG482" s="1" t="s">
        <v>51</v>
      </c>
      <c r="AH482" s="22">
        <f>VLOOKUP(TablaCalificaciones[[#This Row],[Respuestas a preguntas]],PESOS!A$25:B$29,2,0)</f>
        <v>8</v>
      </c>
      <c r="AI482" s="1"/>
      <c r="AJ482" s="1" t="s">
        <v>45</v>
      </c>
      <c r="AK482" s="22">
        <f>VLOOKUP(TablaCalificaciones[[#This Row],[Cierre: aporte a próximos pasos]],PESOS!A$25:B$29,2,0)</f>
        <v>10</v>
      </c>
      <c r="AL482" s="1"/>
      <c r="AM482" s="1"/>
    </row>
    <row r="483" spans="1:39">
      <c r="A483">
        <v>486</v>
      </c>
      <c r="B483" s="2">
        <v>46136.518136574101</v>
      </c>
      <c r="C483" s="2">
        <v>46136.5225347222</v>
      </c>
      <c r="D483" s="1" t="s">
        <v>126</v>
      </c>
      <c r="E483" s="1" t="s">
        <v>127</v>
      </c>
      <c r="G483" s="1"/>
      <c r="H483" s="2"/>
      <c r="I483" s="1" t="s">
        <v>134</v>
      </c>
      <c r="K483" s="1"/>
      <c r="L483" s="1" t="s">
        <v>127</v>
      </c>
      <c r="M483" s="26" t="str">
        <f>CONCATENATE(TablaCalificaciones[[#This Row],[Seleccione su nombre (Evaluador)]],TablaCalificaciones[[#This Row],[Seleccione el nombre del Estudiante]])</f>
        <v>Oswaldo LunaEndara Revelo Andrés Giovanni</v>
      </c>
      <c r="N483" s="1"/>
      <c r="O483" s="1" t="s">
        <v>317</v>
      </c>
      <c r="Q483" s="1"/>
      <c r="R483" s="1" t="s">
        <v>44</v>
      </c>
      <c r="S483" s="22">
        <f>VLOOKUP(TablaCalificaciones[[#This Row],[Apertura: problema y objetivo ]],PESOS!A$16:B$20,2,0)</f>
        <v>20</v>
      </c>
      <c r="T483" s="1"/>
      <c r="U483" s="1" t="s">
        <v>44</v>
      </c>
      <c r="V483" s="22">
        <f>VLOOKUP(TablaCalificaciones[[#This Row],[Metodología (nivel adecuado)]],PESOS!A$16:B$20,2,0)</f>
        <v>20</v>
      </c>
      <c r="W483" s="1"/>
      <c r="X483" s="1" t="s">
        <v>105</v>
      </c>
      <c r="Y483" s="22">
        <f>VLOOKUP(TablaCalificaciones[[#This Row],[Resultados y evidencia ]],PESOS!A$16:B$20,2,0)</f>
        <v>12</v>
      </c>
      <c r="Z483" s="1"/>
      <c r="AA483" s="1" t="s">
        <v>45</v>
      </c>
      <c r="AB483" s="22">
        <f>VLOOKUP(TablaCalificaciones[[#This Row],[Coherencia y manejo del tiempo]],PESOS!A$25:B$29,2,0)</f>
        <v>10</v>
      </c>
      <c r="AC483" s="1"/>
      <c r="AD483" s="1" t="s">
        <v>51</v>
      </c>
      <c r="AE483" s="22">
        <f>VLOOKUP(TablaCalificaciones[[#This Row],[Diapositivas como apoyo]],PESOS!A$25:B$29,2,0)</f>
        <v>8</v>
      </c>
      <c r="AF483" s="1"/>
      <c r="AG483" s="1" t="s">
        <v>51</v>
      </c>
      <c r="AH483" s="22">
        <f>VLOOKUP(TablaCalificaciones[[#This Row],[Respuestas a preguntas]],PESOS!A$25:B$29,2,0)</f>
        <v>8</v>
      </c>
      <c r="AI483" s="1"/>
      <c r="AJ483" s="1" t="s">
        <v>45</v>
      </c>
      <c r="AK483" s="22">
        <f>VLOOKUP(TablaCalificaciones[[#This Row],[Cierre: aporte a próximos pasos]],PESOS!A$25:B$29,2,0)</f>
        <v>10</v>
      </c>
      <c r="AL483" s="1"/>
      <c r="AM483" s="1"/>
    </row>
    <row r="484" spans="1:39">
      <c r="A484">
        <v>487</v>
      </c>
      <c r="B484" s="2">
        <v>46136.522407407399</v>
      </c>
      <c r="C484" s="2">
        <v>46136.523182870398</v>
      </c>
      <c r="D484" s="1" t="s">
        <v>39</v>
      </c>
      <c r="E484" s="1" t="s">
        <v>40</v>
      </c>
      <c r="G484" s="1"/>
      <c r="H484" s="2"/>
      <c r="I484" s="1" t="s">
        <v>134</v>
      </c>
      <c r="K484" s="1"/>
      <c r="L484" s="1" t="s">
        <v>42</v>
      </c>
      <c r="M484" s="26" t="str">
        <f>CONCATENATE(TablaCalificaciones[[#This Row],[Seleccione su nombre (Evaluador)]],TablaCalificaciones[[#This Row],[Seleccione el nombre del Estudiante]])</f>
        <v>Patricio David PonceLuzuriaga Bermeo Abigail Elizabeth</v>
      </c>
      <c r="N484" s="1"/>
      <c r="O484" s="1" t="s">
        <v>322</v>
      </c>
      <c r="Q484" s="1"/>
      <c r="R484" s="1" t="s">
        <v>44</v>
      </c>
      <c r="S484" s="22">
        <f>VLOOKUP(TablaCalificaciones[[#This Row],[Apertura: problema y objetivo ]],PESOS!A$16:B$20,2,0)</f>
        <v>20</v>
      </c>
      <c r="T484" s="1"/>
      <c r="U484" s="1" t="s">
        <v>50</v>
      </c>
      <c r="V484" s="22">
        <f>VLOOKUP(TablaCalificaciones[[#This Row],[Metodología (nivel adecuado)]],PESOS!A$16:B$20,2,0)</f>
        <v>16</v>
      </c>
      <c r="W484" s="1"/>
      <c r="X484" s="1" t="s">
        <v>50</v>
      </c>
      <c r="Y484" s="22">
        <f>VLOOKUP(TablaCalificaciones[[#This Row],[Resultados y evidencia ]],PESOS!A$16:B$20,2,0)</f>
        <v>16</v>
      </c>
      <c r="Z484" s="1"/>
      <c r="AA484" s="1" t="s">
        <v>45</v>
      </c>
      <c r="AB484" s="22">
        <f>VLOOKUP(TablaCalificaciones[[#This Row],[Coherencia y manejo del tiempo]],PESOS!A$25:B$29,2,0)</f>
        <v>10</v>
      </c>
      <c r="AC484" s="1"/>
      <c r="AD484" s="1" t="s">
        <v>45</v>
      </c>
      <c r="AE484" s="22">
        <f>VLOOKUP(TablaCalificaciones[[#This Row],[Diapositivas como apoyo]],PESOS!A$25:B$29,2,0)</f>
        <v>10</v>
      </c>
      <c r="AF484" s="1"/>
      <c r="AG484" s="1" t="s">
        <v>51</v>
      </c>
      <c r="AH484" s="22">
        <f>VLOOKUP(TablaCalificaciones[[#This Row],[Respuestas a preguntas]],PESOS!A$25:B$29,2,0)</f>
        <v>8</v>
      </c>
      <c r="AI484" s="1"/>
      <c r="AJ484" s="1" t="s">
        <v>45</v>
      </c>
      <c r="AK484" s="22">
        <f>VLOOKUP(TablaCalificaciones[[#This Row],[Cierre: aporte a próximos pasos]],PESOS!A$25:B$29,2,0)</f>
        <v>10</v>
      </c>
      <c r="AL484" s="1"/>
      <c r="AM484" s="1"/>
    </row>
    <row r="485" spans="1:39">
      <c r="A485">
        <v>488</v>
      </c>
      <c r="B485" s="2">
        <v>46136.523240740702</v>
      </c>
      <c r="C485" s="2">
        <v>46136.523611111101</v>
      </c>
      <c r="D485" s="1" t="s">
        <v>39</v>
      </c>
      <c r="E485" s="1" t="s">
        <v>40</v>
      </c>
      <c r="G485" s="1"/>
      <c r="H485" s="2"/>
      <c r="I485" s="1" t="s">
        <v>134</v>
      </c>
      <c r="K485" s="1"/>
      <c r="L485" s="1" t="s">
        <v>42</v>
      </c>
      <c r="M485" s="26" t="str">
        <f>CONCATENATE(TablaCalificaciones[[#This Row],[Seleccione su nombre (Evaluador)]],TablaCalificaciones[[#This Row],[Seleccione el nombre del Estudiante]])</f>
        <v>Patricio David PonceMoreno Rivera Danny Javier</v>
      </c>
      <c r="N485" s="1"/>
      <c r="O485" s="1" t="s">
        <v>323</v>
      </c>
      <c r="Q485" s="1"/>
      <c r="R485" s="1" t="s">
        <v>44</v>
      </c>
      <c r="S485" s="22">
        <f>VLOOKUP(TablaCalificaciones[[#This Row],[Apertura: problema y objetivo ]],PESOS!A$16:B$20,2,0)</f>
        <v>20</v>
      </c>
      <c r="T485" s="1"/>
      <c r="U485" s="1" t="s">
        <v>50</v>
      </c>
      <c r="V485" s="22">
        <f>VLOOKUP(TablaCalificaciones[[#This Row],[Metodología (nivel adecuado)]],PESOS!A$16:B$20,2,0)</f>
        <v>16</v>
      </c>
      <c r="W485" s="1"/>
      <c r="X485" s="1" t="s">
        <v>50</v>
      </c>
      <c r="Y485" s="22">
        <f>VLOOKUP(TablaCalificaciones[[#This Row],[Resultados y evidencia ]],PESOS!A$16:B$20,2,0)</f>
        <v>16</v>
      </c>
      <c r="Z485" s="1"/>
      <c r="AA485" s="1" t="s">
        <v>45</v>
      </c>
      <c r="AB485" s="22">
        <f>VLOOKUP(TablaCalificaciones[[#This Row],[Coherencia y manejo del tiempo]],PESOS!A$25:B$29,2,0)</f>
        <v>10</v>
      </c>
      <c r="AC485" s="1"/>
      <c r="AD485" s="1" t="s">
        <v>45</v>
      </c>
      <c r="AE485" s="22">
        <f>VLOOKUP(TablaCalificaciones[[#This Row],[Diapositivas como apoyo]],PESOS!A$25:B$29,2,0)</f>
        <v>10</v>
      </c>
      <c r="AF485" s="1"/>
      <c r="AG485" s="1" t="s">
        <v>51</v>
      </c>
      <c r="AH485" s="22">
        <f>VLOOKUP(TablaCalificaciones[[#This Row],[Respuestas a preguntas]],PESOS!A$25:B$29,2,0)</f>
        <v>8</v>
      </c>
      <c r="AI485" s="1"/>
      <c r="AJ485" s="1" t="s">
        <v>45</v>
      </c>
      <c r="AK485" s="22">
        <f>VLOOKUP(TablaCalificaciones[[#This Row],[Cierre: aporte a próximos pasos]],PESOS!A$25:B$29,2,0)</f>
        <v>10</v>
      </c>
      <c r="AL485" s="1"/>
      <c r="AM485" s="1"/>
    </row>
    <row r="486" spans="1:39">
      <c r="A486">
        <v>489</v>
      </c>
      <c r="B486" s="2">
        <v>46136.523634259298</v>
      </c>
      <c r="C486" s="2">
        <v>46136.523958333302</v>
      </c>
      <c r="D486" s="1" t="s">
        <v>39</v>
      </c>
      <c r="E486" s="1" t="s">
        <v>40</v>
      </c>
      <c r="G486" s="1"/>
      <c r="H486" s="2"/>
      <c r="I486" s="1" t="s">
        <v>134</v>
      </c>
      <c r="K486" s="1"/>
      <c r="L486" s="1" t="s">
        <v>42</v>
      </c>
      <c r="M486" s="26" t="str">
        <f>CONCATENATE(TablaCalificaciones[[#This Row],[Seleccione su nombre (Evaluador)]],TablaCalificaciones[[#This Row],[Seleccione el nombre del Estudiante]])</f>
        <v>Patricio David PonceViteri Sánchez Cristina Belén</v>
      </c>
      <c r="N486" s="1"/>
      <c r="O486" s="1" t="s">
        <v>324</v>
      </c>
      <c r="Q486" s="1"/>
      <c r="R486" s="1" t="s">
        <v>44</v>
      </c>
      <c r="S486" s="22">
        <f>VLOOKUP(TablaCalificaciones[[#This Row],[Apertura: problema y objetivo ]],PESOS!A$16:B$20,2,0)</f>
        <v>20</v>
      </c>
      <c r="T486" s="1"/>
      <c r="U486" s="1" t="s">
        <v>50</v>
      </c>
      <c r="V486" s="22">
        <f>VLOOKUP(TablaCalificaciones[[#This Row],[Metodología (nivel adecuado)]],PESOS!A$16:B$20,2,0)</f>
        <v>16</v>
      </c>
      <c r="W486" s="1"/>
      <c r="X486" s="1" t="s">
        <v>50</v>
      </c>
      <c r="Y486" s="22">
        <f>VLOOKUP(TablaCalificaciones[[#This Row],[Resultados y evidencia ]],PESOS!A$16:B$20,2,0)</f>
        <v>16</v>
      </c>
      <c r="Z486" s="1"/>
      <c r="AA486" s="1" t="s">
        <v>45</v>
      </c>
      <c r="AB486" s="22">
        <f>VLOOKUP(TablaCalificaciones[[#This Row],[Coherencia y manejo del tiempo]],PESOS!A$25:B$29,2,0)</f>
        <v>10</v>
      </c>
      <c r="AC486" s="1"/>
      <c r="AD486" s="1" t="s">
        <v>45</v>
      </c>
      <c r="AE486" s="22">
        <f>VLOOKUP(TablaCalificaciones[[#This Row],[Diapositivas como apoyo]],PESOS!A$25:B$29,2,0)</f>
        <v>10</v>
      </c>
      <c r="AF486" s="1"/>
      <c r="AG486" s="1" t="s">
        <v>51</v>
      </c>
      <c r="AH486" s="22">
        <f>VLOOKUP(TablaCalificaciones[[#This Row],[Respuestas a preguntas]],PESOS!A$25:B$29,2,0)</f>
        <v>8</v>
      </c>
      <c r="AI486" s="1"/>
      <c r="AJ486" s="1" t="s">
        <v>45</v>
      </c>
      <c r="AK486" s="22">
        <f>VLOOKUP(TablaCalificaciones[[#This Row],[Cierre: aporte a próximos pasos]],PESOS!A$25:B$29,2,0)</f>
        <v>10</v>
      </c>
      <c r="AL486" s="1"/>
      <c r="AM486" s="1"/>
    </row>
    <row r="487" spans="1:39">
      <c r="A487">
        <v>490</v>
      </c>
      <c r="B487" s="2">
        <v>46136.5239814815</v>
      </c>
      <c r="C487" s="2">
        <v>46136.5245601852</v>
      </c>
      <c r="D487" s="1" t="s">
        <v>39</v>
      </c>
      <c r="E487" s="1" t="s">
        <v>40</v>
      </c>
      <c r="G487" s="1"/>
      <c r="H487" s="2"/>
      <c r="I487" s="1" t="s">
        <v>134</v>
      </c>
      <c r="K487" s="1"/>
      <c r="L487" s="1" t="s">
        <v>42</v>
      </c>
      <c r="M487" s="26" t="str">
        <f>CONCATENATE(TablaCalificaciones[[#This Row],[Seleccione su nombre (Evaluador)]],TablaCalificaciones[[#This Row],[Seleccione el nombre del Estudiante]])</f>
        <v>Patricio David PonceIbujés Flores Verónica Elizabeth</v>
      </c>
      <c r="N487" s="1"/>
      <c r="O487" s="1" t="s">
        <v>314</v>
      </c>
      <c r="Q487" s="1"/>
      <c r="R487" s="1" t="s">
        <v>44</v>
      </c>
      <c r="S487" s="22">
        <f>VLOOKUP(TablaCalificaciones[[#This Row],[Apertura: problema y objetivo ]],PESOS!A$16:B$20,2,0)</f>
        <v>20</v>
      </c>
      <c r="T487" s="1"/>
      <c r="U487" s="1" t="s">
        <v>44</v>
      </c>
      <c r="V487" s="22">
        <f>VLOOKUP(TablaCalificaciones[[#This Row],[Metodología (nivel adecuado)]],PESOS!A$16:B$20,2,0)</f>
        <v>20</v>
      </c>
      <c r="W487" s="1"/>
      <c r="X487" s="1" t="s">
        <v>44</v>
      </c>
      <c r="Y487" s="22">
        <f>VLOOKUP(TablaCalificaciones[[#This Row],[Resultados y evidencia ]],PESOS!A$16:B$20,2,0)</f>
        <v>20</v>
      </c>
      <c r="Z487" s="1"/>
      <c r="AA487" s="1" t="s">
        <v>45</v>
      </c>
      <c r="AB487" s="22">
        <f>VLOOKUP(TablaCalificaciones[[#This Row],[Coherencia y manejo del tiempo]],PESOS!A$25:B$29,2,0)</f>
        <v>10</v>
      </c>
      <c r="AC487" s="1"/>
      <c r="AD487" s="1" t="s">
        <v>45</v>
      </c>
      <c r="AE487" s="22">
        <f>VLOOKUP(TablaCalificaciones[[#This Row],[Diapositivas como apoyo]],PESOS!A$25:B$29,2,0)</f>
        <v>10</v>
      </c>
      <c r="AF487" s="1"/>
      <c r="AG487" s="1" t="s">
        <v>45</v>
      </c>
      <c r="AH487" s="22">
        <f>VLOOKUP(TablaCalificaciones[[#This Row],[Respuestas a preguntas]],PESOS!A$25:B$29,2,0)</f>
        <v>10</v>
      </c>
      <c r="AI487" s="1"/>
      <c r="AJ487" s="1" t="s">
        <v>45</v>
      </c>
      <c r="AK487" s="22">
        <f>VLOOKUP(TablaCalificaciones[[#This Row],[Cierre: aporte a próximos pasos]],PESOS!A$25:B$29,2,0)</f>
        <v>10</v>
      </c>
      <c r="AL487" s="1"/>
      <c r="AM487" s="1"/>
    </row>
    <row r="488" spans="1:39">
      <c r="A488">
        <v>491</v>
      </c>
      <c r="B488" s="2">
        <v>46136.524583333303</v>
      </c>
      <c r="C488" s="2">
        <v>46136.5249652778</v>
      </c>
      <c r="D488" s="1" t="s">
        <v>39</v>
      </c>
      <c r="E488" s="1" t="s">
        <v>40</v>
      </c>
      <c r="G488" s="1"/>
      <c r="H488" s="2"/>
      <c r="I488" s="1" t="s">
        <v>134</v>
      </c>
      <c r="K488" s="1"/>
      <c r="L488" s="1" t="s">
        <v>42</v>
      </c>
      <c r="M488" s="26" t="str">
        <f>CONCATENATE(TablaCalificaciones[[#This Row],[Seleccione su nombre (Evaluador)]],TablaCalificaciones[[#This Row],[Seleccione el nombre del Estudiante]])</f>
        <v>Patricio David PonceMartínez Velastegui Natalia Elizabeth</v>
      </c>
      <c r="N488" s="1"/>
      <c r="O488" s="1" t="s">
        <v>312</v>
      </c>
      <c r="Q488" s="1"/>
      <c r="R488" s="1" t="s">
        <v>44</v>
      </c>
      <c r="S488" s="22">
        <f>VLOOKUP(TablaCalificaciones[[#This Row],[Apertura: problema y objetivo ]],PESOS!A$16:B$20,2,0)</f>
        <v>20</v>
      </c>
      <c r="T488" s="1"/>
      <c r="U488" s="1" t="s">
        <v>44</v>
      </c>
      <c r="V488" s="22">
        <f>VLOOKUP(TablaCalificaciones[[#This Row],[Metodología (nivel adecuado)]],PESOS!A$16:B$20,2,0)</f>
        <v>20</v>
      </c>
      <c r="W488" s="1"/>
      <c r="X488" s="1" t="s">
        <v>44</v>
      </c>
      <c r="Y488" s="22">
        <f>VLOOKUP(TablaCalificaciones[[#This Row],[Resultados y evidencia ]],PESOS!A$16:B$20,2,0)</f>
        <v>20</v>
      </c>
      <c r="Z488" s="1"/>
      <c r="AA488" s="1" t="s">
        <v>45</v>
      </c>
      <c r="AB488" s="22">
        <f>VLOOKUP(TablaCalificaciones[[#This Row],[Coherencia y manejo del tiempo]],PESOS!A$25:B$29,2,0)</f>
        <v>10</v>
      </c>
      <c r="AC488" s="1"/>
      <c r="AD488" s="1" t="s">
        <v>45</v>
      </c>
      <c r="AE488" s="22">
        <f>VLOOKUP(TablaCalificaciones[[#This Row],[Diapositivas como apoyo]],PESOS!A$25:B$29,2,0)</f>
        <v>10</v>
      </c>
      <c r="AF488" s="1"/>
      <c r="AG488" s="1" t="s">
        <v>45</v>
      </c>
      <c r="AH488" s="22">
        <f>VLOOKUP(TablaCalificaciones[[#This Row],[Respuestas a preguntas]],PESOS!A$25:B$29,2,0)</f>
        <v>10</v>
      </c>
      <c r="AI488" s="1"/>
      <c r="AJ488" s="1" t="s">
        <v>45</v>
      </c>
      <c r="AK488" s="22">
        <f>VLOOKUP(TablaCalificaciones[[#This Row],[Cierre: aporte a próximos pasos]],PESOS!A$25:B$29,2,0)</f>
        <v>10</v>
      </c>
      <c r="AL488" s="1"/>
      <c r="AM488" s="1"/>
    </row>
    <row r="489" spans="1:39">
      <c r="A489">
        <v>492</v>
      </c>
      <c r="B489" s="2">
        <v>46136.524988425903</v>
      </c>
      <c r="C489" s="2">
        <v>46136.5253703704</v>
      </c>
      <c r="D489" s="1" t="s">
        <v>39</v>
      </c>
      <c r="E489" s="1" t="s">
        <v>40</v>
      </c>
      <c r="G489" s="1"/>
      <c r="H489" s="2"/>
      <c r="I489" s="1" t="s">
        <v>134</v>
      </c>
      <c r="K489" s="1"/>
      <c r="L489" s="1" t="s">
        <v>42</v>
      </c>
      <c r="M489" s="26" t="str">
        <f>CONCATENATE(TablaCalificaciones[[#This Row],[Seleccione su nombre (Evaluador)]],TablaCalificaciones[[#This Row],[Seleccione el nombre del Estudiante]])</f>
        <v>Patricio David PonceVera Cedeño Sindy Viveka</v>
      </c>
      <c r="N489" s="1"/>
      <c r="O489" s="1" t="s">
        <v>313</v>
      </c>
      <c r="Q489" s="1"/>
      <c r="R489" s="1" t="s">
        <v>44</v>
      </c>
      <c r="S489" s="22">
        <f>VLOOKUP(TablaCalificaciones[[#This Row],[Apertura: problema y objetivo ]],PESOS!A$16:B$20,2,0)</f>
        <v>20</v>
      </c>
      <c r="T489" s="1"/>
      <c r="U489" s="1" t="s">
        <v>44</v>
      </c>
      <c r="V489" s="22">
        <f>VLOOKUP(TablaCalificaciones[[#This Row],[Metodología (nivel adecuado)]],PESOS!A$16:B$20,2,0)</f>
        <v>20</v>
      </c>
      <c r="W489" s="1"/>
      <c r="X489" s="1" t="s">
        <v>44</v>
      </c>
      <c r="Y489" s="22">
        <f>VLOOKUP(TablaCalificaciones[[#This Row],[Resultados y evidencia ]],PESOS!A$16:B$20,2,0)</f>
        <v>20</v>
      </c>
      <c r="Z489" s="1"/>
      <c r="AA489" s="1" t="s">
        <v>45</v>
      </c>
      <c r="AB489" s="22">
        <f>VLOOKUP(TablaCalificaciones[[#This Row],[Coherencia y manejo del tiempo]],PESOS!A$25:B$29,2,0)</f>
        <v>10</v>
      </c>
      <c r="AC489" s="1"/>
      <c r="AD489" s="1" t="s">
        <v>45</v>
      </c>
      <c r="AE489" s="22">
        <f>VLOOKUP(TablaCalificaciones[[#This Row],[Diapositivas como apoyo]],PESOS!A$25:B$29,2,0)</f>
        <v>10</v>
      </c>
      <c r="AF489" s="1"/>
      <c r="AG489" s="1" t="s">
        <v>45</v>
      </c>
      <c r="AH489" s="22">
        <f>VLOOKUP(TablaCalificaciones[[#This Row],[Respuestas a preguntas]],PESOS!A$25:B$29,2,0)</f>
        <v>10</v>
      </c>
      <c r="AI489" s="1"/>
      <c r="AJ489" s="1" t="s">
        <v>45</v>
      </c>
      <c r="AK489" s="22">
        <f>VLOOKUP(TablaCalificaciones[[#This Row],[Cierre: aporte a próximos pasos]],PESOS!A$25:B$29,2,0)</f>
        <v>10</v>
      </c>
      <c r="AL489" s="1"/>
      <c r="AM489" s="1"/>
    </row>
    <row r="490" spans="1:39">
      <c r="A490">
        <v>493</v>
      </c>
      <c r="B490" s="2">
        <v>46136.524421296301</v>
      </c>
      <c r="C490" s="2">
        <v>46136.525914351798</v>
      </c>
      <c r="D490" s="1" t="s">
        <v>126</v>
      </c>
      <c r="E490" s="1" t="s">
        <v>127</v>
      </c>
      <c r="G490" s="1"/>
      <c r="H490" s="2"/>
      <c r="I490" s="1" t="s">
        <v>134</v>
      </c>
      <c r="K490" s="1"/>
      <c r="L490" s="1" t="s">
        <v>127</v>
      </c>
      <c r="M490" s="26" t="str">
        <f>CONCATENATE(TablaCalificaciones[[#This Row],[Seleccione su nombre (Evaluador)]],TablaCalificaciones[[#This Row],[Seleccione el nombre del Estudiante]])</f>
        <v>Oswaldo LunaFreire Amores Carol Maite</v>
      </c>
      <c r="N490" s="1"/>
      <c r="O490" s="1" t="s">
        <v>318</v>
      </c>
      <c r="Q490" s="1"/>
      <c r="R490" s="1" t="s">
        <v>44</v>
      </c>
      <c r="S490" s="22">
        <f>VLOOKUP(TablaCalificaciones[[#This Row],[Apertura: problema y objetivo ]],PESOS!A$16:B$20,2,0)</f>
        <v>20</v>
      </c>
      <c r="T490" s="1"/>
      <c r="U490" s="1" t="s">
        <v>50</v>
      </c>
      <c r="V490" s="22">
        <f>VLOOKUP(TablaCalificaciones[[#This Row],[Metodología (nivel adecuado)]],PESOS!A$16:B$20,2,0)</f>
        <v>16</v>
      </c>
      <c r="W490" s="1"/>
      <c r="X490" s="1" t="s">
        <v>105</v>
      </c>
      <c r="Y490" s="22">
        <f>VLOOKUP(TablaCalificaciones[[#This Row],[Resultados y evidencia ]],PESOS!A$16:B$20,2,0)</f>
        <v>12</v>
      </c>
      <c r="Z490" s="1"/>
      <c r="AA490" s="1" t="s">
        <v>51</v>
      </c>
      <c r="AB490" s="22">
        <f>VLOOKUP(TablaCalificaciones[[#This Row],[Coherencia y manejo del tiempo]],PESOS!A$25:B$29,2,0)</f>
        <v>8</v>
      </c>
      <c r="AC490" s="1"/>
      <c r="AD490" s="1" t="s">
        <v>51</v>
      </c>
      <c r="AE490" s="22">
        <f>VLOOKUP(TablaCalificaciones[[#This Row],[Diapositivas como apoyo]],PESOS!A$25:B$29,2,0)</f>
        <v>8</v>
      </c>
      <c r="AF490" s="1"/>
      <c r="AG490" s="1" t="s">
        <v>83</v>
      </c>
      <c r="AH490" s="22">
        <f>VLOOKUP(TablaCalificaciones[[#This Row],[Respuestas a preguntas]],PESOS!A$25:B$29,2,0)</f>
        <v>6</v>
      </c>
      <c r="AI490" s="1"/>
      <c r="AJ490" s="1" t="s">
        <v>51</v>
      </c>
      <c r="AK490" s="22">
        <f>VLOOKUP(TablaCalificaciones[[#This Row],[Cierre: aporte a próximos pasos]],PESOS!A$25:B$29,2,0)</f>
        <v>8</v>
      </c>
      <c r="AL490" s="1"/>
      <c r="AM490" s="1"/>
    </row>
    <row r="491" spans="1:39">
      <c r="A491">
        <v>494</v>
      </c>
      <c r="B491" s="2">
        <v>46136.525393518503</v>
      </c>
      <c r="C491" s="2">
        <v>46136.526168981502</v>
      </c>
      <c r="D491" s="1" t="s">
        <v>39</v>
      </c>
      <c r="E491" s="1" t="s">
        <v>40</v>
      </c>
      <c r="G491" s="1"/>
      <c r="H491" s="2"/>
      <c r="I491" s="1" t="s">
        <v>134</v>
      </c>
      <c r="K491" s="1"/>
      <c r="L491" s="1" t="s">
        <v>42</v>
      </c>
      <c r="M491" s="26" t="str">
        <f>CONCATENATE(TablaCalificaciones[[#This Row],[Seleccione su nombre (Evaluador)]],TablaCalificaciones[[#This Row],[Seleccione el nombre del Estudiante]])</f>
        <v>Patricio David PonceMoyano Sánchez Jean Pierre</v>
      </c>
      <c r="N491" s="1"/>
      <c r="O491" s="1" t="s">
        <v>311</v>
      </c>
      <c r="Q491" s="1"/>
      <c r="R491" s="1" t="s">
        <v>44</v>
      </c>
      <c r="S491" s="22">
        <f>VLOOKUP(TablaCalificaciones[[#This Row],[Apertura: problema y objetivo ]],PESOS!A$16:B$20,2,0)</f>
        <v>20</v>
      </c>
      <c r="T491" s="1"/>
      <c r="U491" s="1" t="s">
        <v>44</v>
      </c>
      <c r="V491" s="22">
        <f>VLOOKUP(TablaCalificaciones[[#This Row],[Metodología (nivel adecuado)]],PESOS!A$16:B$20,2,0)</f>
        <v>20</v>
      </c>
      <c r="W491" s="1"/>
      <c r="X491" s="1" t="s">
        <v>44</v>
      </c>
      <c r="Y491" s="22">
        <f>VLOOKUP(TablaCalificaciones[[#This Row],[Resultados y evidencia ]],PESOS!A$16:B$20,2,0)</f>
        <v>20</v>
      </c>
      <c r="Z491" s="1"/>
      <c r="AA491" s="1" t="s">
        <v>45</v>
      </c>
      <c r="AB491" s="22">
        <f>VLOOKUP(TablaCalificaciones[[#This Row],[Coherencia y manejo del tiempo]],PESOS!A$25:B$29,2,0)</f>
        <v>10</v>
      </c>
      <c r="AC491" s="1"/>
      <c r="AD491" s="1" t="s">
        <v>45</v>
      </c>
      <c r="AE491" s="22">
        <f>VLOOKUP(TablaCalificaciones[[#This Row],[Diapositivas como apoyo]],PESOS!A$25:B$29,2,0)</f>
        <v>10</v>
      </c>
      <c r="AF491" s="1"/>
      <c r="AG491" s="1" t="s">
        <v>45</v>
      </c>
      <c r="AH491" s="22">
        <f>VLOOKUP(TablaCalificaciones[[#This Row],[Respuestas a preguntas]],PESOS!A$25:B$29,2,0)</f>
        <v>10</v>
      </c>
      <c r="AI491" s="1"/>
      <c r="AJ491" s="1" t="s">
        <v>45</v>
      </c>
      <c r="AK491" s="22">
        <f>VLOOKUP(TablaCalificaciones[[#This Row],[Cierre: aporte a próximos pasos]],PESOS!A$25:B$29,2,0)</f>
        <v>10</v>
      </c>
      <c r="AL491" s="1"/>
      <c r="AM491" s="1"/>
    </row>
    <row r="492" spans="1:39">
      <c r="A492">
        <v>495</v>
      </c>
      <c r="B492" s="2">
        <v>46136.526192129597</v>
      </c>
      <c r="C492" s="2">
        <v>46136.526574074102</v>
      </c>
      <c r="D492" s="1" t="s">
        <v>39</v>
      </c>
      <c r="E492" s="1" t="s">
        <v>40</v>
      </c>
      <c r="G492" s="1"/>
      <c r="H492" s="2"/>
      <c r="I492" s="1" t="s">
        <v>134</v>
      </c>
      <c r="K492" s="1"/>
      <c r="L492" s="1" t="s">
        <v>42</v>
      </c>
      <c r="M492" s="26" t="str">
        <f>CONCATENATE(TablaCalificaciones[[#This Row],[Seleccione su nombre (Evaluador)]],TablaCalificaciones[[#This Row],[Seleccione el nombre del Estudiante]])</f>
        <v>Patricio David PonceMolina Vásconez Alex François</v>
      </c>
      <c r="N492" s="1"/>
      <c r="O492" s="1" t="s">
        <v>310</v>
      </c>
      <c r="Q492" s="1"/>
      <c r="R492" s="1" t="s">
        <v>44</v>
      </c>
      <c r="S492" s="22">
        <f>VLOOKUP(TablaCalificaciones[[#This Row],[Apertura: problema y objetivo ]],PESOS!A$16:B$20,2,0)</f>
        <v>20</v>
      </c>
      <c r="T492" s="1"/>
      <c r="U492" s="1" t="s">
        <v>44</v>
      </c>
      <c r="V492" s="22">
        <f>VLOOKUP(TablaCalificaciones[[#This Row],[Metodología (nivel adecuado)]],PESOS!A$16:B$20,2,0)</f>
        <v>20</v>
      </c>
      <c r="W492" s="1"/>
      <c r="X492" s="1" t="s">
        <v>44</v>
      </c>
      <c r="Y492" s="22">
        <f>VLOOKUP(TablaCalificaciones[[#This Row],[Resultados y evidencia ]],PESOS!A$16:B$20,2,0)</f>
        <v>20</v>
      </c>
      <c r="Z492" s="1"/>
      <c r="AA492" s="1" t="s">
        <v>45</v>
      </c>
      <c r="AB492" s="22">
        <f>VLOOKUP(TablaCalificaciones[[#This Row],[Coherencia y manejo del tiempo]],PESOS!A$25:B$29,2,0)</f>
        <v>10</v>
      </c>
      <c r="AC492" s="1"/>
      <c r="AD492" s="1" t="s">
        <v>45</v>
      </c>
      <c r="AE492" s="22">
        <f>VLOOKUP(TablaCalificaciones[[#This Row],[Diapositivas como apoyo]],PESOS!A$25:B$29,2,0)</f>
        <v>10</v>
      </c>
      <c r="AF492" s="1"/>
      <c r="AG492" s="1" t="s">
        <v>45</v>
      </c>
      <c r="AH492" s="22">
        <f>VLOOKUP(TablaCalificaciones[[#This Row],[Respuestas a preguntas]],PESOS!A$25:B$29,2,0)</f>
        <v>10</v>
      </c>
      <c r="AI492" s="1"/>
      <c r="AJ492" s="1" t="s">
        <v>45</v>
      </c>
      <c r="AK492" s="22">
        <f>VLOOKUP(TablaCalificaciones[[#This Row],[Cierre: aporte a próximos pasos]],PESOS!A$25:B$29,2,0)</f>
        <v>10</v>
      </c>
      <c r="AL492" s="1"/>
      <c r="AM492" s="1"/>
    </row>
    <row r="493" spans="1:39">
      <c r="A493">
        <v>496</v>
      </c>
      <c r="B493" s="2">
        <v>46136.526597222197</v>
      </c>
      <c r="C493" s="2">
        <v>46136.527164351799</v>
      </c>
      <c r="D493" s="1" t="s">
        <v>39</v>
      </c>
      <c r="E493" s="1" t="s">
        <v>40</v>
      </c>
      <c r="G493" s="1"/>
      <c r="H493" s="2"/>
      <c r="I493" s="1" t="s">
        <v>134</v>
      </c>
      <c r="K493" s="1"/>
      <c r="L493" s="1" t="s">
        <v>42</v>
      </c>
      <c r="M493" s="26" t="str">
        <f>CONCATENATE(TablaCalificaciones[[#This Row],[Seleccione su nombre (Evaluador)]],TablaCalificaciones[[#This Row],[Seleccione el nombre del Estudiante]])</f>
        <v>Patricio David PonceGuambo Heredia José Luis</v>
      </c>
      <c r="N493" s="1"/>
      <c r="O493" s="1" t="s">
        <v>307</v>
      </c>
      <c r="Q493" s="1"/>
      <c r="R493" s="1" t="s">
        <v>44</v>
      </c>
      <c r="S493" s="22">
        <f>VLOOKUP(TablaCalificaciones[[#This Row],[Apertura: problema y objetivo ]],PESOS!A$16:B$20,2,0)</f>
        <v>20</v>
      </c>
      <c r="T493" s="1"/>
      <c r="U493" s="1" t="s">
        <v>44</v>
      </c>
      <c r="V493" s="22">
        <f>VLOOKUP(TablaCalificaciones[[#This Row],[Metodología (nivel adecuado)]],PESOS!A$16:B$20,2,0)</f>
        <v>20</v>
      </c>
      <c r="W493" s="1"/>
      <c r="X493" s="1" t="s">
        <v>44</v>
      </c>
      <c r="Y493" s="22">
        <f>VLOOKUP(TablaCalificaciones[[#This Row],[Resultados y evidencia ]],PESOS!A$16:B$20,2,0)</f>
        <v>20</v>
      </c>
      <c r="Z493" s="1"/>
      <c r="AA493" s="1" t="s">
        <v>45</v>
      </c>
      <c r="AB493" s="22">
        <f>VLOOKUP(TablaCalificaciones[[#This Row],[Coherencia y manejo del tiempo]],PESOS!A$25:B$29,2,0)</f>
        <v>10</v>
      </c>
      <c r="AC493" s="1"/>
      <c r="AD493" s="1" t="s">
        <v>45</v>
      </c>
      <c r="AE493" s="22">
        <f>VLOOKUP(TablaCalificaciones[[#This Row],[Diapositivas como apoyo]],PESOS!A$25:B$29,2,0)</f>
        <v>10</v>
      </c>
      <c r="AF493" s="1"/>
      <c r="AG493" s="1" t="s">
        <v>45</v>
      </c>
      <c r="AH493" s="22">
        <f>VLOOKUP(TablaCalificaciones[[#This Row],[Respuestas a preguntas]],PESOS!A$25:B$29,2,0)</f>
        <v>10</v>
      </c>
      <c r="AI493" s="1"/>
      <c r="AJ493" s="1" t="s">
        <v>45</v>
      </c>
      <c r="AK493" s="22">
        <f>VLOOKUP(TablaCalificaciones[[#This Row],[Cierre: aporte a próximos pasos]],PESOS!A$25:B$29,2,0)</f>
        <v>10</v>
      </c>
      <c r="AL493" s="1"/>
      <c r="AM493" s="1"/>
    </row>
    <row r="494" spans="1:39">
      <c r="A494">
        <v>497</v>
      </c>
      <c r="B494" s="2">
        <v>46136.527175925898</v>
      </c>
      <c r="C494" s="2">
        <v>46136.527465277803</v>
      </c>
      <c r="D494" s="1" t="s">
        <v>39</v>
      </c>
      <c r="E494" s="1" t="s">
        <v>40</v>
      </c>
      <c r="G494" s="1"/>
      <c r="H494" s="2"/>
      <c r="I494" s="1" t="s">
        <v>134</v>
      </c>
      <c r="K494" s="1"/>
      <c r="L494" s="1" t="s">
        <v>42</v>
      </c>
      <c r="M494" s="26" t="str">
        <f>CONCATENATE(TablaCalificaciones[[#This Row],[Seleccione su nombre (Evaluador)]],TablaCalificaciones[[#This Row],[Seleccione el nombre del Estudiante]])</f>
        <v>Patricio David PonceEcheverría López Aarón David</v>
      </c>
      <c r="N494" s="1"/>
      <c r="O494" s="1" t="s">
        <v>306</v>
      </c>
      <c r="Q494" s="1"/>
      <c r="R494" s="1" t="s">
        <v>44</v>
      </c>
      <c r="S494" s="22">
        <f>VLOOKUP(TablaCalificaciones[[#This Row],[Apertura: problema y objetivo ]],PESOS!A$16:B$20,2,0)</f>
        <v>20</v>
      </c>
      <c r="T494" s="1"/>
      <c r="U494" s="1" t="s">
        <v>44</v>
      </c>
      <c r="V494" s="22">
        <f>VLOOKUP(TablaCalificaciones[[#This Row],[Metodología (nivel adecuado)]],PESOS!A$16:B$20,2,0)</f>
        <v>20</v>
      </c>
      <c r="W494" s="1"/>
      <c r="X494" s="1" t="s">
        <v>44</v>
      </c>
      <c r="Y494" s="22">
        <f>VLOOKUP(TablaCalificaciones[[#This Row],[Resultados y evidencia ]],PESOS!A$16:B$20,2,0)</f>
        <v>20</v>
      </c>
      <c r="Z494" s="1"/>
      <c r="AA494" s="1" t="s">
        <v>45</v>
      </c>
      <c r="AB494" s="22">
        <f>VLOOKUP(TablaCalificaciones[[#This Row],[Coherencia y manejo del tiempo]],PESOS!A$25:B$29,2,0)</f>
        <v>10</v>
      </c>
      <c r="AC494" s="1"/>
      <c r="AD494" s="1" t="s">
        <v>45</v>
      </c>
      <c r="AE494" s="22">
        <f>VLOOKUP(TablaCalificaciones[[#This Row],[Diapositivas como apoyo]],PESOS!A$25:B$29,2,0)</f>
        <v>10</v>
      </c>
      <c r="AF494" s="1"/>
      <c r="AG494" s="1" t="s">
        <v>51</v>
      </c>
      <c r="AH494" s="22">
        <f>VLOOKUP(TablaCalificaciones[[#This Row],[Respuestas a preguntas]],PESOS!A$25:B$29,2,0)</f>
        <v>8</v>
      </c>
      <c r="AI494" s="1"/>
      <c r="AJ494" s="1" t="s">
        <v>45</v>
      </c>
      <c r="AK494" s="22">
        <f>VLOOKUP(TablaCalificaciones[[#This Row],[Cierre: aporte a próximos pasos]],PESOS!A$25:B$29,2,0)</f>
        <v>10</v>
      </c>
      <c r="AL494" s="1"/>
      <c r="AM494" s="1"/>
    </row>
    <row r="495" spans="1:39">
      <c r="A495">
        <v>498</v>
      </c>
      <c r="B495" s="2">
        <v>46136.527476851901</v>
      </c>
      <c r="C495" s="2">
        <v>46136.528298611098</v>
      </c>
      <c r="D495" s="1" t="s">
        <v>39</v>
      </c>
      <c r="E495" s="1" t="s">
        <v>40</v>
      </c>
      <c r="G495" s="1"/>
      <c r="H495" s="2"/>
      <c r="I495" s="1" t="s">
        <v>134</v>
      </c>
      <c r="K495" s="1"/>
      <c r="L495" s="1" t="s">
        <v>42</v>
      </c>
      <c r="M495" s="26" t="str">
        <f>CONCATENATE(TablaCalificaciones[[#This Row],[Seleccione su nombre (Evaluador)]],TablaCalificaciones[[#This Row],[Seleccione el nombre del Estudiante]])</f>
        <v>Patricio David PonceCamacho González Renato Daniel</v>
      </c>
      <c r="N495" s="1"/>
      <c r="O495" s="1" t="s">
        <v>304</v>
      </c>
      <c r="Q495" s="1"/>
      <c r="R495" s="1" t="s">
        <v>44</v>
      </c>
      <c r="S495" s="22">
        <f>VLOOKUP(TablaCalificaciones[[#This Row],[Apertura: problema y objetivo ]],PESOS!A$16:B$20,2,0)</f>
        <v>20</v>
      </c>
      <c r="T495" s="1"/>
      <c r="U495" s="1" t="s">
        <v>44</v>
      </c>
      <c r="V495" s="22">
        <f>VLOOKUP(TablaCalificaciones[[#This Row],[Metodología (nivel adecuado)]],PESOS!A$16:B$20,2,0)</f>
        <v>20</v>
      </c>
      <c r="W495" s="1"/>
      <c r="X495" s="1" t="s">
        <v>44</v>
      </c>
      <c r="Y495" s="22">
        <f>VLOOKUP(TablaCalificaciones[[#This Row],[Resultados y evidencia ]],PESOS!A$16:B$20,2,0)</f>
        <v>20</v>
      </c>
      <c r="Z495" s="1"/>
      <c r="AA495" s="1" t="s">
        <v>45</v>
      </c>
      <c r="AB495" s="22">
        <f>VLOOKUP(TablaCalificaciones[[#This Row],[Coherencia y manejo del tiempo]],PESOS!A$25:B$29,2,0)</f>
        <v>10</v>
      </c>
      <c r="AC495" s="1"/>
      <c r="AD495" s="1" t="s">
        <v>45</v>
      </c>
      <c r="AE495" s="22">
        <f>VLOOKUP(TablaCalificaciones[[#This Row],[Diapositivas como apoyo]],PESOS!A$25:B$29,2,0)</f>
        <v>10</v>
      </c>
      <c r="AF495" s="1"/>
      <c r="AG495" s="1" t="s">
        <v>45</v>
      </c>
      <c r="AH495" s="22">
        <f>VLOOKUP(TablaCalificaciones[[#This Row],[Respuestas a preguntas]],PESOS!A$25:B$29,2,0)</f>
        <v>10</v>
      </c>
      <c r="AI495" s="1"/>
      <c r="AJ495" s="1" t="s">
        <v>45</v>
      </c>
      <c r="AK495" s="22">
        <f>VLOOKUP(TablaCalificaciones[[#This Row],[Cierre: aporte a próximos pasos]],PESOS!A$25:B$29,2,0)</f>
        <v>10</v>
      </c>
      <c r="AL495" s="1"/>
      <c r="AM495" s="1"/>
    </row>
    <row r="496" spans="1:39">
      <c r="A496">
        <v>499</v>
      </c>
      <c r="B496" s="2">
        <v>46136.528321759302</v>
      </c>
      <c r="C496" s="2">
        <v>46136.528738425899</v>
      </c>
      <c r="D496" s="1" t="s">
        <v>39</v>
      </c>
      <c r="E496" s="1" t="s">
        <v>40</v>
      </c>
      <c r="G496" s="1"/>
      <c r="H496" s="2"/>
      <c r="I496" s="1" t="s">
        <v>134</v>
      </c>
      <c r="K496" s="1"/>
      <c r="L496" s="1" t="s">
        <v>42</v>
      </c>
      <c r="M496" s="26" t="str">
        <f>CONCATENATE(TablaCalificaciones[[#This Row],[Seleccione su nombre (Evaluador)]],TablaCalificaciones[[#This Row],[Seleccione el nombre del Estudiante]])</f>
        <v>Patricio David PonceGomez de la Torre Reyes Oswaldo Fernando</v>
      </c>
      <c r="N496" s="1"/>
      <c r="O496" s="1" t="s">
        <v>305</v>
      </c>
      <c r="Q496" s="1"/>
      <c r="R496" s="1" t="s">
        <v>44</v>
      </c>
      <c r="S496" s="22">
        <f>VLOOKUP(TablaCalificaciones[[#This Row],[Apertura: problema y objetivo ]],PESOS!A$16:B$20,2,0)</f>
        <v>20</v>
      </c>
      <c r="T496" s="1"/>
      <c r="U496" s="1" t="s">
        <v>44</v>
      </c>
      <c r="V496" s="22">
        <f>VLOOKUP(TablaCalificaciones[[#This Row],[Metodología (nivel adecuado)]],PESOS!A$16:B$20,2,0)</f>
        <v>20</v>
      </c>
      <c r="W496" s="1"/>
      <c r="X496" s="1" t="s">
        <v>44</v>
      </c>
      <c r="Y496" s="22">
        <f>VLOOKUP(TablaCalificaciones[[#This Row],[Resultados y evidencia ]],PESOS!A$16:B$20,2,0)</f>
        <v>20</v>
      </c>
      <c r="Z496" s="1"/>
      <c r="AA496" s="1" t="s">
        <v>45</v>
      </c>
      <c r="AB496" s="22">
        <f>VLOOKUP(TablaCalificaciones[[#This Row],[Coherencia y manejo del tiempo]],PESOS!A$25:B$29,2,0)</f>
        <v>10</v>
      </c>
      <c r="AC496" s="1"/>
      <c r="AD496" s="1" t="s">
        <v>45</v>
      </c>
      <c r="AE496" s="22">
        <f>VLOOKUP(TablaCalificaciones[[#This Row],[Diapositivas como apoyo]],PESOS!A$25:B$29,2,0)</f>
        <v>10</v>
      </c>
      <c r="AF496" s="1"/>
      <c r="AG496" s="1" t="s">
        <v>45</v>
      </c>
      <c r="AH496" s="22">
        <f>VLOOKUP(TablaCalificaciones[[#This Row],[Respuestas a preguntas]],PESOS!A$25:B$29,2,0)</f>
        <v>10</v>
      </c>
      <c r="AI496" s="1"/>
      <c r="AJ496" s="1" t="s">
        <v>45</v>
      </c>
      <c r="AK496" s="22">
        <f>VLOOKUP(TablaCalificaciones[[#This Row],[Cierre: aporte a próximos pasos]],PESOS!A$25:B$29,2,0)</f>
        <v>10</v>
      </c>
      <c r="AL496" s="1"/>
      <c r="AM496" s="1"/>
    </row>
    <row r="497" spans="1:39">
      <c r="A497">
        <v>500</v>
      </c>
      <c r="B497" s="2">
        <v>46136.528761574104</v>
      </c>
      <c r="C497" s="2">
        <v>46136.529699074097</v>
      </c>
      <c r="D497" s="1" t="s">
        <v>39</v>
      </c>
      <c r="E497" s="1" t="s">
        <v>40</v>
      </c>
      <c r="G497" s="1"/>
      <c r="H497" s="2"/>
      <c r="I497" s="1" t="s">
        <v>134</v>
      </c>
      <c r="K497" s="1"/>
      <c r="L497" s="1" t="s">
        <v>42</v>
      </c>
      <c r="M497" s="26" t="str">
        <f>CONCATENATE(TablaCalificaciones[[#This Row],[Seleccione su nombre (Evaluador)]],TablaCalificaciones[[#This Row],[Seleccione el nombre del Estudiante]])</f>
        <v>Patricio David PonceSarabino Cuichan Bryan Benjamin</v>
      </c>
      <c r="N497" s="1"/>
      <c r="O497" s="1" t="s">
        <v>302</v>
      </c>
      <c r="Q497" s="1"/>
      <c r="R497" s="1" t="s">
        <v>44</v>
      </c>
      <c r="S497" s="22">
        <f>VLOOKUP(TablaCalificaciones[[#This Row],[Apertura: problema y objetivo ]],PESOS!A$16:B$20,2,0)</f>
        <v>20</v>
      </c>
      <c r="T497" s="1"/>
      <c r="U497" s="1" t="s">
        <v>44</v>
      </c>
      <c r="V497" s="22">
        <f>VLOOKUP(TablaCalificaciones[[#This Row],[Metodología (nivel adecuado)]],PESOS!A$16:B$20,2,0)</f>
        <v>20</v>
      </c>
      <c r="W497" s="1"/>
      <c r="X497" s="1" t="s">
        <v>50</v>
      </c>
      <c r="Y497" s="22">
        <f>VLOOKUP(TablaCalificaciones[[#This Row],[Resultados y evidencia ]],PESOS!A$16:B$20,2,0)</f>
        <v>16</v>
      </c>
      <c r="Z497" s="1"/>
      <c r="AA497" s="1" t="s">
        <v>45</v>
      </c>
      <c r="AB497" s="22">
        <f>VLOOKUP(TablaCalificaciones[[#This Row],[Coherencia y manejo del tiempo]],PESOS!A$25:B$29,2,0)</f>
        <v>10</v>
      </c>
      <c r="AC497" s="1"/>
      <c r="AD497" s="1" t="s">
        <v>45</v>
      </c>
      <c r="AE497" s="22">
        <f>VLOOKUP(TablaCalificaciones[[#This Row],[Diapositivas como apoyo]],PESOS!A$25:B$29,2,0)</f>
        <v>10</v>
      </c>
      <c r="AF497" s="1"/>
      <c r="AG497" s="1" t="s">
        <v>51</v>
      </c>
      <c r="AH497" s="22">
        <f>VLOOKUP(TablaCalificaciones[[#This Row],[Respuestas a preguntas]],PESOS!A$25:B$29,2,0)</f>
        <v>8</v>
      </c>
      <c r="AI497" s="1"/>
      <c r="AJ497" s="1" t="s">
        <v>51</v>
      </c>
      <c r="AK497" s="22">
        <f>VLOOKUP(TablaCalificaciones[[#This Row],[Cierre: aporte a próximos pasos]],PESOS!A$25:B$29,2,0)</f>
        <v>8</v>
      </c>
      <c r="AL497" s="1"/>
      <c r="AM497" s="1"/>
    </row>
    <row r="498" spans="1:39">
      <c r="A498">
        <v>501</v>
      </c>
      <c r="B498" s="2">
        <v>46136.529710648101</v>
      </c>
      <c r="C498" s="2">
        <v>46136.530601851897</v>
      </c>
      <c r="D498" s="1" t="s">
        <v>39</v>
      </c>
      <c r="E498" s="1" t="s">
        <v>40</v>
      </c>
      <c r="G498" s="1"/>
      <c r="H498" s="2"/>
      <c r="I498" s="1" t="s">
        <v>134</v>
      </c>
      <c r="K498" s="1"/>
      <c r="L498" s="1" t="s">
        <v>42</v>
      </c>
      <c r="M498" s="26" t="str">
        <f>CONCATENATE(TablaCalificaciones[[#This Row],[Seleccione su nombre (Evaluador)]],TablaCalificaciones[[#This Row],[Seleccione el nombre del Estudiante]])</f>
        <v>Patricio David PoncePelassa Zambrano Pietro Salvatore</v>
      </c>
      <c r="N498" s="1"/>
      <c r="O498" s="1" t="s">
        <v>297</v>
      </c>
      <c r="Q498" s="1"/>
      <c r="R498" s="1" t="s">
        <v>44</v>
      </c>
      <c r="S498" s="22">
        <f>VLOOKUP(TablaCalificaciones[[#This Row],[Apertura: problema y objetivo ]],PESOS!A$16:B$20,2,0)</f>
        <v>20</v>
      </c>
      <c r="T498" s="1"/>
      <c r="U498" s="1" t="s">
        <v>44</v>
      </c>
      <c r="V498" s="22">
        <f>VLOOKUP(TablaCalificaciones[[#This Row],[Metodología (nivel adecuado)]],PESOS!A$16:B$20,2,0)</f>
        <v>20</v>
      </c>
      <c r="W498" s="1"/>
      <c r="X498" s="1" t="s">
        <v>50</v>
      </c>
      <c r="Y498" s="22">
        <f>VLOOKUP(TablaCalificaciones[[#This Row],[Resultados y evidencia ]],PESOS!A$16:B$20,2,0)</f>
        <v>16</v>
      </c>
      <c r="Z498" s="1"/>
      <c r="AA498" s="1" t="s">
        <v>45</v>
      </c>
      <c r="AB498" s="22">
        <f>VLOOKUP(TablaCalificaciones[[#This Row],[Coherencia y manejo del tiempo]],PESOS!A$25:B$29,2,0)</f>
        <v>10</v>
      </c>
      <c r="AC498" s="1"/>
      <c r="AD498" s="1" t="s">
        <v>45</v>
      </c>
      <c r="AE498" s="22">
        <f>VLOOKUP(TablaCalificaciones[[#This Row],[Diapositivas como apoyo]],PESOS!A$25:B$29,2,0)</f>
        <v>10</v>
      </c>
      <c r="AF498" s="1"/>
      <c r="AG498" s="1" t="s">
        <v>83</v>
      </c>
      <c r="AH498" s="22">
        <f>VLOOKUP(TablaCalificaciones[[#This Row],[Respuestas a preguntas]],PESOS!A$25:B$29,2,0)</f>
        <v>6</v>
      </c>
      <c r="AI498" s="1"/>
      <c r="AJ498" s="1" t="s">
        <v>51</v>
      </c>
      <c r="AK498" s="22">
        <f>VLOOKUP(TablaCalificaciones[[#This Row],[Cierre: aporte a próximos pasos]],PESOS!A$25:B$29,2,0)</f>
        <v>8</v>
      </c>
      <c r="AL498" s="1"/>
      <c r="AM498" s="1"/>
    </row>
    <row r="499" spans="1:39">
      <c r="A499">
        <v>502</v>
      </c>
      <c r="B499" s="2">
        <v>46136.530624999999</v>
      </c>
      <c r="C499" s="2">
        <v>46136.531319444402</v>
      </c>
      <c r="D499" s="1" t="s">
        <v>39</v>
      </c>
      <c r="E499" s="1" t="s">
        <v>40</v>
      </c>
      <c r="G499" s="1"/>
      <c r="H499" s="2"/>
      <c r="I499" s="1" t="s">
        <v>134</v>
      </c>
      <c r="K499" s="1"/>
      <c r="L499" s="1" t="s">
        <v>42</v>
      </c>
      <c r="M499" s="26" t="str">
        <f>CONCATENATE(TablaCalificaciones[[#This Row],[Seleccione su nombre (Evaluador)]],TablaCalificaciones[[#This Row],[Seleccione el nombre del Estudiante]])</f>
        <v>Patricio David PonceSilva Villalobos Medardo Mauricio</v>
      </c>
      <c r="N499" s="1"/>
      <c r="O499" s="1" t="s">
        <v>296</v>
      </c>
      <c r="Q499" s="1"/>
      <c r="R499" s="1" t="s">
        <v>44</v>
      </c>
      <c r="S499" s="22">
        <f>VLOOKUP(TablaCalificaciones[[#This Row],[Apertura: problema y objetivo ]],PESOS!A$16:B$20,2,0)</f>
        <v>20</v>
      </c>
      <c r="T499" s="1"/>
      <c r="U499" s="1" t="s">
        <v>44</v>
      </c>
      <c r="V499" s="22">
        <f>VLOOKUP(TablaCalificaciones[[#This Row],[Metodología (nivel adecuado)]],PESOS!A$16:B$20,2,0)</f>
        <v>20</v>
      </c>
      <c r="W499" s="1"/>
      <c r="X499" s="1" t="s">
        <v>50</v>
      </c>
      <c r="Y499" s="22">
        <f>VLOOKUP(TablaCalificaciones[[#This Row],[Resultados y evidencia ]],PESOS!A$16:B$20,2,0)</f>
        <v>16</v>
      </c>
      <c r="Z499" s="1"/>
      <c r="AA499" s="1" t="s">
        <v>45</v>
      </c>
      <c r="AB499" s="22">
        <f>VLOOKUP(TablaCalificaciones[[#This Row],[Coherencia y manejo del tiempo]],PESOS!A$25:B$29,2,0)</f>
        <v>10</v>
      </c>
      <c r="AC499" s="1"/>
      <c r="AD499" s="1" t="s">
        <v>45</v>
      </c>
      <c r="AE499" s="22">
        <f>VLOOKUP(TablaCalificaciones[[#This Row],[Diapositivas como apoyo]],PESOS!A$25:B$29,2,0)</f>
        <v>10</v>
      </c>
      <c r="AF499" s="1"/>
      <c r="AG499" s="1" t="s">
        <v>45</v>
      </c>
      <c r="AH499" s="22">
        <f>VLOOKUP(TablaCalificaciones[[#This Row],[Respuestas a preguntas]],PESOS!A$25:B$29,2,0)</f>
        <v>10</v>
      </c>
      <c r="AI499" s="1"/>
      <c r="AJ499" s="1" t="s">
        <v>51</v>
      </c>
      <c r="AK499" s="22">
        <f>VLOOKUP(TablaCalificaciones[[#This Row],[Cierre: aporte a próximos pasos]],PESOS!A$25:B$29,2,0)</f>
        <v>8</v>
      </c>
      <c r="AL499" s="1"/>
      <c r="AM499" s="1"/>
    </row>
    <row r="500" spans="1:39">
      <c r="A500">
        <v>503</v>
      </c>
      <c r="B500" s="2">
        <v>46136.5313425926</v>
      </c>
      <c r="C500" s="2">
        <v>46136.531712962998</v>
      </c>
      <c r="D500" s="1" t="s">
        <v>39</v>
      </c>
      <c r="E500" s="1" t="s">
        <v>40</v>
      </c>
      <c r="G500" s="1"/>
      <c r="H500" s="2"/>
      <c r="I500" s="1" t="s">
        <v>134</v>
      </c>
      <c r="K500" s="1"/>
      <c r="L500" s="1" t="s">
        <v>42</v>
      </c>
      <c r="M500" s="26" t="str">
        <f>CONCATENATE(TablaCalificaciones[[#This Row],[Seleccione su nombre (Evaluador)]],TablaCalificaciones[[#This Row],[Seleccione el nombre del Estudiante]])</f>
        <v>Patricio David PonceVera Zamora Victor Vicente</v>
      </c>
      <c r="N500" s="1"/>
      <c r="O500" s="1" t="s">
        <v>298</v>
      </c>
      <c r="Q500" s="1"/>
      <c r="R500" s="1" t="s">
        <v>44</v>
      </c>
      <c r="S500" s="22">
        <f>VLOOKUP(TablaCalificaciones[[#This Row],[Apertura: problema y objetivo ]],PESOS!A$16:B$20,2,0)</f>
        <v>20</v>
      </c>
      <c r="T500" s="1"/>
      <c r="U500" s="1" t="s">
        <v>44</v>
      </c>
      <c r="V500" s="22">
        <f>VLOOKUP(TablaCalificaciones[[#This Row],[Metodología (nivel adecuado)]],PESOS!A$16:B$20,2,0)</f>
        <v>20</v>
      </c>
      <c r="W500" s="1"/>
      <c r="X500" s="1" t="s">
        <v>50</v>
      </c>
      <c r="Y500" s="22">
        <f>VLOOKUP(TablaCalificaciones[[#This Row],[Resultados y evidencia ]],PESOS!A$16:B$20,2,0)</f>
        <v>16</v>
      </c>
      <c r="Z500" s="1"/>
      <c r="AA500" s="1" t="s">
        <v>45</v>
      </c>
      <c r="AB500" s="22">
        <f>VLOOKUP(TablaCalificaciones[[#This Row],[Coherencia y manejo del tiempo]],PESOS!A$25:B$29,2,0)</f>
        <v>10</v>
      </c>
      <c r="AC500" s="1"/>
      <c r="AD500" s="1" t="s">
        <v>45</v>
      </c>
      <c r="AE500" s="22">
        <f>VLOOKUP(TablaCalificaciones[[#This Row],[Diapositivas como apoyo]],PESOS!A$25:B$29,2,0)</f>
        <v>10</v>
      </c>
      <c r="AF500" s="1"/>
      <c r="AG500" s="1" t="s">
        <v>51</v>
      </c>
      <c r="AH500" s="22">
        <f>VLOOKUP(TablaCalificaciones[[#This Row],[Respuestas a preguntas]],PESOS!A$25:B$29,2,0)</f>
        <v>8</v>
      </c>
      <c r="AI500" s="1"/>
      <c r="AJ500" s="1" t="s">
        <v>45</v>
      </c>
      <c r="AK500" s="22">
        <f>VLOOKUP(TablaCalificaciones[[#This Row],[Cierre: aporte a próximos pasos]],PESOS!A$25:B$29,2,0)</f>
        <v>10</v>
      </c>
      <c r="AL500" s="1"/>
      <c r="AM500" s="1"/>
    </row>
    <row r="501" spans="1:39">
      <c r="A501">
        <v>504</v>
      </c>
      <c r="B501" s="2">
        <v>46136.531736111101</v>
      </c>
      <c r="C501" s="2">
        <v>46136.532453703701</v>
      </c>
      <c r="D501" s="1" t="s">
        <v>39</v>
      </c>
      <c r="E501" s="1" t="s">
        <v>40</v>
      </c>
      <c r="G501" s="1"/>
      <c r="H501" s="2"/>
      <c r="I501" s="1" t="s">
        <v>134</v>
      </c>
      <c r="K501" s="1"/>
      <c r="L501" s="1" t="s">
        <v>42</v>
      </c>
      <c r="M501" s="26" t="str">
        <f>CONCATENATE(TablaCalificaciones[[#This Row],[Seleccione su nombre (Evaluador)]],TablaCalificaciones[[#This Row],[Seleccione el nombre del Estudiante]])</f>
        <v>Patricio David PonceAngulo Dávila Carlos Andrés</v>
      </c>
      <c r="N501" s="1"/>
      <c r="O501" s="1" t="s">
        <v>289</v>
      </c>
      <c r="Q501" s="1"/>
      <c r="R501" s="1" t="s">
        <v>44</v>
      </c>
      <c r="S501" s="22">
        <f>VLOOKUP(TablaCalificaciones[[#This Row],[Apertura: problema y objetivo ]],PESOS!A$16:B$20,2,0)</f>
        <v>20</v>
      </c>
      <c r="T501" s="1"/>
      <c r="U501" s="1" t="s">
        <v>50</v>
      </c>
      <c r="V501" s="22">
        <f>VLOOKUP(TablaCalificaciones[[#This Row],[Metodología (nivel adecuado)]],PESOS!A$16:B$20,2,0)</f>
        <v>16</v>
      </c>
      <c r="W501" s="1"/>
      <c r="X501" s="1" t="s">
        <v>44</v>
      </c>
      <c r="Y501" s="22">
        <f>VLOOKUP(TablaCalificaciones[[#This Row],[Resultados y evidencia ]],PESOS!A$16:B$20,2,0)</f>
        <v>20</v>
      </c>
      <c r="Z501" s="1"/>
      <c r="AA501" s="1" t="s">
        <v>45</v>
      </c>
      <c r="AB501" s="22">
        <f>VLOOKUP(TablaCalificaciones[[#This Row],[Coherencia y manejo del tiempo]],PESOS!A$25:B$29,2,0)</f>
        <v>10</v>
      </c>
      <c r="AC501" s="1"/>
      <c r="AD501" s="1" t="s">
        <v>45</v>
      </c>
      <c r="AE501" s="22">
        <f>VLOOKUP(TablaCalificaciones[[#This Row],[Diapositivas como apoyo]],PESOS!A$25:B$29,2,0)</f>
        <v>10</v>
      </c>
      <c r="AF501" s="1"/>
      <c r="AG501" s="1" t="s">
        <v>51</v>
      </c>
      <c r="AH501" s="22">
        <f>VLOOKUP(TablaCalificaciones[[#This Row],[Respuestas a preguntas]],PESOS!A$25:B$29,2,0)</f>
        <v>8</v>
      </c>
      <c r="AI501" s="1"/>
      <c r="AJ501" s="1" t="s">
        <v>45</v>
      </c>
      <c r="AK501" s="22">
        <f>VLOOKUP(TablaCalificaciones[[#This Row],[Cierre: aporte a próximos pasos]],PESOS!A$25:B$29,2,0)</f>
        <v>10</v>
      </c>
      <c r="AL501" s="1"/>
      <c r="AM501" s="1"/>
    </row>
    <row r="502" spans="1:39">
      <c r="A502">
        <v>505</v>
      </c>
      <c r="B502" s="2">
        <v>46136.5324652778</v>
      </c>
      <c r="C502" s="2">
        <v>46136.5328703704</v>
      </c>
      <c r="D502" s="1" t="s">
        <v>39</v>
      </c>
      <c r="E502" s="1" t="s">
        <v>40</v>
      </c>
      <c r="G502" s="1"/>
      <c r="H502" s="2"/>
      <c r="I502" s="1" t="s">
        <v>134</v>
      </c>
      <c r="K502" s="1"/>
      <c r="L502" s="1" t="s">
        <v>42</v>
      </c>
      <c r="M502" s="26" t="str">
        <f>CONCATENATE(TablaCalificaciones[[#This Row],[Seleccione su nombre (Evaluador)]],TablaCalificaciones[[#This Row],[Seleccione el nombre del Estudiante]])</f>
        <v>Patricio David PonceChicaiza Ayala Alexandra Patricia</v>
      </c>
      <c r="N502" s="1"/>
      <c r="O502" s="1" t="s">
        <v>292</v>
      </c>
      <c r="Q502" s="1"/>
      <c r="R502" s="1" t="s">
        <v>44</v>
      </c>
      <c r="S502" s="22">
        <f>VLOOKUP(TablaCalificaciones[[#This Row],[Apertura: problema y objetivo ]],PESOS!A$16:B$20,2,0)</f>
        <v>20</v>
      </c>
      <c r="T502" s="1"/>
      <c r="U502" s="1" t="s">
        <v>50</v>
      </c>
      <c r="V502" s="22">
        <f>VLOOKUP(TablaCalificaciones[[#This Row],[Metodología (nivel adecuado)]],PESOS!A$16:B$20,2,0)</f>
        <v>16</v>
      </c>
      <c r="W502" s="1"/>
      <c r="X502" s="1" t="s">
        <v>44</v>
      </c>
      <c r="Y502" s="22">
        <f>VLOOKUP(TablaCalificaciones[[#This Row],[Resultados y evidencia ]],PESOS!A$16:B$20,2,0)</f>
        <v>20</v>
      </c>
      <c r="Z502" s="1"/>
      <c r="AA502" s="1" t="s">
        <v>45</v>
      </c>
      <c r="AB502" s="22">
        <f>VLOOKUP(TablaCalificaciones[[#This Row],[Coherencia y manejo del tiempo]],PESOS!A$25:B$29,2,0)</f>
        <v>10</v>
      </c>
      <c r="AC502" s="1"/>
      <c r="AD502" s="1" t="s">
        <v>45</v>
      </c>
      <c r="AE502" s="22">
        <f>VLOOKUP(TablaCalificaciones[[#This Row],[Diapositivas como apoyo]],PESOS!A$25:B$29,2,0)</f>
        <v>10</v>
      </c>
      <c r="AF502" s="1"/>
      <c r="AG502" s="1" t="s">
        <v>51</v>
      </c>
      <c r="AH502" s="22">
        <f>VLOOKUP(TablaCalificaciones[[#This Row],[Respuestas a preguntas]],PESOS!A$25:B$29,2,0)</f>
        <v>8</v>
      </c>
      <c r="AI502" s="1"/>
      <c r="AJ502" s="1" t="s">
        <v>51</v>
      </c>
      <c r="AK502" s="22">
        <f>VLOOKUP(TablaCalificaciones[[#This Row],[Cierre: aporte a próximos pasos]],PESOS!A$25:B$29,2,0)</f>
        <v>8</v>
      </c>
      <c r="AL502" s="1"/>
      <c r="AM502" s="1"/>
    </row>
    <row r="503" spans="1:39">
      <c r="A503">
        <v>506</v>
      </c>
      <c r="B503" s="2">
        <v>46136.513576388897</v>
      </c>
      <c r="C503" s="2">
        <v>46136.538275462997</v>
      </c>
      <c r="D503" s="1" t="s">
        <v>103</v>
      </c>
      <c r="E503" s="1" t="s">
        <v>104</v>
      </c>
      <c r="G503" s="1"/>
      <c r="H503" s="2"/>
      <c r="I503" s="1" t="s">
        <v>134</v>
      </c>
      <c r="K503" s="1"/>
      <c r="L503" s="1" t="s">
        <v>56</v>
      </c>
      <c r="M503" s="26" t="str">
        <f>CONCATENATE(TablaCalificaciones[[#This Row],[Seleccione su nombre (Evaluador)]],TablaCalificaciones[[#This Row],[Seleccione el nombre del Estudiante]])</f>
        <v>Marco Antonio Galarza CastilloSalazar Simbaña Sebastián Alejandro</v>
      </c>
      <c r="N503" s="1"/>
      <c r="O503" s="1" t="s">
        <v>325</v>
      </c>
      <c r="Q503" s="1"/>
      <c r="R503" s="1" t="s">
        <v>44</v>
      </c>
      <c r="S503" s="22">
        <f>VLOOKUP(TablaCalificaciones[[#This Row],[Apertura: problema y objetivo ]],PESOS!A$16:B$20,2,0)</f>
        <v>20</v>
      </c>
      <c r="T503" s="1"/>
      <c r="U503" s="1" t="s">
        <v>50</v>
      </c>
      <c r="V503" s="22">
        <f>VLOOKUP(TablaCalificaciones[[#This Row],[Metodología (nivel adecuado)]],PESOS!A$16:B$20,2,0)</f>
        <v>16</v>
      </c>
      <c r="W503" s="1"/>
      <c r="X503" s="1" t="s">
        <v>50</v>
      </c>
      <c r="Y503" s="22">
        <f>VLOOKUP(TablaCalificaciones[[#This Row],[Resultados y evidencia ]],PESOS!A$16:B$20,2,0)</f>
        <v>16</v>
      </c>
      <c r="Z503" s="1"/>
      <c r="AA503" s="1" t="s">
        <v>45</v>
      </c>
      <c r="AB503" s="22">
        <f>VLOOKUP(TablaCalificaciones[[#This Row],[Coherencia y manejo del tiempo]],PESOS!A$25:B$29,2,0)</f>
        <v>10</v>
      </c>
      <c r="AC503" s="1"/>
      <c r="AD503" s="1" t="s">
        <v>45</v>
      </c>
      <c r="AE503" s="22">
        <f>VLOOKUP(TablaCalificaciones[[#This Row],[Diapositivas como apoyo]],PESOS!A$25:B$29,2,0)</f>
        <v>10</v>
      </c>
      <c r="AF503" s="1"/>
      <c r="AG503" s="1" t="s">
        <v>51</v>
      </c>
      <c r="AH503" s="22">
        <f>VLOOKUP(TablaCalificaciones[[#This Row],[Respuestas a preguntas]],PESOS!A$25:B$29,2,0)</f>
        <v>8</v>
      </c>
      <c r="AI503" s="1"/>
      <c r="AJ503" s="1" t="s">
        <v>45</v>
      </c>
      <c r="AK503" s="22">
        <f>VLOOKUP(TablaCalificaciones[[#This Row],[Cierre: aporte a próximos pasos]],PESOS!A$25:B$29,2,0)</f>
        <v>10</v>
      </c>
      <c r="AL503" s="1"/>
      <c r="AM503" s="1"/>
    </row>
    <row r="504" spans="1:39">
      <c r="A504">
        <v>507</v>
      </c>
      <c r="B504" s="2">
        <v>46136.522488425901</v>
      </c>
      <c r="C504" s="2">
        <v>46136.538437499999</v>
      </c>
      <c r="D504" s="1" t="s">
        <v>103</v>
      </c>
      <c r="E504" s="1" t="s">
        <v>104</v>
      </c>
      <c r="G504" s="1"/>
      <c r="H504" s="2"/>
      <c r="I504" s="1" t="s">
        <v>134</v>
      </c>
      <c r="K504" s="1"/>
      <c r="L504" s="1" t="s">
        <v>56</v>
      </c>
      <c r="M504" s="26" t="str">
        <f>CONCATENATE(TablaCalificaciones[[#This Row],[Seleccione su nombre (Evaluador)]],TablaCalificaciones[[#This Row],[Seleccione el nombre del Estudiante]])</f>
        <v>Marco Antonio Galarza CastilloAcosta Balseca Belén Sarahí</v>
      </c>
      <c r="N504" s="1"/>
      <c r="O504" s="1" t="s">
        <v>326</v>
      </c>
      <c r="Q504" s="1"/>
      <c r="R504" s="1" t="s">
        <v>44</v>
      </c>
      <c r="S504" s="22">
        <f>VLOOKUP(TablaCalificaciones[[#This Row],[Apertura: problema y objetivo ]],PESOS!A$16:B$20,2,0)</f>
        <v>20</v>
      </c>
      <c r="T504" s="1"/>
      <c r="U504" s="1" t="s">
        <v>50</v>
      </c>
      <c r="V504" s="22">
        <f>VLOOKUP(TablaCalificaciones[[#This Row],[Metodología (nivel adecuado)]],PESOS!A$16:B$20,2,0)</f>
        <v>16</v>
      </c>
      <c r="W504" s="1"/>
      <c r="X504" s="1" t="s">
        <v>50</v>
      </c>
      <c r="Y504" s="22">
        <f>VLOOKUP(TablaCalificaciones[[#This Row],[Resultados y evidencia ]],PESOS!A$16:B$20,2,0)</f>
        <v>16</v>
      </c>
      <c r="Z504" s="1"/>
      <c r="AA504" s="1" t="s">
        <v>45</v>
      </c>
      <c r="AB504" s="22">
        <f>VLOOKUP(TablaCalificaciones[[#This Row],[Coherencia y manejo del tiempo]],PESOS!A$25:B$29,2,0)</f>
        <v>10</v>
      </c>
      <c r="AC504" s="1"/>
      <c r="AD504" s="1" t="s">
        <v>45</v>
      </c>
      <c r="AE504" s="22">
        <f>VLOOKUP(TablaCalificaciones[[#This Row],[Diapositivas como apoyo]],PESOS!A$25:B$29,2,0)</f>
        <v>10</v>
      </c>
      <c r="AF504" s="1"/>
      <c r="AG504" s="1" t="s">
        <v>51</v>
      </c>
      <c r="AH504" s="22">
        <f>VLOOKUP(TablaCalificaciones[[#This Row],[Respuestas a preguntas]],PESOS!A$25:B$29,2,0)</f>
        <v>8</v>
      </c>
      <c r="AI504" s="1"/>
      <c r="AJ504" s="1" t="s">
        <v>45</v>
      </c>
      <c r="AK504" s="22">
        <f>VLOOKUP(TablaCalificaciones[[#This Row],[Cierre: aporte a próximos pasos]],PESOS!A$25:B$29,2,0)</f>
        <v>10</v>
      </c>
      <c r="AL504" s="1"/>
      <c r="AM504" s="1"/>
    </row>
    <row r="505" spans="1:39">
      <c r="A505">
        <v>508</v>
      </c>
      <c r="B505" s="2">
        <v>46136.5225347222</v>
      </c>
      <c r="C505" s="2">
        <v>46136.538506944402</v>
      </c>
      <c r="D505" s="1" t="s">
        <v>103</v>
      </c>
      <c r="E505" s="1" t="s">
        <v>104</v>
      </c>
      <c r="G505" s="1"/>
      <c r="H505" s="2"/>
      <c r="I505" s="1" t="s">
        <v>134</v>
      </c>
      <c r="K505" s="1"/>
      <c r="L505" s="1" t="s">
        <v>56</v>
      </c>
      <c r="M505" s="26" t="str">
        <f>CONCATENATE(TablaCalificaciones[[#This Row],[Seleccione su nombre (Evaluador)]],TablaCalificaciones[[#This Row],[Seleccione el nombre del Estudiante]])</f>
        <v>Marco Antonio Galarza CastilloLeón Narváez Bryan Mateo</v>
      </c>
      <c r="N505" s="1"/>
      <c r="O505" s="1" t="s">
        <v>263</v>
      </c>
      <c r="Q505" s="1"/>
      <c r="R505" s="1" t="s">
        <v>44</v>
      </c>
      <c r="S505" s="22">
        <f>VLOOKUP(TablaCalificaciones[[#This Row],[Apertura: problema y objetivo ]],PESOS!A$16:B$20,2,0)</f>
        <v>20</v>
      </c>
      <c r="T505" s="1"/>
      <c r="U505" s="1" t="s">
        <v>50</v>
      </c>
      <c r="V505" s="22">
        <f>VLOOKUP(TablaCalificaciones[[#This Row],[Metodología (nivel adecuado)]],PESOS!A$16:B$20,2,0)</f>
        <v>16</v>
      </c>
      <c r="W505" s="1"/>
      <c r="X505" s="1" t="s">
        <v>50</v>
      </c>
      <c r="Y505" s="22">
        <f>VLOOKUP(TablaCalificaciones[[#This Row],[Resultados y evidencia ]],PESOS!A$16:B$20,2,0)</f>
        <v>16</v>
      </c>
      <c r="Z505" s="1"/>
      <c r="AA505" s="1" t="s">
        <v>45</v>
      </c>
      <c r="AB505" s="22">
        <f>VLOOKUP(TablaCalificaciones[[#This Row],[Coherencia y manejo del tiempo]],PESOS!A$25:B$29,2,0)</f>
        <v>10</v>
      </c>
      <c r="AC505" s="1"/>
      <c r="AD505" s="1" t="s">
        <v>45</v>
      </c>
      <c r="AE505" s="22">
        <f>VLOOKUP(TablaCalificaciones[[#This Row],[Diapositivas como apoyo]],PESOS!A$25:B$29,2,0)</f>
        <v>10</v>
      </c>
      <c r="AF505" s="1"/>
      <c r="AG505" s="1" t="s">
        <v>51</v>
      </c>
      <c r="AH505" s="22">
        <f>VLOOKUP(TablaCalificaciones[[#This Row],[Respuestas a preguntas]],PESOS!A$25:B$29,2,0)</f>
        <v>8</v>
      </c>
      <c r="AI505" s="1"/>
      <c r="AJ505" s="1" t="s">
        <v>45</v>
      </c>
      <c r="AK505" s="22">
        <f>VLOOKUP(TablaCalificaciones[[#This Row],[Cierre: aporte a próximos pasos]],PESOS!A$25:B$29,2,0)</f>
        <v>10</v>
      </c>
      <c r="AL505" s="1"/>
      <c r="AM505" s="1"/>
    </row>
    <row r="506" spans="1:39">
      <c r="A506">
        <v>509</v>
      </c>
      <c r="B506" s="2">
        <v>46136.518773148098</v>
      </c>
      <c r="C506" s="2">
        <v>46136.5401851852</v>
      </c>
      <c r="D506" s="1" t="s">
        <v>59</v>
      </c>
      <c r="E506" s="1" t="s">
        <v>60</v>
      </c>
      <c r="G506" s="1"/>
      <c r="H506" s="2"/>
      <c r="I506" s="1" t="s">
        <v>134</v>
      </c>
      <c r="K506" s="1"/>
      <c r="L506" s="1" t="s">
        <v>60</v>
      </c>
      <c r="M506" s="26" t="str">
        <f>CONCATENATE(TablaCalificaciones[[#This Row],[Seleccione su nombre (Evaluador)]],TablaCalificaciones[[#This Row],[Seleccione el nombre del Estudiante]])</f>
        <v>Santiago Leonardo SolórzanoAcosta Balseca Belén Sarahí</v>
      </c>
      <c r="N506" s="1"/>
      <c r="O506" s="1" t="s">
        <v>326</v>
      </c>
      <c r="Q506" s="1"/>
      <c r="R506" s="1" t="s">
        <v>44</v>
      </c>
      <c r="S506" s="22">
        <f>VLOOKUP(TablaCalificaciones[[#This Row],[Apertura: problema y objetivo ]],PESOS!A$16:B$20,2,0)</f>
        <v>20</v>
      </c>
      <c r="T506" s="1"/>
      <c r="U506" s="1" t="s">
        <v>44</v>
      </c>
      <c r="V506" s="22">
        <f>VLOOKUP(TablaCalificaciones[[#This Row],[Metodología (nivel adecuado)]],PESOS!A$16:B$20,2,0)</f>
        <v>20</v>
      </c>
      <c r="W506" s="1"/>
      <c r="X506" s="1" t="s">
        <v>50</v>
      </c>
      <c r="Y506" s="22">
        <f>VLOOKUP(TablaCalificaciones[[#This Row],[Resultados y evidencia ]],PESOS!A$16:B$20,2,0)</f>
        <v>16</v>
      </c>
      <c r="Z506" s="1"/>
      <c r="AA506" s="1" t="s">
        <v>51</v>
      </c>
      <c r="AB506" s="22">
        <f>VLOOKUP(TablaCalificaciones[[#This Row],[Coherencia y manejo del tiempo]],PESOS!A$25:B$29,2,0)</f>
        <v>8</v>
      </c>
      <c r="AC506" s="1"/>
      <c r="AD506" s="1" t="s">
        <v>51</v>
      </c>
      <c r="AE506" s="22">
        <f>VLOOKUP(TablaCalificaciones[[#This Row],[Diapositivas como apoyo]],PESOS!A$25:B$29,2,0)</f>
        <v>8</v>
      </c>
      <c r="AF506" s="1"/>
      <c r="AG506" s="1" t="s">
        <v>51</v>
      </c>
      <c r="AH506" s="22">
        <f>VLOOKUP(TablaCalificaciones[[#This Row],[Respuestas a preguntas]],PESOS!A$25:B$29,2,0)</f>
        <v>8</v>
      </c>
      <c r="AI506" s="1"/>
      <c r="AJ506" s="1" t="s">
        <v>51</v>
      </c>
      <c r="AK506" s="22">
        <f>VLOOKUP(TablaCalificaciones[[#This Row],[Cierre: aporte a próximos pasos]],PESOS!A$25:B$29,2,0)</f>
        <v>8</v>
      </c>
      <c r="AL506" s="1"/>
      <c r="AM506" s="1"/>
    </row>
    <row r="507" spans="1:39">
      <c r="A507">
        <v>510</v>
      </c>
      <c r="B507" s="2">
        <v>46136.518564814804</v>
      </c>
      <c r="C507" s="2">
        <v>46136.540439814802</v>
      </c>
      <c r="D507" s="1" t="s">
        <v>59</v>
      </c>
      <c r="E507" s="1" t="s">
        <v>60</v>
      </c>
      <c r="G507" s="1"/>
      <c r="H507" s="2"/>
      <c r="I507" s="1" t="s">
        <v>134</v>
      </c>
      <c r="K507" s="1"/>
      <c r="L507" s="1" t="s">
        <v>60</v>
      </c>
      <c r="M507" s="26" t="str">
        <f>CONCATENATE(TablaCalificaciones[[#This Row],[Seleccione su nombre (Evaluador)]],TablaCalificaciones[[#This Row],[Seleccione el nombre del Estudiante]])</f>
        <v>Santiago Leonardo SolórzanoSalazar Simbaña Sebastián Alejandro</v>
      </c>
      <c r="N507" s="1"/>
      <c r="O507" s="1" t="s">
        <v>325</v>
      </c>
      <c r="Q507" s="1"/>
      <c r="R507" s="1" t="s">
        <v>44</v>
      </c>
      <c r="S507" s="22">
        <f>VLOOKUP(TablaCalificaciones[[#This Row],[Apertura: problema y objetivo ]],PESOS!A$16:B$20,2,0)</f>
        <v>20</v>
      </c>
      <c r="T507" s="1"/>
      <c r="U507" s="1" t="s">
        <v>44</v>
      </c>
      <c r="V507" s="22">
        <f>VLOOKUP(TablaCalificaciones[[#This Row],[Metodología (nivel adecuado)]],PESOS!A$16:B$20,2,0)</f>
        <v>20</v>
      </c>
      <c r="W507" s="1"/>
      <c r="X507" s="1" t="s">
        <v>50</v>
      </c>
      <c r="Y507" s="22">
        <f>VLOOKUP(TablaCalificaciones[[#This Row],[Resultados y evidencia ]],PESOS!A$16:B$20,2,0)</f>
        <v>16</v>
      </c>
      <c r="Z507" s="1"/>
      <c r="AA507" s="1" t="s">
        <v>51</v>
      </c>
      <c r="AB507" s="22">
        <f>VLOOKUP(TablaCalificaciones[[#This Row],[Coherencia y manejo del tiempo]],PESOS!A$25:B$29,2,0)</f>
        <v>8</v>
      </c>
      <c r="AC507" s="1"/>
      <c r="AD507" s="1" t="s">
        <v>51</v>
      </c>
      <c r="AE507" s="22">
        <f>VLOOKUP(TablaCalificaciones[[#This Row],[Diapositivas como apoyo]],PESOS!A$25:B$29,2,0)</f>
        <v>8</v>
      </c>
      <c r="AF507" s="1"/>
      <c r="AG507" s="1" t="s">
        <v>51</v>
      </c>
      <c r="AH507" s="22">
        <f>VLOOKUP(TablaCalificaciones[[#This Row],[Respuestas a preguntas]],PESOS!A$25:B$29,2,0)</f>
        <v>8</v>
      </c>
      <c r="AI507" s="1"/>
      <c r="AJ507" s="1" t="s">
        <v>51</v>
      </c>
      <c r="AK507" s="22">
        <f>VLOOKUP(TablaCalificaciones[[#This Row],[Cierre: aporte a próximos pasos]],PESOS!A$25:B$29,2,0)</f>
        <v>8</v>
      </c>
      <c r="AL507" s="1"/>
      <c r="AM507" s="1"/>
    </row>
    <row r="508" spans="1:39">
      <c r="A508">
        <v>511</v>
      </c>
      <c r="B508" s="2">
        <v>46136.538587962998</v>
      </c>
      <c r="C508" s="2">
        <v>46136.557314814803</v>
      </c>
      <c r="D508" s="1" t="s">
        <v>103</v>
      </c>
      <c r="E508" s="1" t="s">
        <v>104</v>
      </c>
      <c r="G508" s="1"/>
      <c r="H508" s="2"/>
      <c r="I508" s="1" t="s">
        <v>134</v>
      </c>
      <c r="K508" s="1"/>
      <c r="L508" s="1" t="s">
        <v>56</v>
      </c>
      <c r="M508" s="26" t="str">
        <f>CONCATENATE(TablaCalificaciones[[#This Row],[Seleccione su nombre (Evaluador)]],TablaCalificaciones[[#This Row],[Seleccione el nombre del Estudiante]])</f>
        <v>Marco Antonio Galarza CastilloGuerrón Barrera Gabriela Selene</v>
      </c>
      <c r="N508" s="1"/>
      <c r="O508" s="1" t="s">
        <v>327</v>
      </c>
      <c r="Q508" s="1"/>
      <c r="R508" s="1" t="s">
        <v>44</v>
      </c>
      <c r="S508" s="22">
        <f>VLOOKUP(TablaCalificaciones[[#This Row],[Apertura: problema y objetivo ]],PESOS!A$16:B$20,2,0)</f>
        <v>20</v>
      </c>
      <c r="T508" s="1"/>
      <c r="U508" s="1" t="s">
        <v>50</v>
      </c>
      <c r="V508" s="22">
        <f>VLOOKUP(TablaCalificaciones[[#This Row],[Metodología (nivel adecuado)]],PESOS!A$16:B$20,2,0)</f>
        <v>16</v>
      </c>
      <c r="W508" s="1"/>
      <c r="X508" s="1" t="s">
        <v>50</v>
      </c>
      <c r="Y508" s="22">
        <f>VLOOKUP(TablaCalificaciones[[#This Row],[Resultados y evidencia ]],PESOS!A$16:B$20,2,0)</f>
        <v>16</v>
      </c>
      <c r="Z508" s="1"/>
      <c r="AA508" s="1" t="s">
        <v>45</v>
      </c>
      <c r="AB508" s="22">
        <f>VLOOKUP(TablaCalificaciones[[#This Row],[Coherencia y manejo del tiempo]],PESOS!A$25:B$29,2,0)</f>
        <v>10</v>
      </c>
      <c r="AC508" s="1"/>
      <c r="AD508" s="1" t="s">
        <v>45</v>
      </c>
      <c r="AE508" s="22">
        <f>VLOOKUP(TablaCalificaciones[[#This Row],[Diapositivas como apoyo]],PESOS!A$25:B$29,2,0)</f>
        <v>10</v>
      </c>
      <c r="AF508" s="1"/>
      <c r="AG508" s="1" t="s">
        <v>51</v>
      </c>
      <c r="AH508" s="22">
        <f>VLOOKUP(TablaCalificaciones[[#This Row],[Respuestas a preguntas]],PESOS!A$25:B$29,2,0)</f>
        <v>8</v>
      </c>
      <c r="AI508" s="1"/>
      <c r="AJ508" s="1" t="s">
        <v>45</v>
      </c>
      <c r="AK508" s="22">
        <f>VLOOKUP(TablaCalificaciones[[#This Row],[Cierre: aporte a próximos pasos]],PESOS!A$25:B$29,2,0)</f>
        <v>10</v>
      </c>
      <c r="AL508" s="1"/>
      <c r="AM508" s="1"/>
    </row>
    <row r="509" spans="1:39">
      <c r="A509">
        <v>512</v>
      </c>
      <c r="B509" s="2">
        <v>46136.556597222203</v>
      </c>
      <c r="C509" s="2">
        <v>46136.558553240699</v>
      </c>
      <c r="D509" s="1" t="s">
        <v>212</v>
      </c>
      <c r="E509" s="1" t="s">
        <v>213</v>
      </c>
      <c r="G509" s="1"/>
      <c r="H509" s="2"/>
      <c r="I509" s="1" t="s">
        <v>134</v>
      </c>
      <c r="K509" s="1"/>
      <c r="L509" s="1" t="s">
        <v>214</v>
      </c>
      <c r="M509" s="26" t="str">
        <f>CONCATENATE(TablaCalificaciones[[#This Row],[Seleccione su nombre (Evaluador)]],TablaCalificaciones[[#This Row],[Seleccione el nombre del Estudiante]])</f>
        <v>Andrea Mariana Escobar GarcíaAcosta Balseca Belén Sarahí</v>
      </c>
      <c r="N509" s="1"/>
      <c r="O509" s="1" t="s">
        <v>326</v>
      </c>
      <c r="Q509" s="1"/>
      <c r="R509" s="1" t="s">
        <v>50</v>
      </c>
      <c r="S509" s="22">
        <f>VLOOKUP(TablaCalificaciones[[#This Row],[Apertura: problema y objetivo ]],PESOS!A$16:B$20,2,0)</f>
        <v>16</v>
      </c>
      <c r="T509" s="1"/>
      <c r="U509" s="1" t="s">
        <v>50</v>
      </c>
      <c r="V509" s="22">
        <f>VLOOKUP(TablaCalificaciones[[#This Row],[Metodología (nivel adecuado)]],PESOS!A$16:B$20,2,0)</f>
        <v>16</v>
      </c>
      <c r="W509" s="1"/>
      <c r="X509" s="1" t="s">
        <v>50</v>
      </c>
      <c r="Y509" s="22">
        <f>VLOOKUP(TablaCalificaciones[[#This Row],[Resultados y evidencia ]],PESOS!A$16:B$20,2,0)</f>
        <v>16</v>
      </c>
      <c r="Z509" s="1"/>
      <c r="AA509" s="1" t="s">
        <v>51</v>
      </c>
      <c r="AB509" s="22">
        <f>VLOOKUP(TablaCalificaciones[[#This Row],[Coherencia y manejo del tiempo]],PESOS!A$25:B$29,2,0)</f>
        <v>8</v>
      </c>
      <c r="AC509" s="1"/>
      <c r="AD509" s="1" t="s">
        <v>51</v>
      </c>
      <c r="AE509" s="22">
        <f>VLOOKUP(TablaCalificaciones[[#This Row],[Diapositivas como apoyo]],PESOS!A$25:B$29,2,0)</f>
        <v>8</v>
      </c>
      <c r="AF509" s="1"/>
      <c r="AG509" s="1" t="s">
        <v>51</v>
      </c>
      <c r="AH509" s="22">
        <f>VLOOKUP(TablaCalificaciones[[#This Row],[Respuestas a preguntas]],PESOS!A$25:B$29,2,0)</f>
        <v>8</v>
      </c>
      <c r="AI509" s="1"/>
      <c r="AJ509" s="1" t="s">
        <v>51</v>
      </c>
      <c r="AK509" s="22">
        <f>VLOOKUP(TablaCalificaciones[[#This Row],[Cierre: aporte a próximos pasos]],PESOS!A$25:B$29,2,0)</f>
        <v>8</v>
      </c>
      <c r="AL509" s="1"/>
      <c r="AM509" s="1"/>
    </row>
    <row r="510" spans="1:39">
      <c r="A510">
        <v>514</v>
      </c>
      <c r="B510" s="2">
        <v>46136.560046296298</v>
      </c>
      <c r="C510" s="2">
        <v>46136.560624999998</v>
      </c>
      <c r="D510" s="1" t="s">
        <v>212</v>
      </c>
      <c r="E510" s="1" t="s">
        <v>213</v>
      </c>
      <c r="G510" s="1"/>
      <c r="H510" s="2"/>
      <c r="I510" s="1" t="s">
        <v>134</v>
      </c>
      <c r="K510" s="1"/>
      <c r="L510" s="1" t="s">
        <v>214</v>
      </c>
      <c r="M510" s="26" t="str">
        <f>CONCATENATE(TablaCalificaciones[[#This Row],[Seleccione su nombre (Evaluador)]],TablaCalificaciones[[#This Row],[Seleccione el nombre del Estudiante]])</f>
        <v>Andrea Mariana Escobar GarcíaSalazar Simbaña Sebastián Alejandro</v>
      </c>
      <c r="N510" s="1"/>
      <c r="O510" s="1" t="s">
        <v>325</v>
      </c>
      <c r="Q510" s="1"/>
      <c r="R510" s="1" t="s">
        <v>44</v>
      </c>
      <c r="S510" s="22">
        <f>VLOOKUP(TablaCalificaciones[[#This Row],[Apertura: problema y objetivo ]],PESOS!A$16:B$20,2,0)</f>
        <v>20</v>
      </c>
      <c r="T510" s="1"/>
      <c r="U510" s="1" t="s">
        <v>44</v>
      </c>
      <c r="V510" s="22">
        <f>VLOOKUP(TablaCalificaciones[[#This Row],[Metodología (nivel adecuado)]],PESOS!A$16:B$20,2,0)</f>
        <v>20</v>
      </c>
      <c r="W510" s="1"/>
      <c r="X510" s="1" t="s">
        <v>44</v>
      </c>
      <c r="Y510" s="22">
        <f>VLOOKUP(TablaCalificaciones[[#This Row],[Resultados y evidencia ]],PESOS!A$16:B$20,2,0)</f>
        <v>20</v>
      </c>
      <c r="Z510" s="1"/>
      <c r="AA510" s="1" t="s">
        <v>45</v>
      </c>
      <c r="AB510" s="22">
        <f>VLOOKUP(TablaCalificaciones[[#This Row],[Coherencia y manejo del tiempo]],PESOS!A$25:B$29,2,0)</f>
        <v>10</v>
      </c>
      <c r="AC510" s="1"/>
      <c r="AD510" s="1" t="s">
        <v>45</v>
      </c>
      <c r="AE510" s="22">
        <f>VLOOKUP(TablaCalificaciones[[#This Row],[Diapositivas como apoyo]],PESOS!A$25:B$29,2,0)</f>
        <v>10</v>
      </c>
      <c r="AF510" s="1"/>
      <c r="AG510" s="1" t="s">
        <v>45</v>
      </c>
      <c r="AH510" s="22">
        <f>VLOOKUP(TablaCalificaciones[[#This Row],[Respuestas a preguntas]],PESOS!A$25:B$29,2,0)</f>
        <v>10</v>
      </c>
      <c r="AI510" s="1"/>
      <c r="AJ510" s="1" t="s">
        <v>45</v>
      </c>
      <c r="AK510" s="22">
        <f>VLOOKUP(TablaCalificaciones[[#This Row],[Cierre: aporte a próximos pasos]],PESOS!A$25:B$29,2,0)</f>
        <v>10</v>
      </c>
      <c r="AL510" s="1"/>
      <c r="AM510" s="1"/>
    </row>
    <row r="511" spans="1:39">
      <c r="A511">
        <v>317</v>
      </c>
      <c r="B511" s="2">
        <v>46135.378101851798</v>
      </c>
      <c r="C511" s="2">
        <v>46135.390844907401</v>
      </c>
      <c r="D511" s="1" t="s">
        <v>93</v>
      </c>
      <c r="E511" s="1" t="s">
        <v>94</v>
      </c>
      <c r="G511" s="1"/>
      <c r="H511" s="2"/>
      <c r="I511" s="1" t="s">
        <v>229</v>
      </c>
      <c r="K511" s="1"/>
      <c r="L511" s="1" t="s">
        <v>95</v>
      </c>
      <c r="M511" s="26" t="str">
        <f>CONCATENATE(TablaCalificaciones[[#This Row],[Seleccione su nombre (Evaluador)]],TablaCalificaciones[[#This Row],[Seleccione el nombre del Estudiante]])</f>
        <v>Nelly Patricia Acosta VargasLópez Arboleda Carla Stephanya</v>
      </c>
      <c r="N511" s="1"/>
      <c r="O511" s="1" t="s">
        <v>242</v>
      </c>
      <c r="Q511" s="1"/>
      <c r="R511" s="1" t="s">
        <v>44</v>
      </c>
      <c r="S511" s="22">
        <f>VLOOKUP(TablaCalificaciones[[#This Row],[Apertura: problema y objetivo ]],PESOS!A$16:B$20,2,0)</f>
        <v>20</v>
      </c>
      <c r="T511" s="1"/>
      <c r="U511" s="1" t="s">
        <v>44</v>
      </c>
      <c r="V511" s="22">
        <f>VLOOKUP(TablaCalificaciones[[#This Row],[Metodología (nivel adecuado)]],PESOS!A$16:B$20,2,0)</f>
        <v>20</v>
      </c>
      <c r="W511" s="1"/>
      <c r="X511" s="1" t="s">
        <v>44</v>
      </c>
      <c r="Y511" s="22">
        <f>VLOOKUP(TablaCalificaciones[[#This Row],[Resultados y evidencia ]],PESOS!A$16:B$20,2,0)</f>
        <v>20</v>
      </c>
      <c r="Z511" s="1"/>
      <c r="AA511" s="1" t="s">
        <v>51</v>
      </c>
      <c r="AB511" s="22">
        <f>VLOOKUP(TablaCalificaciones[[#This Row],[Coherencia y manejo del tiempo]],PESOS!A$25:B$29,2,0)</f>
        <v>8</v>
      </c>
      <c r="AC511" s="1"/>
      <c r="AD511" s="1" t="s">
        <v>45</v>
      </c>
      <c r="AE511" s="22">
        <f>VLOOKUP(TablaCalificaciones[[#This Row],[Diapositivas como apoyo]],PESOS!A$25:B$29,2,0)</f>
        <v>10</v>
      </c>
      <c r="AF511" s="1"/>
      <c r="AG511" s="1" t="s">
        <v>45</v>
      </c>
      <c r="AH511" s="22">
        <f>VLOOKUP(TablaCalificaciones[[#This Row],[Respuestas a preguntas]],PESOS!A$25:B$29,2,0)</f>
        <v>10</v>
      </c>
      <c r="AI511" s="1"/>
      <c r="AJ511" s="1" t="s">
        <v>45</v>
      </c>
      <c r="AK511" s="22">
        <f>VLOOKUP(TablaCalificaciones[[#This Row],[Cierre: aporte a próximos pasos]],PESOS!A$25:B$29,2,0)</f>
        <v>10</v>
      </c>
      <c r="AL511" s="1"/>
      <c r="AM511" s="1"/>
    </row>
    <row r="512" spans="1:39">
      <c r="A512">
        <v>516</v>
      </c>
      <c r="B512" s="2">
        <v>46136.576180555603</v>
      </c>
      <c r="C512" s="2">
        <v>46136.579004629602</v>
      </c>
      <c r="D512" s="1" t="s">
        <v>69</v>
      </c>
      <c r="E512" s="1" t="s">
        <v>70</v>
      </c>
      <c r="G512" s="1"/>
      <c r="H512" s="2"/>
      <c r="I512" s="1" t="s">
        <v>134</v>
      </c>
      <c r="K512" s="1"/>
      <c r="L512" s="1" t="s">
        <v>71</v>
      </c>
      <c r="M512" s="26" t="str">
        <f>CONCATENATE(TablaCalificaciones[[#This Row],[Seleccione su nombre (Evaluador)]],TablaCalificaciones[[#This Row],[Seleccione el nombre del Estudiante]])</f>
        <v>Ana Belén Tulcanaza PrietoMaldonado Páez Francisco Javier</v>
      </c>
      <c r="N512" s="1"/>
      <c r="O512" s="1" t="s">
        <v>328</v>
      </c>
      <c r="Q512" s="1"/>
      <c r="R512" s="1" t="s">
        <v>44</v>
      </c>
      <c r="S512" s="22">
        <f>VLOOKUP(TablaCalificaciones[[#This Row],[Apertura: problema y objetivo ]],PESOS!A$16:B$20,2,0)</f>
        <v>20</v>
      </c>
      <c r="T512" s="1"/>
      <c r="U512" s="1" t="s">
        <v>44</v>
      </c>
      <c r="V512" s="22">
        <f>VLOOKUP(TablaCalificaciones[[#This Row],[Metodología (nivel adecuado)]],PESOS!A$16:B$20,2,0)</f>
        <v>20</v>
      </c>
      <c r="W512" s="1"/>
      <c r="X512" s="1" t="s">
        <v>44</v>
      </c>
      <c r="Y512" s="22">
        <f>VLOOKUP(TablaCalificaciones[[#This Row],[Resultados y evidencia ]],PESOS!A$16:B$20,2,0)</f>
        <v>20</v>
      </c>
      <c r="Z512" s="1"/>
      <c r="AA512" s="1" t="s">
        <v>45</v>
      </c>
      <c r="AB512" s="22">
        <f>VLOOKUP(TablaCalificaciones[[#This Row],[Coherencia y manejo del tiempo]],PESOS!A$25:B$29,2,0)</f>
        <v>10</v>
      </c>
      <c r="AC512" s="1"/>
      <c r="AD512" s="1" t="s">
        <v>45</v>
      </c>
      <c r="AE512" s="22">
        <f>VLOOKUP(TablaCalificaciones[[#This Row],[Diapositivas como apoyo]],PESOS!A$25:B$29,2,0)</f>
        <v>10</v>
      </c>
      <c r="AF512" s="1"/>
      <c r="AG512" s="1" t="s">
        <v>45</v>
      </c>
      <c r="AH512" s="22">
        <f>VLOOKUP(TablaCalificaciones[[#This Row],[Respuestas a preguntas]],PESOS!A$25:B$29,2,0)</f>
        <v>10</v>
      </c>
      <c r="AI512" s="1"/>
      <c r="AJ512" s="1" t="s">
        <v>45</v>
      </c>
      <c r="AK512" s="22">
        <f>VLOOKUP(TablaCalificaciones[[#This Row],[Cierre: aporte a próximos pasos]],PESOS!A$25:B$29,2,0)</f>
        <v>10</v>
      </c>
      <c r="AL512" s="1"/>
      <c r="AM512" s="1"/>
    </row>
    <row r="513" spans="1:39">
      <c r="A513">
        <v>518</v>
      </c>
      <c r="B513" s="2">
        <v>46136.557337963</v>
      </c>
      <c r="C513" s="2">
        <v>46136.579930555599</v>
      </c>
      <c r="D513" s="1" t="s">
        <v>103</v>
      </c>
      <c r="E513" s="1" t="s">
        <v>104</v>
      </c>
      <c r="G513" s="1"/>
      <c r="H513" s="2"/>
      <c r="I513" s="1" t="s">
        <v>134</v>
      </c>
      <c r="K513" s="1"/>
      <c r="L513" s="1" t="s">
        <v>56</v>
      </c>
      <c r="M513" s="26" t="str">
        <f>CONCATENATE(TablaCalificaciones[[#This Row],[Seleccione su nombre (Evaluador)]],TablaCalificaciones[[#This Row],[Seleccione el nombre del Estudiante]])</f>
        <v>Marco Antonio Galarza CastilloAlmeida Mera Emilio Andrés</v>
      </c>
      <c r="N513" s="1"/>
      <c r="O513" s="1" t="s">
        <v>329</v>
      </c>
      <c r="Q513" s="1"/>
      <c r="R513" s="1" t="s">
        <v>44</v>
      </c>
      <c r="S513" s="22">
        <f>VLOOKUP(TablaCalificaciones[[#This Row],[Apertura: problema y objetivo ]],PESOS!A$16:B$20,2,0)</f>
        <v>20</v>
      </c>
      <c r="T513" s="1"/>
      <c r="U513" s="1" t="s">
        <v>50</v>
      </c>
      <c r="V513" s="22">
        <f>VLOOKUP(TablaCalificaciones[[#This Row],[Metodología (nivel adecuado)]],PESOS!A$16:B$20,2,0)</f>
        <v>16</v>
      </c>
      <c r="W513" s="1"/>
      <c r="X513" s="1" t="s">
        <v>50</v>
      </c>
      <c r="Y513" s="22">
        <f>VLOOKUP(TablaCalificaciones[[#This Row],[Resultados y evidencia ]],PESOS!A$16:B$20,2,0)</f>
        <v>16</v>
      </c>
      <c r="Z513" s="1"/>
      <c r="AA513" s="1" t="s">
        <v>45</v>
      </c>
      <c r="AB513" s="22">
        <f>VLOOKUP(TablaCalificaciones[[#This Row],[Coherencia y manejo del tiempo]],PESOS!A$25:B$29,2,0)</f>
        <v>10</v>
      </c>
      <c r="AC513" s="1"/>
      <c r="AD513" s="1" t="s">
        <v>45</v>
      </c>
      <c r="AE513" s="22">
        <f>VLOOKUP(TablaCalificaciones[[#This Row],[Diapositivas como apoyo]],PESOS!A$25:B$29,2,0)</f>
        <v>10</v>
      </c>
      <c r="AF513" s="1"/>
      <c r="AG513" s="1" t="s">
        <v>51</v>
      </c>
      <c r="AH513" s="22">
        <f>VLOOKUP(TablaCalificaciones[[#This Row],[Respuestas a preguntas]],PESOS!A$25:B$29,2,0)</f>
        <v>8</v>
      </c>
      <c r="AI513" s="1"/>
      <c r="AJ513" s="1" t="s">
        <v>45</v>
      </c>
      <c r="AK513" s="22">
        <f>VLOOKUP(TablaCalificaciones[[#This Row],[Cierre: aporte a próximos pasos]],PESOS!A$25:B$29,2,0)</f>
        <v>10</v>
      </c>
      <c r="AL513" s="1"/>
      <c r="AM513" s="1"/>
    </row>
    <row r="514" spans="1:39">
      <c r="A514">
        <v>519</v>
      </c>
      <c r="B514" s="2">
        <v>46136.5385648148</v>
      </c>
      <c r="C514" s="2">
        <v>46136.579965277801</v>
      </c>
      <c r="D514" s="1" t="s">
        <v>103</v>
      </c>
      <c r="E514" s="1" t="s">
        <v>104</v>
      </c>
      <c r="G514" s="1"/>
      <c r="H514" s="2"/>
      <c r="I514" s="1" t="s">
        <v>134</v>
      </c>
      <c r="K514" s="1"/>
      <c r="L514" s="1" t="s">
        <v>56</v>
      </c>
      <c r="M514" s="26" t="str">
        <f>CONCATENATE(TablaCalificaciones[[#This Row],[Seleccione su nombre (Evaluador)]],TablaCalificaciones[[#This Row],[Seleccione el nombre del Estudiante]])</f>
        <v>Marco Antonio Galarza CastilloIglesias Reyes David Esteban</v>
      </c>
      <c r="N514" s="1"/>
      <c r="O514" s="1" t="s">
        <v>330</v>
      </c>
      <c r="Q514" s="1"/>
      <c r="R514" s="1" t="s">
        <v>44</v>
      </c>
      <c r="S514" s="22">
        <f>VLOOKUP(TablaCalificaciones[[#This Row],[Apertura: problema y objetivo ]],PESOS!A$16:B$20,2,0)</f>
        <v>20</v>
      </c>
      <c r="T514" s="1"/>
      <c r="U514" s="1" t="s">
        <v>50</v>
      </c>
      <c r="V514" s="22">
        <f>VLOOKUP(TablaCalificaciones[[#This Row],[Metodología (nivel adecuado)]],PESOS!A$16:B$20,2,0)</f>
        <v>16</v>
      </c>
      <c r="W514" s="1"/>
      <c r="X514" s="1" t="s">
        <v>50</v>
      </c>
      <c r="Y514" s="22">
        <f>VLOOKUP(TablaCalificaciones[[#This Row],[Resultados y evidencia ]],PESOS!A$16:B$20,2,0)</f>
        <v>16</v>
      </c>
      <c r="Z514" s="1"/>
      <c r="AA514" s="1" t="s">
        <v>45</v>
      </c>
      <c r="AB514" s="22">
        <f>VLOOKUP(TablaCalificaciones[[#This Row],[Coherencia y manejo del tiempo]],PESOS!A$25:B$29,2,0)</f>
        <v>10</v>
      </c>
      <c r="AC514" s="1"/>
      <c r="AD514" s="1" t="s">
        <v>45</v>
      </c>
      <c r="AE514" s="22">
        <f>VLOOKUP(TablaCalificaciones[[#This Row],[Diapositivas como apoyo]],PESOS!A$25:B$29,2,0)</f>
        <v>10</v>
      </c>
      <c r="AF514" s="1"/>
      <c r="AG514" s="1" t="s">
        <v>51</v>
      </c>
      <c r="AH514" s="22">
        <f>VLOOKUP(TablaCalificaciones[[#This Row],[Respuestas a preguntas]],PESOS!A$25:B$29,2,0)</f>
        <v>8</v>
      </c>
      <c r="AI514" s="1"/>
      <c r="AJ514" s="1" t="s">
        <v>45</v>
      </c>
      <c r="AK514" s="22">
        <f>VLOOKUP(TablaCalificaciones[[#This Row],[Cierre: aporte a próximos pasos]],PESOS!A$25:B$29,2,0)</f>
        <v>10</v>
      </c>
      <c r="AL514" s="1"/>
      <c r="AM514" s="1"/>
    </row>
    <row r="515" spans="1:39">
      <c r="A515">
        <v>520</v>
      </c>
      <c r="B515" s="2">
        <v>46136.538541666698</v>
      </c>
      <c r="C515" s="2">
        <v>46136.58</v>
      </c>
      <c r="D515" s="1" t="s">
        <v>103</v>
      </c>
      <c r="E515" s="1" t="s">
        <v>104</v>
      </c>
      <c r="G515" s="1"/>
      <c r="H515" s="2"/>
      <c r="I515" s="1" t="s">
        <v>134</v>
      </c>
      <c r="K515" s="1"/>
      <c r="L515" s="1" t="s">
        <v>56</v>
      </c>
      <c r="M515" s="26" t="str">
        <f>CONCATENATE(TablaCalificaciones[[#This Row],[Seleccione su nombre (Evaluador)]],TablaCalificaciones[[#This Row],[Seleccione el nombre del Estudiante]])</f>
        <v>Marco Antonio Galarza CastilloCumbajin Suquillo Ruth Katherine</v>
      </c>
      <c r="N515" s="1"/>
      <c r="O515" s="1" t="s">
        <v>331</v>
      </c>
      <c r="Q515" s="1"/>
      <c r="R515" s="1" t="s">
        <v>44</v>
      </c>
      <c r="S515" s="22">
        <f>VLOOKUP(TablaCalificaciones[[#This Row],[Apertura: problema y objetivo ]],PESOS!A$16:B$20,2,0)</f>
        <v>20</v>
      </c>
      <c r="T515" s="1"/>
      <c r="U515" s="1" t="s">
        <v>50</v>
      </c>
      <c r="V515" s="22">
        <f>VLOOKUP(TablaCalificaciones[[#This Row],[Metodología (nivel adecuado)]],PESOS!A$16:B$20,2,0)</f>
        <v>16</v>
      </c>
      <c r="W515" s="1"/>
      <c r="X515" s="1" t="s">
        <v>50</v>
      </c>
      <c r="Y515" s="22">
        <f>VLOOKUP(TablaCalificaciones[[#This Row],[Resultados y evidencia ]],PESOS!A$16:B$20,2,0)</f>
        <v>16</v>
      </c>
      <c r="Z515" s="1"/>
      <c r="AA515" s="1" t="s">
        <v>45</v>
      </c>
      <c r="AB515" s="22">
        <f>VLOOKUP(TablaCalificaciones[[#This Row],[Coherencia y manejo del tiempo]],PESOS!A$25:B$29,2,0)</f>
        <v>10</v>
      </c>
      <c r="AC515" s="1"/>
      <c r="AD515" s="1" t="s">
        <v>45</v>
      </c>
      <c r="AE515" s="22">
        <f>VLOOKUP(TablaCalificaciones[[#This Row],[Diapositivas como apoyo]],PESOS!A$25:B$29,2,0)</f>
        <v>10</v>
      </c>
      <c r="AF515" s="1"/>
      <c r="AG515" s="1" t="s">
        <v>51</v>
      </c>
      <c r="AH515" s="22">
        <f>VLOOKUP(TablaCalificaciones[[#This Row],[Respuestas a preguntas]],PESOS!A$25:B$29,2,0)</f>
        <v>8</v>
      </c>
      <c r="AI515" s="1"/>
      <c r="AJ515" s="1" t="s">
        <v>45</v>
      </c>
      <c r="AK515" s="22">
        <f>VLOOKUP(TablaCalificaciones[[#This Row],[Cierre: aporte a próximos pasos]],PESOS!A$25:B$29,2,0)</f>
        <v>10</v>
      </c>
      <c r="AL515" s="1"/>
      <c r="AM515" s="1"/>
    </row>
    <row r="516" spans="1:39">
      <c r="A516">
        <v>521</v>
      </c>
      <c r="B516" s="2">
        <v>46136.568993055596</v>
      </c>
      <c r="C516" s="2">
        <v>46136.582951388897</v>
      </c>
      <c r="D516" s="1" t="s">
        <v>93</v>
      </c>
      <c r="E516" s="1" t="s">
        <v>94</v>
      </c>
      <c r="G516" s="1"/>
      <c r="H516" s="2"/>
      <c r="I516" s="1" t="s">
        <v>134</v>
      </c>
      <c r="K516" s="1"/>
      <c r="L516" s="1" t="s">
        <v>95</v>
      </c>
      <c r="M516" s="26" t="str">
        <f>CONCATENATE(TablaCalificaciones[[#This Row],[Seleccione su nombre (Evaluador)]],TablaCalificaciones[[#This Row],[Seleccione el nombre del Estudiante]])</f>
        <v>Nelly Patricia Acosta VargasIglesias Reyes David Esteban</v>
      </c>
      <c r="N516" s="1"/>
      <c r="O516" s="1" t="s">
        <v>330</v>
      </c>
      <c r="Q516" s="1"/>
      <c r="R516" s="1" t="s">
        <v>44</v>
      </c>
      <c r="S516" s="22">
        <f>VLOOKUP(TablaCalificaciones[[#This Row],[Apertura: problema y objetivo ]],PESOS!A$16:B$20,2,0)</f>
        <v>20</v>
      </c>
      <c r="T516" s="1"/>
      <c r="U516" s="1" t="s">
        <v>44</v>
      </c>
      <c r="V516" s="22">
        <f>VLOOKUP(TablaCalificaciones[[#This Row],[Metodología (nivel adecuado)]],PESOS!A$16:B$20,2,0)</f>
        <v>20</v>
      </c>
      <c r="W516" s="1"/>
      <c r="X516" s="1" t="s">
        <v>44</v>
      </c>
      <c r="Y516" s="22">
        <f>VLOOKUP(TablaCalificaciones[[#This Row],[Resultados y evidencia ]],PESOS!A$16:B$20,2,0)</f>
        <v>20</v>
      </c>
      <c r="Z516" s="1"/>
      <c r="AA516" s="1" t="s">
        <v>45</v>
      </c>
      <c r="AB516" s="22">
        <f>VLOOKUP(TablaCalificaciones[[#This Row],[Coherencia y manejo del tiempo]],PESOS!A$25:B$29,2,0)</f>
        <v>10</v>
      </c>
      <c r="AC516" s="1"/>
      <c r="AD516" s="1" t="s">
        <v>45</v>
      </c>
      <c r="AE516" s="22">
        <f>VLOOKUP(TablaCalificaciones[[#This Row],[Diapositivas como apoyo]],PESOS!A$25:B$29,2,0)</f>
        <v>10</v>
      </c>
      <c r="AF516" s="1"/>
      <c r="AG516" s="1" t="s">
        <v>51</v>
      </c>
      <c r="AH516" s="22">
        <f>VLOOKUP(TablaCalificaciones[[#This Row],[Respuestas a preguntas]],PESOS!A$25:B$29,2,0)</f>
        <v>8</v>
      </c>
      <c r="AI516" s="1"/>
      <c r="AJ516" s="1" t="s">
        <v>45</v>
      </c>
      <c r="AK516" s="22">
        <f>VLOOKUP(TablaCalificaciones[[#This Row],[Cierre: aporte a próximos pasos]],PESOS!A$25:B$29,2,0)</f>
        <v>10</v>
      </c>
      <c r="AL516" s="1"/>
      <c r="AM516" s="1"/>
    </row>
    <row r="517" spans="1:39">
      <c r="A517">
        <v>522</v>
      </c>
      <c r="B517" s="2">
        <v>46136.582974536999</v>
      </c>
      <c r="C517" s="2">
        <v>46136.583530092597</v>
      </c>
      <c r="D517" s="1" t="s">
        <v>93</v>
      </c>
      <c r="E517" s="1" t="s">
        <v>94</v>
      </c>
      <c r="G517" s="1"/>
      <c r="H517" s="2"/>
      <c r="I517" s="1" t="s">
        <v>134</v>
      </c>
      <c r="K517" s="1"/>
      <c r="L517" s="1" t="s">
        <v>95</v>
      </c>
      <c r="M517" s="26" t="str">
        <f>CONCATENATE(TablaCalificaciones[[#This Row],[Seleccione su nombre (Evaluador)]],TablaCalificaciones[[#This Row],[Seleccione el nombre del Estudiante]])</f>
        <v>Nelly Patricia Acosta VargasAlmeida Mera Emilio Andrés</v>
      </c>
      <c r="N517" s="1"/>
      <c r="O517" s="1" t="s">
        <v>329</v>
      </c>
      <c r="Q517" s="1"/>
      <c r="R517" s="1" t="s">
        <v>44</v>
      </c>
      <c r="S517" s="22">
        <f>VLOOKUP(TablaCalificaciones[[#This Row],[Apertura: problema y objetivo ]],PESOS!A$16:B$20,2,0)</f>
        <v>20</v>
      </c>
      <c r="T517" s="1"/>
      <c r="U517" s="1" t="s">
        <v>44</v>
      </c>
      <c r="V517" s="22">
        <f>VLOOKUP(TablaCalificaciones[[#This Row],[Metodología (nivel adecuado)]],PESOS!A$16:B$20,2,0)</f>
        <v>20</v>
      </c>
      <c r="W517" s="1"/>
      <c r="X517" s="1" t="s">
        <v>44</v>
      </c>
      <c r="Y517" s="22">
        <f>VLOOKUP(TablaCalificaciones[[#This Row],[Resultados y evidencia ]],PESOS!A$16:B$20,2,0)</f>
        <v>20</v>
      </c>
      <c r="Z517" s="1"/>
      <c r="AA517" s="1" t="s">
        <v>45</v>
      </c>
      <c r="AB517" s="22">
        <f>VLOOKUP(TablaCalificaciones[[#This Row],[Coherencia y manejo del tiempo]],PESOS!A$25:B$29,2,0)</f>
        <v>10</v>
      </c>
      <c r="AC517" s="1"/>
      <c r="AD517" s="1" t="s">
        <v>45</v>
      </c>
      <c r="AE517" s="22">
        <f>VLOOKUP(TablaCalificaciones[[#This Row],[Diapositivas como apoyo]],PESOS!A$25:B$29,2,0)</f>
        <v>10</v>
      </c>
      <c r="AF517" s="1"/>
      <c r="AG517" s="1" t="s">
        <v>51</v>
      </c>
      <c r="AH517" s="22">
        <f>VLOOKUP(TablaCalificaciones[[#This Row],[Respuestas a preguntas]],PESOS!A$25:B$29,2,0)</f>
        <v>8</v>
      </c>
      <c r="AI517" s="1"/>
      <c r="AJ517" s="1" t="s">
        <v>45</v>
      </c>
      <c r="AK517" s="22">
        <f>VLOOKUP(TablaCalificaciones[[#This Row],[Cierre: aporte a próximos pasos]],PESOS!A$25:B$29,2,0)</f>
        <v>10</v>
      </c>
      <c r="AL517" s="1"/>
      <c r="AM517" s="1"/>
    </row>
    <row r="518" spans="1:39">
      <c r="A518">
        <v>523</v>
      </c>
      <c r="B518" s="2">
        <v>46136.583564814799</v>
      </c>
      <c r="C518" s="2">
        <v>46136.584143518499</v>
      </c>
      <c r="D518" s="1" t="s">
        <v>93</v>
      </c>
      <c r="E518" s="1" t="s">
        <v>94</v>
      </c>
      <c r="G518" s="1"/>
      <c r="H518" s="2"/>
      <c r="I518" s="1" t="s">
        <v>134</v>
      </c>
      <c r="K518" s="1"/>
      <c r="L518" s="1" t="s">
        <v>95</v>
      </c>
      <c r="M518" s="26" t="str">
        <f>CONCATENATE(TablaCalificaciones[[#This Row],[Seleccione su nombre (Evaluador)]],TablaCalificaciones[[#This Row],[Seleccione el nombre del Estudiante]])</f>
        <v>Nelly Patricia Acosta VargasCumbajin Suquillo Ruth Katherine</v>
      </c>
      <c r="N518" s="1"/>
      <c r="O518" s="1" t="s">
        <v>331</v>
      </c>
      <c r="Q518" s="1"/>
      <c r="R518" s="1" t="s">
        <v>44</v>
      </c>
      <c r="S518" s="22">
        <f>VLOOKUP(TablaCalificaciones[[#This Row],[Apertura: problema y objetivo ]],PESOS!A$16:B$20,2,0)</f>
        <v>20</v>
      </c>
      <c r="T518" s="1"/>
      <c r="U518" s="1" t="s">
        <v>44</v>
      </c>
      <c r="V518" s="22">
        <f>VLOOKUP(TablaCalificaciones[[#This Row],[Metodología (nivel adecuado)]],PESOS!A$16:B$20,2,0)</f>
        <v>20</v>
      </c>
      <c r="W518" s="1"/>
      <c r="X518" s="1" t="s">
        <v>44</v>
      </c>
      <c r="Y518" s="22">
        <f>VLOOKUP(TablaCalificaciones[[#This Row],[Resultados y evidencia ]],PESOS!A$16:B$20,2,0)</f>
        <v>20</v>
      </c>
      <c r="Z518" s="1"/>
      <c r="AA518" s="1" t="s">
        <v>45</v>
      </c>
      <c r="AB518" s="22">
        <f>VLOOKUP(TablaCalificaciones[[#This Row],[Coherencia y manejo del tiempo]],PESOS!A$25:B$29,2,0)</f>
        <v>10</v>
      </c>
      <c r="AC518" s="1"/>
      <c r="AD518" s="1" t="s">
        <v>45</v>
      </c>
      <c r="AE518" s="22">
        <f>VLOOKUP(TablaCalificaciones[[#This Row],[Diapositivas como apoyo]],PESOS!A$25:B$29,2,0)</f>
        <v>10</v>
      </c>
      <c r="AF518" s="1"/>
      <c r="AG518" s="1" t="s">
        <v>51</v>
      </c>
      <c r="AH518" s="22">
        <f>VLOOKUP(TablaCalificaciones[[#This Row],[Respuestas a preguntas]],PESOS!A$25:B$29,2,0)</f>
        <v>8</v>
      </c>
      <c r="AI518" s="1"/>
      <c r="AJ518" s="1" t="s">
        <v>45</v>
      </c>
      <c r="AK518" s="22">
        <f>VLOOKUP(TablaCalificaciones[[#This Row],[Cierre: aporte a próximos pasos]],PESOS!A$25:B$29,2,0)</f>
        <v>10</v>
      </c>
      <c r="AL518" s="1"/>
      <c r="AM518" s="1"/>
    </row>
    <row r="519" spans="1:39">
      <c r="A519">
        <v>525</v>
      </c>
      <c r="B519" s="2">
        <v>46136.607962962997</v>
      </c>
      <c r="C519" s="2">
        <v>46136.608819444402</v>
      </c>
      <c r="D519" s="1" t="s">
        <v>180</v>
      </c>
      <c r="E519" s="1" t="s">
        <v>181</v>
      </c>
      <c r="G519" s="1"/>
      <c r="H519" s="2"/>
      <c r="I519" s="1" t="s">
        <v>134</v>
      </c>
      <c r="K519" s="1"/>
      <c r="L519" s="1" t="s">
        <v>181</v>
      </c>
      <c r="M519" s="26" t="str">
        <f>CONCATENATE(TablaCalificaciones[[#This Row],[Seleccione su nombre (Evaluador)]],TablaCalificaciones[[#This Row],[Seleccione el nombre del Estudiante]])</f>
        <v>Eddy Mauricio ArmasCumbajin Suquillo Ruth Katherine</v>
      </c>
      <c r="N519" s="1"/>
      <c r="O519" s="1" t="s">
        <v>331</v>
      </c>
      <c r="Q519" s="1"/>
      <c r="R519" s="1" t="s">
        <v>44</v>
      </c>
      <c r="S519" s="22">
        <f>VLOOKUP(TablaCalificaciones[[#This Row],[Apertura: problema y objetivo ]],PESOS!A$16:B$20,2,0)</f>
        <v>20</v>
      </c>
      <c r="T519" s="1"/>
      <c r="U519" s="1" t="s">
        <v>44</v>
      </c>
      <c r="V519" s="22">
        <f>VLOOKUP(TablaCalificaciones[[#This Row],[Metodología (nivel adecuado)]],PESOS!A$16:B$20,2,0)</f>
        <v>20</v>
      </c>
      <c r="W519" s="1"/>
      <c r="X519" s="1" t="s">
        <v>44</v>
      </c>
      <c r="Y519" s="22">
        <f>VLOOKUP(TablaCalificaciones[[#This Row],[Resultados y evidencia ]],PESOS!A$16:B$20,2,0)</f>
        <v>20</v>
      </c>
      <c r="Z519" s="1"/>
      <c r="AA519" s="1" t="s">
        <v>45</v>
      </c>
      <c r="AB519" s="22">
        <f>VLOOKUP(TablaCalificaciones[[#This Row],[Coherencia y manejo del tiempo]],PESOS!A$25:B$29,2,0)</f>
        <v>10</v>
      </c>
      <c r="AC519" s="1"/>
      <c r="AD519" s="1" t="s">
        <v>45</v>
      </c>
      <c r="AE519" s="22">
        <f>VLOOKUP(TablaCalificaciones[[#This Row],[Diapositivas como apoyo]],PESOS!A$25:B$29,2,0)</f>
        <v>10</v>
      </c>
      <c r="AF519" s="1"/>
      <c r="AG519" s="1" t="s">
        <v>45</v>
      </c>
      <c r="AH519" s="22">
        <f>VLOOKUP(TablaCalificaciones[[#This Row],[Respuestas a preguntas]],PESOS!A$25:B$29,2,0)</f>
        <v>10</v>
      </c>
      <c r="AI519" s="1"/>
      <c r="AJ519" s="1" t="s">
        <v>45</v>
      </c>
      <c r="AK519" s="22">
        <f>VLOOKUP(TablaCalificaciones[[#This Row],[Cierre: aporte a próximos pasos]],PESOS!A$25:B$29,2,0)</f>
        <v>10</v>
      </c>
      <c r="AL519" s="1"/>
      <c r="AM519" s="1"/>
    </row>
    <row r="520" spans="1:39">
      <c r="A520">
        <v>526</v>
      </c>
      <c r="B520" s="2">
        <v>46136.608900462998</v>
      </c>
      <c r="C520" s="2">
        <v>46136.609490740702</v>
      </c>
      <c r="D520" s="1" t="s">
        <v>180</v>
      </c>
      <c r="E520" s="1" t="s">
        <v>181</v>
      </c>
      <c r="G520" s="1"/>
      <c r="H520" s="2"/>
      <c r="I520" s="1" t="s">
        <v>134</v>
      </c>
      <c r="K520" s="1"/>
      <c r="L520" s="1" t="s">
        <v>181</v>
      </c>
      <c r="M520" s="26" t="str">
        <f>CONCATENATE(TablaCalificaciones[[#This Row],[Seleccione su nombre (Evaluador)]],TablaCalificaciones[[#This Row],[Seleccione el nombre del Estudiante]])</f>
        <v>Eddy Mauricio ArmasIglesias Reyes David Esteban</v>
      </c>
      <c r="N520" s="1"/>
      <c r="O520" s="1" t="s">
        <v>330</v>
      </c>
      <c r="Q520" s="1"/>
      <c r="R520" s="1" t="s">
        <v>44</v>
      </c>
      <c r="S520" s="22">
        <f>VLOOKUP(TablaCalificaciones[[#This Row],[Apertura: problema y objetivo ]],PESOS!A$16:B$20,2,0)</f>
        <v>20</v>
      </c>
      <c r="T520" s="1"/>
      <c r="U520" s="1" t="s">
        <v>44</v>
      </c>
      <c r="V520" s="22">
        <f>VLOOKUP(TablaCalificaciones[[#This Row],[Metodología (nivel adecuado)]],PESOS!A$16:B$20,2,0)</f>
        <v>20</v>
      </c>
      <c r="W520" s="1"/>
      <c r="X520" s="1" t="s">
        <v>44</v>
      </c>
      <c r="Y520" s="22">
        <f>VLOOKUP(TablaCalificaciones[[#This Row],[Resultados y evidencia ]],PESOS!A$16:B$20,2,0)</f>
        <v>20</v>
      </c>
      <c r="Z520" s="1"/>
      <c r="AA520" s="1" t="s">
        <v>45</v>
      </c>
      <c r="AB520" s="22">
        <f>VLOOKUP(TablaCalificaciones[[#This Row],[Coherencia y manejo del tiempo]],PESOS!A$25:B$29,2,0)</f>
        <v>10</v>
      </c>
      <c r="AC520" s="1"/>
      <c r="AD520" s="1" t="s">
        <v>45</v>
      </c>
      <c r="AE520" s="22">
        <f>VLOOKUP(TablaCalificaciones[[#This Row],[Diapositivas como apoyo]],PESOS!A$25:B$29,2,0)</f>
        <v>10</v>
      </c>
      <c r="AF520" s="1"/>
      <c r="AG520" s="1" t="s">
        <v>45</v>
      </c>
      <c r="AH520" s="22">
        <f>VLOOKUP(TablaCalificaciones[[#This Row],[Respuestas a preguntas]],PESOS!A$25:B$29,2,0)</f>
        <v>10</v>
      </c>
      <c r="AI520" s="1"/>
      <c r="AJ520" s="1" t="s">
        <v>45</v>
      </c>
      <c r="AK520" s="22">
        <f>VLOOKUP(TablaCalificaciones[[#This Row],[Cierre: aporte a próximos pasos]],PESOS!A$25:B$29,2,0)</f>
        <v>10</v>
      </c>
      <c r="AL520" s="1"/>
      <c r="AM520" s="1"/>
    </row>
    <row r="521" spans="1:39">
      <c r="A521">
        <v>527</v>
      </c>
      <c r="B521" s="2">
        <v>46136.6095138889</v>
      </c>
      <c r="C521" s="2">
        <v>46136.609988425902</v>
      </c>
      <c r="D521" s="1" t="s">
        <v>180</v>
      </c>
      <c r="E521" s="1" t="s">
        <v>181</v>
      </c>
      <c r="G521" s="1"/>
      <c r="H521" s="2"/>
      <c r="I521" s="1" t="s">
        <v>134</v>
      </c>
      <c r="K521" s="1"/>
      <c r="L521" s="1" t="s">
        <v>181</v>
      </c>
      <c r="M521" s="26" t="str">
        <f>CONCATENATE(TablaCalificaciones[[#This Row],[Seleccione su nombre (Evaluador)]],TablaCalificaciones[[#This Row],[Seleccione el nombre del Estudiante]])</f>
        <v>Eddy Mauricio ArmasAlmeida Mera Emilio Andrés</v>
      </c>
      <c r="N521" s="1"/>
      <c r="O521" s="1" t="s">
        <v>329</v>
      </c>
      <c r="Q521" s="1"/>
      <c r="R521" s="1" t="s">
        <v>44</v>
      </c>
      <c r="S521" s="22">
        <f>VLOOKUP(TablaCalificaciones[[#This Row],[Apertura: problema y objetivo ]],PESOS!A$16:B$20,2,0)</f>
        <v>20</v>
      </c>
      <c r="T521" s="1"/>
      <c r="U521" s="1" t="s">
        <v>44</v>
      </c>
      <c r="V521" s="22">
        <f>VLOOKUP(TablaCalificaciones[[#This Row],[Metodología (nivel adecuado)]],PESOS!A$16:B$20,2,0)</f>
        <v>20</v>
      </c>
      <c r="W521" s="1"/>
      <c r="X521" s="1" t="s">
        <v>44</v>
      </c>
      <c r="Y521" s="22">
        <f>VLOOKUP(TablaCalificaciones[[#This Row],[Resultados y evidencia ]],PESOS!A$16:B$20,2,0)</f>
        <v>20</v>
      </c>
      <c r="Z521" s="1"/>
      <c r="AA521" s="1" t="s">
        <v>45</v>
      </c>
      <c r="AB521" s="22">
        <f>VLOOKUP(TablaCalificaciones[[#This Row],[Coherencia y manejo del tiempo]],PESOS!A$25:B$29,2,0)</f>
        <v>10</v>
      </c>
      <c r="AC521" s="1"/>
      <c r="AD521" s="1" t="s">
        <v>45</v>
      </c>
      <c r="AE521" s="22">
        <f>VLOOKUP(TablaCalificaciones[[#This Row],[Diapositivas como apoyo]],PESOS!A$25:B$29,2,0)</f>
        <v>10</v>
      </c>
      <c r="AF521" s="1"/>
      <c r="AG521" s="1" t="s">
        <v>51</v>
      </c>
      <c r="AH521" s="22">
        <f>VLOOKUP(TablaCalificaciones[[#This Row],[Respuestas a preguntas]],PESOS!A$25:B$29,2,0)</f>
        <v>8</v>
      </c>
      <c r="AI521" s="1"/>
      <c r="AJ521" s="1" t="s">
        <v>45</v>
      </c>
      <c r="AK521" s="22">
        <f>VLOOKUP(TablaCalificaciones[[#This Row],[Cierre: aporte a próximos pasos]],PESOS!A$25:B$29,2,0)</f>
        <v>10</v>
      </c>
      <c r="AL521" s="1"/>
      <c r="AM521" s="1"/>
    </row>
    <row r="522" spans="1:39">
      <c r="A522">
        <v>528</v>
      </c>
      <c r="B522" s="2">
        <v>46136.739351851902</v>
      </c>
      <c r="C522" s="2">
        <v>46136.739965277797</v>
      </c>
      <c r="D522" s="1" t="s">
        <v>225</v>
      </c>
      <c r="E522" s="1" t="s">
        <v>226</v>
      </c>
      <c r="G522" s="1"/>
      <c r="H522" s="2"/>
      <c r="I522" s="1" t="s">
        <v>134</v>
      </c>
      <c r="K522" s="1"/>
      <c r="L522" s="1" t="s">
        <v>227</v>
      </c>
      <c r="M522" s="26" t="str">
        <f>CONCATENATE(TablaCalificaciones[[#This Row],[Seleccione su nombre (Evaluador)]],TablaCalificaciones[[#This Row],[Seleccione el nombre del Estudiante]])</f>
        <v>Edison ChicaizaLuzuriaga Bermeo Abigail Elizabeth</v>
      </c>
      <c r="N522" s="1"/>
      <c r="O522" s="1" t="s">
        <v>322</v>
      </c>
      <c r="Q522" s="1"/>
      <c r="R522" s="1" t="s">
        <v>50</v>
      </c>
      <c r="S522" s="22">
        <f>VLOOKUP(TablaCalificaciones[[#This Row],[Apertura: problema y objetivo ]],PESOS!A$16:B$20,2,0)</f>
        <v>16</v>
      </c>
      <c r="T522" s="1"/>
      <c r="U522" s="1" t="s">
        <v>50</v>
      </c>
      <c r="V522" s="22">
        <f>VLOOKUP(TablaCalificaciones[[#This Row],[Metodología (nivel adecuado)]],PESOS!A$16:B$20,2,0)</f>
        <v>16</v>
      </c>
      <c r="W522" s="1"/>
      <c r="X522" s="1" t="s">
        <v>50</v>
      </c>
      <c r="Y522" s="22">
        <f>VLOOKUP(TablaCalificaciones[[#This Row],[Resultados y evidencia ]],PESOS!A$16:B$20,2,0)</f>
        <v>16</v>
      </c>
      <c r="Z522" s="1"/>
      <c r="AA522" s="1" t="s">
        <v>51</v>
      </c>
      <c r="AB522" s="22">
        <f>VLOOKUP(TablaCalificaciones[[#This Row],[Coherencia y manejo del tiempo]],PESOS!A$25:B$29,2,0)</f>
        <v>8</v>
      </c>
      <c r="AC522" s="1"/>
      <c r="AD522" s="1" t="s">
        <v>51</v>
      </c>
      <c r="AE522" s="22">
        <f>VLOOKUP(TablaCalificaciones[[#This Row],[Diapositivas como apoyo]],PESOS!A$25:B$29,2,0)</f>
        <v>8</v>
      </c>
      <c r="AF522" s="1"/>
      <c r="AG522" s="1" t="s">
        <v>51</v>
      </c>
      <c r="AH522" s="22">
        <f>VLOOKUP(TablaCalificaciones[[#This Row],[Respuestas a preguntas]],PESOS!A$25:B$29,2,0)</f>
        <v>8</v>
      </c>
      <c r="AI522" s="1"/>
      <c r="AJ522" s="1" t="s">
        <v>51</v>
      </c>
      <c r="AK522" s="22">
        <f>VLOOKUP(TablaCalificaciones[[#This Row],[Cierre: aporte a próximos pasos]],PESOS!A$25:B$29,2,0)</f>
        <v>8</v>
      </c>
      <c r="AL522" s="1"/>
      <c r="AM522" s="1"/>
    </row>
    <row r="523" spans="1:39">
      <c r="A523">
        <v>529</v>
      </c>
      <c r="B523" s="2">
        <v>46136.74</v>
      </c>
      <c r="C523" s="2">
        <v>46136.7405208333</v>
      </c>
      <c r="D523" s="1" t="s">
        <v>225</v>
      </c>
      <c r="E523" s="1" t="s">
        <v>226</v>
      </c>
      <c r="G523" s="1"/>
      <c r="H523" s="2"/>
      <c r="I523" s="1" t="s">
        <v>134</v>
      </c>
      <c r="K523" s="1"/>
      <c r="L523" s="1" t="s">
        <v>227</v>
      </c>
      <c r="M523" s="26" t="str">
        <f>CONCATENATE(TablaCalificaciones[[#This Row],[Seleccione su nombre (Evaluador)]],TablaCalificaciones[[#This Row],[Seleccione el nombre del Estudiante]])</f>
        <v>Edison ChicaizaMoreno Rivera Danny Javier</v>
      </c>
      <c r="N523" s="1"/>
      <c r="O523" s="1" t="s">
        <v>323</v>
      </c>
      <c r="Q523" s="1"/>
      <c r="R523" s="1" t="s">
        <v>50</v>
      </c>
      <c r="S523" s="22">
        <f>VLOOKUP(TablaCalificaciones[[#This Row],[Apertura: problema y objetivo ]],PESOS!A$16:B$20,2,0)</f>
        <v>16</v>
      </c>
      <c r="T523" s="1"/>
      <c r="U523" s="1" t="s">
        <v>50</v>
      </c>
      <c r="V523" s="22">
        <f>VLOOKUP(TablaCalificaciones[[#This Row],[Metodología (nivel adecuado)]],PESOS!A$16:B$20,2,0)</f>
        <v>16</v>
      </c>
      <c r="W523" s="1"/>
      <c r="X523" s="1" t="s">
        <v>50</v>
      </c>
      <c r="Y523" s="22">
        <f>VLOOKUP(TablaCalificaciones[[#This Row],[Resultados y evidencia ]],PESOS!A$16:B$20,2,0)</f>
        <v>16</v>
      </c>
      <c r="Z523" s="1"/>
      <c r="AA523" s="1" t="s">
        <v>51</v>
      </c>
      <c r="AB523" s="22">
        <f>VLOOKUP(TablaCalificaciones[[#This Row],[Coherencia y manejo del tiempo]],PESOS!A$25:B$29,2,0)</f>
        <v>8</v>
      </c>
      <c r="AC523" s="1"/>
      <c r="AD523" s="1" t="s">
        <v>51</v>
      </c>
      <c r="AE523" s="22">
        <f>VLOOKUP(TablaCalificaciones[[#This Row],[Diapositivas como apoyo]],PESOS!A$25:B$29,2,0)</f>
        <v>8</v>
      </c>
      <c r="AF523" s="1"/>
      <c r="AG523" s="1" t="s">
        <v>51</v>
      </c>
      <c r="AH523" s="22">
        <f>VLOOKUP(TablaCalificaciones[[#This Row],[Respuestas a preguntas]],PESOS!A$25:B$29,2,0)</f>
        <v>8</v>
      </c>
      <c r="AI523" s="1"/>
      <c r="AJ523" s="1" t="s">
        <v>51</v>
      </c>
      <c r="AK523" s="22">
        <f>VLOOKUP(TablaCalificaciones[[#This Row],[Cierre: aporte a próximos pasos]],PESOS!A$25:B$29,2,0)</f>
        <v>8</v>
      </c>
      <c r="AL523" s="1"/>
      <c r="AM523" s="1"/>
    </row>
    <row r="524" spans="1:39">
      <c r="A524">
        <v>530</v>
      </c>
      <c r="B524" s="2">
        <v>46136.740555555603</v>
      </c>
      <c r="C524" s="2">
        <v>46136.741041666697</v>
      </c>
      <c r="D524" s="1" t="s">
        <v>225</v>
      </c>
      <c r="E524" s="1" t="s">
        <v>226</v>
      </c>
      <c r="G524" s="1"/>
      <c r="H524" s="2"/>
      <c r="I524" s="1" t="s">
        <v>134</v>
      </c>
      <c r="K524" s="1"/>
      <c r="L524" s="1" t="s">
        <v>227</v>
      </c>
      <c r="M524" s="26" t="str">
        <f>CONCATENATE(TablaCalificaciones[[#This Row],[Seleccione su nombre (Evaluador)]],TablaCalificaciones[[#This Row],[Seleccione el nombre del Estudiante]])</f>
        <v>Edison ChicaizaViteri Sánchez Cristina Belén</v>
      </c>
      <c r="N524" s="1"/>
      <c r="O524" s="1" t="s">
        <v>324</v>
      </c>
      <c r="Q524" s="1"/>
      <c r="R524" s="1" t="s">
        <v>50</v>
      </c>
      <c r="S524" s="22">
        <f>VLOOKUP(TablaCalificaciones[[#This Row],[Apertura: problema y objetivo ]],PESOS!A$16:B$20,2,0)</f>
        <v>16</v>
      </c>
      <c r="T524" s="1"/>
      <c r="U524" s="1" t="s">
        <v>50</v>
      </c>
      <c r="V524" s="22">
        <f>VLOOKUP(TablaCalificaciones[[#This Row],[Metodología (nivel adecuado)]],PESOS!A$16:B$20,2,0)</f>
        <v>16</v>
      </c>
      <c r="W524" s="1"/>
      <c r="X524" s="1" t="s">
        <v>50</v>
      </c>
      <c r="Y524" s="22">
        <f>VLOOKUP(TablaCalificaciones[[#This Row],[Resultados y evidencia ]],PESOS!A$16:B$20,2,0)</f>
        <v>16</v>
      </c>
      <c r="Z524" s="1"/>
      <c r="AA524" s="1" t="s">
        <v>51</v>
      </c>
      <c r="AB524" s="22">
        <f>VLOOKUP(TablaCalificaciones[[#This Row],[Coherencia y manejo del tiempo]],PESOS!A$25:B$29,2,0)</f>
        <v>8</v>
      </c>
      <c r="AC524" s="1"/>
      <c r="AD524" s="1" t="s">
        <v>51</v>
      </c>
      <c r="AE524" s="22">
        <f>VLOOKUP(TablaCalificaciones[[#This Row],[Diapositivas como apoyo]],PESOS!A$25:B$29,2,0)</f>
        <v>8</v>
      </c>
      <c r="AF524" s="1"/>
      <c r="AG524" s="1" t="s">
        <v>51</v>
      </c>
      <c r="AH524" s="22">
        <f>VLOOKUP(TablaCalificaciones[[#This Row],[Respuestas a preguntas]],PESOS!A$25:B$29,2,0)</f>
        <v>8</v>
      </c>
      <c r="AI524" s="1"/>
      <c r="AJ524" s="1" t="s">
        <v>51</v>
      </c>
      <c r="AK524" s="22">
        <f>VLOOKUP(TablaCalificaciones[[#This Row],[Cierre: aporte a próximos pasos]],PESOS!A$25:B$29,2,0)</f>
        <v>8</v>
      </c>
      <c r="AL524" s="1"/>
      <c r="AM524" s="1"/>
    </row>
    <row r="525" spans="1:39">
      <c r="A525">
        <v>531</v>
      </c>
      <c r="B525" s="2">
        <v>46136.786701388897</v>
      </c>
      <c r="C525" s="2">
        <v>46136.788020833301</v>
      </c>
      <c r="D525" s="1" t="s">
        <v>39</v>
      </c>
      <c r="E525" s="1" t="s">
        <v>40</v>
      </c>
      <c r="G525" s="1"/>
      <c r="H525" s="2"/>
      <c r="I525" s="1" t="s">
        <v>134</v>
      </c>
      <c r="K525" s="1"/>
      <c r="L525" s="1" t="s">
        <v>42</v>
      </c>
      <c r="M525" s="26" t="str">
        <f>CONCATENATE(TablaCalificaciones[[#This Row],[Seleccione su nombre (Evaluador)]],TablaCalificaciones[[#This Row],[Seleccione el nombre del Estudiante]])</f>
        <v>Patricio David PonceMaldonado Páez Francisco Javier</v>
      </c>
      <c r="N525" s="1"/>
      <c r="O525" s="1" t="s">
        <v>328</v>
      </c>
      <c r="Q525" s="1"/>
      <c r="R525" s="1" t="s">
        <v>44</v>
      </c>
      <c r="S525" s="22">
        <f>VLOOKUP(TablaCalificaciones[[#This Row],[Apertura: problema y objetivo ]],PESOS!A$16:B$20,2,0)</f>
        <v>20</v>
      </c>
      <c r="T525" s="1"/>
      <c r="U525" s="1" t="s">
        <v>50</v>
      </c>
      <c r="V525" s="22">
        <f>VLOOKUP(TablaCalificaciones[[#This Row],[Metodología (nivel adecuado)]],PESOS!A$16:B$20,2,0)</f>
        <v>16</v>
      </c>
      <c r="W525" s="1"/>
      <c r="X525" s="1" t="s">
        <v>44</v>
      </c>
      <c r="Y525" s="22">
        <f>VLOOKUP(TablaCalificaciones[[#This Row],[Resultados y evidencia ]],PESOS!A$16:B$20,2,0)</f>
        <v>20</v>
      </c>
      <c r="Z525" s="1"/>
      <c r="AA525" s="1" t="s">
        <v>45</v>
      </c>
      <c r="AB525" s="22">
        <f>VLOOKUP(TablaCalificaciones[[#This Row],[Coherencia y manejo del tiempo]],PESOS!A$25:B$29,2,0)</f>
        <v>10</v>
      </c>
      <c r="AC525" s="1"/>
      <c r="AD525" s="1" t="s">
        <v>45</v>
      </c>
      <c r="AE525" s="22">
        <f>VLOOKUP(TablaCalificaciones[[#This Row],[Diapositivas como apoyo]],PESOS!A$25:B$29,2,0)</f>
        <v>10</v>
      </c>
      <c r="AF525" s="1"/>
      <c r="AG525" s="1" t="s">
        <v>51</v>
      </c>
      <c r="AH525" s="22">
        <f>VLOOKUP(TablaCalificaciones[[#This Row],[Respuestas a preguntas]],PESOS!A$25:B$29,2,0)</f>
        <v>8</v>
      </c>
      <c r="AI525" s="1"/>
      <c r="AJ525" s="1" t="s">
        <v>45</v>
      </c>
      <c r="AK525" s="22">
        <f>VLOOKUP(TablaCalificaciones[[#This Row],[Cierre: aporte a próximos pasos]],PESOS!A$25:B$29,2,0)</f>
        <v>10</v>
      </c>
      <c r="AL525" s="1"/>
      <c r="AM525" s="1"/>
    </row>
    <row r="526" spans="1:39">
      <c r="A526">
        <v>532</v>
      </c>
      <c r="B526" s="2">
        <v>46136.788043981498</v>
      </c>
      <c r="C526" s="2">
        <v>46136.788437499999</v>
      </c>
      <c r="D526" s="1" t="s">
        <v>39</v>
      </c>
      <c r="E526" s="1" t="s">
        <v>40</v>
      </c>
      <c r="G526" s="1"/>
      <c r="H526" s="2"/>
      <c r="I526" s="1" t="s">
        <v>134</v>
      </c>
      <c r="K526" s="1"/>
      <c r="L526" s="1" t="s">
        <v>42</v>
      </c>
      <c r="M526" s="26" t="str">
        <f>CONCATENATE(TablaCalificaciones[[#This Row],[Seleccione su nombre (Evaluador)]],TablaCalificaciones[[#This Row],[Seleccione el nombre del Estudiante]])</f>
        <v>Patricio David PonceRon Urbano Micaela Alexandra</v>
      </c>
      <c r="N526" s="1"/>
      <c r="O526" s="1" t="s">
        <v>332</v>
      </c>
      <c r="Q526" s="1"/>
      <c r="R526" s="1" t="s">
        <v>44</v>
      </c>
      <c r="S526" s="22">
        <f>VLOOKUP(TablaCalificaciones[[#This Row],[Apertura: problema y objetivo ]],PESOS!A$16:B$20,2,0)</f>
        <v>20</v>
      </c>
      <c r="T526" s="1"/>
      <c r="U526" s="1" t="s">
        <v>50</v>
      </c>
      <c r="V526" s="22">
        <f>VLOOKUP(TablaCalificaciones[[#This Row],[Metodología (nivel adecuado)]],PESOS!A$16:B$20,2,0)</f>
        <v>16</v>
      </c>
      <c r="W526" s="1"/>
      <c r="X526" s="1" t="s">
        <v>44</v>
      </c>
      <c r="Y526" s="22">
        <f>VLOOKUP(TablaCalificaciones[[#This Row],[Resultados y evidencia ]],PESOS!A$16:B$20,2,0)</f>
        <v>20</v>
      </c>
      <c r="Z526" s="1"/>
      <c r="AA526" s="1" t="s">
        <v>45</v>
      </c>
      <c r="AB526" s="22">
        <f>VLOOKUP(TablaCalificaciones[[#This Row],[Coherencia y manejo del tiempo]],PESOS!A$25:B$29,2,0)</f>
        <v>10</v>
      </c>
      <c r="AC526" s="1"/>
      <c r="AD526" s="1" t="s">
        <v>45</v>
      </c>
      <c r="AE526" s="22">
        <f>VLOOKUP(TablaCalificaciones[[#This Row],[Diapositivas como apoyo]],PESOS!A$25:B$29,2,0)</f>
        <v>10</v>
      </c>
      <c r="AF526" s="1"/>
      <c r="AG526" s="1" t="s">
        <v>51</v>
      </c>
      <c r="AH526" s="22">
        <f>VLOOKUP(TablaCalificaciones[[#This Row],[Respuestas a preguntas]],PESOS!A$25:B$29,2,0)</f>
        <v>8</v>
      </c>
      <c r="AI526" s="1"/>
      <c r="AJ526" s="1" t="s">
        <v>51</v>
      </c>
      <c r="AK526" s="22">
        <f>VLOOKUP(TablaCalificaciones[[#This Row],[Cierre: aporte a próximos pasos]],PESOS!A$25:B$29,2,0)</f>
        <v>8</v>
      </c>
      <c r="AL526" s="1"/>
      <c r="AM526" s="1"/>
    </row>
    <row r="527" spans="1:39">
      <c r="A527">
        <v>533</v>
      </c>
      <c r="B527" s="2">
        <v>46136.788449074098</v>
      </c>
      <c r="C527" s="2">
        <v>46136.788761574098</v>
      </c>
      <c r="D527" s="1" t="s">
        <v>39</v>
      </c>
      <c r="E527" s="1" t="s">
        <v>40</v>
      </c>
      <c r="G527" s="1"/>
      <c r="H527" s="2"/>
      <c r="I527" s="1" t="s">
        <v>134</v>
      </c>
      <c r="K527" s="1"/>
      <c r="L527" s="1" t="s">
        <v>42</v>
      </c>
      <c r="M527" s="26" t="str">
        <f>CONCATENATE(TablaCalificaciones[[#This Row],[Seleccione su nombre (Evaluador)]],TablaCalificaciones[[#This Row],[Seleccione el nombre del Estudiante]])</f>
        <v>Patricio David PonceSánchez Dávila Luis Alfonso</v>
      </c>
      <c r="N527" s="1"/>
      <c r="O527" s="1" t="s">
        <v>333</v>
      </c>
      <c r="Q527" s="1"/>
      <c r="R527" s="1" t="s">
        <v>44</v>
      </c>
      <c r="S527" s="22">
        <f>VLOOKUP(TablaCalificaciones[[#This Row],[Apertura: problema y objetivo ]],PESOS!A$16:B$20,2,0)</f>
        <v>20</v>
      </c>
      <c r="T527" s="1"/>
      <c r="U527" s="1" t="s">
        <v>50</v>
      </c>
      <c r="V527" s="22">
        <f>VLOOKUP(TablaCalificaciones[[#This Row],[Metodología (nivel adecuado)]],PESOS!A$16:B$20,2,0)</f>
        <v>16</v>
      </c>
      <c r="W527" s="1"/>
      <c r="X527" s="1" t="s">
        <v>44</v>
      </c>
      <c r="Y527" s="22">
        <f>VLOOKUP(TablaCalificaciones[[#This Row],[Resultados y evidencia ]],PESOS!A$16:B$20,2,0)</f>
        <v>20</v>
      </c>
      <c r="Z527" s="1"/>
      <c r="AA527" s="1" t="s">
        <v>45</v>
      </c>
      <c r="AB527" s="22">
        <f>VLOOKUP(TablaCalificaciones[[#This Row],[Coherencia y manejo del tiempo]],PESOS!A$25:B$29,2,0)</f>
        <v>10</v>
      </c>
      <c r="AC527" s="1"/>
      <c r="AD527" s="1" t="s">
        <v>45</v>
      </c>
      <c r="AE527" s="22">
        <f>VLOOKUP(TablaCalificaciones[[#This Row],[Diapositivas como apoyo]],PESOS!A$25:B$29,2,0)</f>
        <v>10</v>
      </c>
      <c r="AF527" s="1"/>
      <c r="AG527" s="1" t="s">
        <v>51</v>
      </c>
      <c r="AH527" s="22">
        <f>VLOOKUP(TablaCalificaciones[[#This Row],[Respuestas a preguntas]],PESOS!A$25:B$29,2,0)</f>
        <v>8</v>
      </c>
      <c r="AI527" s="1"/>
      <c r="AJ527" s="1" t="s">
        <v>51</v>
      </c>
      <c r="AK527" s="22">
        <f>VLOOKUP(TablaCalificaciones[[#This Row],[Cierre: aporte a próximos pasos]],PESOS!A$25:B$29,2,0)</f>
        <v>8</v>
      </c>
      <c r="AL527" s="1"/>
      <c r="AM527" s="1"/>
    </row>
    <row r="528" spans="1:39">
      <c r="A528">
        <v>534</v>
      </c>
      <c r="B528" s="2">
        <v>46136.788784722201</v>
      </c>
      <c r="C528" s="2">
        <v>46136.7893287037</v>
      </c>
      <c r="D528" s="1" t="s">
        <v>39</v>
      </c>
      <c r="E528" s="1" t="s">
        <v>40</v>
      </c>
      <c r="G528" s="1"/>
      <c r="H528" s="2"/>
      <c r="I528" s="1" t="s">
        <v>134</v>
      </c>
      <c r="K528" s="1"/>
      <c r="L528" s="1" t="s">
        <v>42</v>
      </c>
      <c r="M528" s="26" t="str">
        <f>CONCATENATE(TablaCalificaciones[[#This Row],[Seleccione su nombre (Evaluador)]],TablaCalificaciones[[#This Row],[Seleccione el nombre del Estudiante]])</f>
        <v>Patricio David PonceAcosta Polanco Álvaro Marcelo</v>
      </c>
      <c r="N528" s="1"/>
      <c r="O528" s="1" t="s">
        <v>334</v>
      </c>
      <c r="Q528" s="1"/>
      <c r="R528" s="1" t="s">
        <v>44</v>
      </c>
      <c r="S528" s="22">
        <f>VLOOKUP(TablaCalificaciones[[#This Row],[Apertura: problema y objetivo ]],PESOS!A$16:B$20,2,0)</f>
        <v>20</v>
      </c>
      <c r="T528" s="1"/>
      <c r="U528" s="1" t="s">
        <v>44</v>
      </c>
      <c r="V528" s="22">
        <f>VLOOKUP(TablaCalificaciones[[#This Row],[Metodología (nivel adecuado)]],PESOS!A$16:B$20,2,0)</f>
        <v>20</v>
      </c>
      <c r="W528" s="1"/>
      <c r="X528" s="1" t="s">
        <v>44</v>
      </c>
      <c r="Y528" s="22">
        <f>VLOOKUP(TablaCalificaciones[[#This Row],[Resultados y evidencia ]],PESOS!A$16:B$20,2,0)</f>
        <v>20</v>
      </c>
      <c r="Z528" s="1"/>
      <c r="AA528" s="1" t="s">
        <v>45</v>
      </c>
      <c r="AB528" s="22">
        <f>VLOOKUP(TablaCalificaciones[[#This Row],[Coherencia y manejo del tiempo]],PESOS!A$25:B$29,2,0)</f>
        <v>10</v>
      </c>
      <c r="AC528" s="1"/>
      <c r="AD528" s="1" t="s">
        <v>45</v>
      </c>
      <c r="AE528" s="22">
        <f>VLOOKUP(TablaCalificaciones[[#This Row],[Diapositivas como apoyo]],PESOS!A$25:B$29,2,0)</f>
        <v>10</v>
      </c>
      <c r="AF528" s="1"/>
      <c r="AG528" s="1" t="s">
        <v>45</v>
      </c>
      <c r="AH528" s="22">
        <f>VLOOKUP(TablaCalificaciones[[#This Row],[Respuestas a preguntas]],PESOS!A$25:B$29,2,0)</f>
        <v>10</v>
      </c>
      <c r="AI528" s="1"/>
      <c r="AJ528" s="1" t="s">
        <v>45</v>
      </c>
      <c r="AK528" s="22">
        <f>VLOOKUP(TablaCalificaciones[[#This Row],[Cierre: aporte a próximos pasos]],PESOS!A$25:B$29,2,0)</f>
        <v>10</v>
      </c>
      <c r="AL528" s="1"/>
      <c r="AM528" s="1"/>
    </row>
    <row r="529" spans="1:39">
      <c r="A529">
        <v>535</v>
      </c>
      <c r="B529" s="2">
        <v>46136.789340277799</v>
      </c>
      <c r="C529" s="2">
        <v>46136.789629629602</v>
      </c>
      <c r="D529" s="1" t="s">
        <v>39</v>
      </c>
      <c r="E529" s="1" t="s">
        <v>40</v>
      </c>
      <c r="G529" s="1"/>
      <c r="H529" s="2"/>
      <c r="I529" s="1" t="s">
        <v>134</v>
      </c>
      <c r="K529" s="1"/>
      <c r="L529" s="1" t="s">
        <v>42</v>
      </c>
      <c r="M529" s="26" t="str">
        <f>CONCATENATE(TablaCalificaciones[[#This Row],[Seleccione su nombre (Evaluador)]],TablaCalificaciones[[#This Row],[Seleccione el nombre del Estudiante]])</f>
        <v>Patricio David PonceCerón Oñate Guillermo Andrés</v>
      </c>
      <c r="N529" s="1"/>
      <c r="O529" s="1" t="s">
        <v>335</v>
      </c>
      <c r="Q529" s="1"/>
      <c r="R529" s="1" t="s">
        <v>44</v>
      </c>
      <c r="S529" s="22">
        <f>VLOOKUP(TablaCalificaciones[[#This Row],[Apertura: problema y objetivo ]],PESOS!A$16:B$20,2,0)</f>
        <v>20</v>
      </c>
      <c r="T529" s="1"/>
      <c r="U529" s="1" t="s">
        <v>44</v>
      </c>
      <c r="V529" s="22">
        <f>VLOOKUP(TablaCalificaciones[[#This Row],[Metodología (nivel adecuado)]],PESOS!A$16:B$20,2,0)</f>
        <v>20</v>
      </c>
      <c r="W529" s="1"/>
      <c r="X529" s="1" t="s">
        <v>44</v>
      </c>
      <c r="Y529" s="22">
        <f>VLOOKUP(TablaCalificaciones[[#This Row],[Resultados y evidencia ]],PESOS!A$16:B$20,2,0)</f>
        <v>20</v>
      </c>
      <c r="Z529" s="1"/>
      <c r="AA529" s="1" t="s">
        <v>45</v>
      </c>
      <c r="AB529" s="22">
        <f>VLOOKUP(TablaCalificaciones[[#This Row],[Coherencia y manejo del tiempo]],PESOS!A$25:B$29,2,0)</f>
        <v>10</v>
      </c>
      <c r="AC529" s="1"/>
      <c r="AD529" s="1" t="s">
        <v>45</v>
      </c>
      <c r="AE529" s="22">
        <f>VLOOKUP(TablaCalificaciones[[#This Row],[Diapositivas como apoyo]],PESOS!A$25:B$29,2,0)</f>
        <v>10</v>
      </c>
      <c r="AF529" s="1"/>
      <c r="AG529" s="1" t="s">
        <v>45</v>
      </c>
      <c r="AH529" s="22">
        <f>VLOOKUP(TablaCalificaciones[[#This Row],[Respuestas a preguntas]],PESOS!A$25:B$29,2,0)</f>
        <v>10</v>
      </c>
      <c r="AI529" s="1"/>
      <c r="AJ529" s="1" t="s">
        <v>45</v>
      </c>
      <c r="AK529" s="22">
        <f>VLOOKUP(TablaCalificaciones[[#This Row],[Cierre: aporte a próximos pasos]],PESOS!A$25:B$29,2,0)</f>
        <v>10</v>
      </c>
      <c r="AL529" s="1"/>
      <c r="AM529" s="1"/>
    </row>
    <row r="530" spans="1:39">
      <c r="A530">
        <v>536</v>
      </c>
      <c r="B530" s="2">
        <v>46136.789641203701</v>
      </c>
      <c r="C530" s="2">
        <v>46136.7899189815</v>
      </c>
      <c r="D530" s="1" t="s">
        <v>39</v>
      </c>
      <c r="E530" s="1" t="s">
        <v>40</v>
      </c>
      <c r="G530" s="1"/>
      <c r="H530" s="2"/>
      <c r="I530" s="1" t="s">
        <v>134</v>
      </c>
      <c r="K530" s="1"/>
      <c r="L530" s="1" t="s">
        <v>42</v>
      </c>
      <c r="M530" s="26" t="str">
        <f>CONCATENATE(TablaCalificaciones[[#This Row],[Seleccione su nombre (Evaluador)]],TablaCalificaciones[[#This Row],[Seleccione el nombre del Estudiante]])</f>
        <v>Patricio David PonceDelgado Ureta Erika Cecibel</v>
      </c>
      <c r="N530" s="1"/>
      <c r="O530" s="1" t="s">
        <v>336</v>
      </c>
      <c r="Q530" s="1"/>
      <c r="R530" s="1" t="s">
        <v>44</v>
      </c>
      <c r="S530" s="22">
        <f>VLOOKUP(TablaCalificaciones[[#This Row],[Apertura: problema y objetivo ]],PESOS!A$16:B$20,2,0)</f>
        <v>20</v>
      </c>
      <c r="T530" s="1"/>
      <c r="U530" s="1" t="s">
        <v>44</v>
      </c>
      <c r="V530" s="22">
        <f>VLOOKUP(TablaCalificaciones[[#This Row],[Metodología (nivel adecuado)]],PESOS!A$16:B$20,2,0)</f>
        <v>20</v>
      </c>
      <c r="W530" s="1"/>
      <c r="X530" s="1" t="s">
        <v>44</v>
      </c>
      <c r="Y530" s="22">
        <f>VLOOKUP(TablaCalificaciones[[#This Row],[Resultados y evidencia ]],PESOS!A$16:B$20,2,0)</f>
        <v>20</v>
      </c>
      <c r="Z530" s="1"/>
      <c r="AA530" s="1" t="s">
        <v>45</v>
      </c>
      <c r="AB530" s="22">
        <f>VLOOKUP(TablaCalificaciones[[#This Row],[Coherencia y manejo del tiempo]],PESOS!A$25:B$29,2,0)</f>
        <v>10</v>
      </c>
      <c r="AC530" s="1"/>
      <c r="AD530" s="1" t="s">
        <v>45</v>
      </c>
      <c r="AE530" s="22">
        <f>VLOOKUP(TablaCalificaciones[[#This Row],[Diapositivas como apoyo]],PESOS!A$25:B$29,2,0)</f>
        <v>10</v>
      </c>
      <c r="AF530" s="1"/>
      <c r="AG530" s="1" t="s">
        <v>45</v>
      </c>
      <c r="AH530" s="22">
        <f>VLOOKUP(TablaCalificaciones[[#This Row],[Respuestas a preguntas]],PESOS!A$25:B$29,2,0)</f>
        <v>10</v>
      </c>
      <c r="AI530" s="1"/>
      <c r="AJ530" s="1" t="s">
        <v>45</v>
      </c>
      <c r="AK530" s="22">
        <f>VLOOKUP(TablaCalificaciones[[#This Row],[Cierre: aporte a próximos pasos]],PESOS!A$25:B$29,2,0)</f>
        <v>10</v>
      </c>
      <c r="AL530" s="1"/>
      <c r="AM530" s="1"/>
    </row>
    <row r="531" spans="1:39">
      <c r="A531">
        <v>538</v>
      </c>
      <c r="B531" s="2">
        <v>46136.816493055601</v>
      </c>
      <c r="C531" s="2">
        <v>46136.817303240699</v>
      </c>
      <c r="D531" s="1" t="s">
        <v>101</v>
      </c>
      <c r="E531" s="1" t="s">
        <v>102</v>
      </c>
      <c r="G531" s="1"/>
      <c r="H531" s="2"/>
      <c r="I531" s="1" t="s">
        <v>229</v>
      </c>
      <c r="K531" s="1"/>
      <c r="L531" s="1" t="s">
        <v>102</v>
      </c>
      <c r="M531" s="26" t="str">
        <f>CONCATENATE(TablaCalificaciones[[#This Row],[Seleccione su nombre (Evaluador)]],TablaCalificaciones[[#This Row],[Seleccione el nombre del Estudiante]])</f>
        <v>Christiam GarzónBetancourt Guamán Sixto Vinicio</v>
      </c>
      <c r="N531" s="1"/>
      <c r="O531" s="1" t="s">
        <v>237</v>
      </c>
      <c r="Q531" s="1"/>
      <c r="R531" s="1" t="s">
        <v>44</v>
      </c>
      <c r="S531" s="22">
        <f>VLOOKUP(TablaCalificaciones[[#This Row],[Apertura: problema y objetivo ]],PESOS!A$16:B$20,2,0)</f>
        <v>20</v>
      </c>
      <c r="T531" s="1"/>
      <c r="U531" s="1" t="s">
        <v>44</v>
      </c>
      <c r="V531" s="22">
        <f>VLOOKUP(TablaCalificaciones[[#This Row],[Metodología (nivel adecuado)]],PESOS!A$16:B$20,2,0)</f>
        <v>20</v>
      </c>
      <c r="W531" s="1"/>
      <c r="X531" s="1" t="s">
        <v>44</v>
      </c>
      <c r="Y531" s="22">
        <f>VLOOKUP(TablaCalificaciones[[#This Row],[Resultados y evidencia ]],PESOS!A$16:B$20,2,0)</f>
        <v>20</v>
      </c>
      <c r="Z531" s="1"/>
      <c r="AA531" s="1" t="s">
        <v>45</v>
      </c>
      <c r="AB531" s="22">
        <f>VLOOKUP(TablaCalificaciones[[#This Row],[Coherencia y manejo del tiempo]],PESOS!A$25:B$29,2,0)</f>
        <v>10</v>
      </c>
      <c r="AC531" s="1"/>
      <c r="AD531" s="1" t="s">
        <v>51</v>
      </c>
      <c r="AE531" s="22">
        <f>VLOOKUP(TablaCalificaciones[[#This Row],[Diapositivas como apoyo]],PESOS!A$25:B$29,2,0)</f>
        <v>8</v>
      </c>
      <c r="AF531" s="1"/>
      <c r="AG531" s="1" t="s">
        <v>51</v>
      </c>
      <c r="AH531" s="22">
        <f>VLOOKUP(TablaCalificaciones[[#This Row],[Respuestas a preguntas]],PESOS!A$25:B$29,2,0)</f>
        <v>8</v>
      </c>
      <c r="AI531" s="1"/>
      <c r="AJ531" s="1" t="s">
        <v>45</v>
      </c>
      <c r="AK531" s="22">
        <f>VLOOKUP(TablaCalificaciones[[#This Row],[Cierre: aporte a próximos pasos]],PESOS!A$25:B$29,2,0)</f>
        <v>10</v>
      </c>
      <c r="AL531" s="1"/>
      <c r="AM531" s="1"/>
    </row>
    <row r="532" spans="1:39">
      <c r="A532">
        <v>539</v>
      </c>
      <c r="B532" s="2">
        <v>46136.817337963003</v>
      </c>
      <c r="C532" s="2">
        <v>46136.8181944444</v>
      </c>
      <c r="D532" s="1" t="s">
        <v>101</v>
      </c>
      <c r="E532" s="1" t="s">
        <v>102</v>
      </c>
      <c r="G532" s="1"/>
      <c r="H532" s="2"/>
      <c r="I532" s="1" t="s">
        <v>229</v>
      </c>
      <c r="K532" s="1"/>
      <c r="L532" s="1" t="s">
        <v>102</v>
      </c>
      <c r="M532" s="26" t="str">
        <f>CONCATENATE(TablaCalificaciones[[#This Row],[Seleccione su nombre (Evaluador)]],TablaCalificaciones[[#This Row],[Seleccione el nombre del Estudiante]])</f>
        <v>Christiam GarzónSánchez Espinosa Jhon Bryan</v>
      </c>
      <c r="N532" s="1"/>
      <c r="O532" s="1" t="s">
        <v>238</v>
      </c>
      <c r="Q532" s="1"/>
      <c r="R532" s="1" t="s">
        <v>44</v>
      </c>
      <c r="S532" s="22">
        <f>VLOOKUP(TablaCalificaciones[[#This Row],[Apertura: problema y objetivo ]],PESOS!A$16:B$20,2,0)</f>
        <v>20</v>
      </c>
      <c r="T532" s="1"/>
      <c r="U532" s="1" t="s">
        <v>44</v>
      </c>
      <c r="V532" s="22">
        <f>VLOOKUP(TablaCalificaciones[[#This Row],[Metodología (nivel adecuado)]],PESOS!A$16:B$20,2,0)</f>
        <v>20</v>
      </c>
      <c r="W532" s="1"/>
      <c r="X532" s="1" t="s">
        <v>44</v>
      </c>
      <c r="Y532" s="22">
        <f>VLOOKUP(TablaCalificaciones[[#This Row],[Resultados y evidencia ]],PESOS!A$16:B$20,2,0)</f>
        <v>20</v>
      </c>
      <c r="Z532" s="1"/>
      <c r="AA532" s="1" t="s">
        <v>51</v>
      </c>
      <c r="AB532" s="22">
        <f>VLOOKUP(TablaCalificaciones[[#This Row],[Coherencia y manejo del tiempo]],PESOS!A$25:B$29,2,0)</f>
        <v>8</v>
      </c>
      <c r="AC532" s="1"/>
      <c r="AD532" s="1" t="s">
        <v>51</v>
      </c>
      <c r="AE532" s="22">
        <f>VLOOKUP(TablaCalificaciones[[#This Row],[Diapositivas como apoyo]],PESOS!A$25:B$29,2,0)</f>
        <v>8</v>
      </c>
      <c r="AF532" s="1"/>
      <c r="AG532" s="1" t="s">
        <v>45</v>
      </c>
      <c r="AH532" s="22">
        <f>VLOOKUP(TablaCalificaciones[[#This Row],[Respuestas a preguntas]],PESOS!A$25:B$29,2,0)</f>
        <v>10</v>
      </c>
      <c r="AI532" s="1"/>
      <c r="AJ532" s="1" t="s">
        <v>45</v>
      </c>
      <c r="AK532" s="22">
        <f>VLOOKUP(TablaCalificaciones[[#This Row],[Cierre: aporte a próximos pasos]],PESOS!A$25:B$29,2,0)</f>
        <v>10</v>
      </c>
      <c r="AL532" s="1"/>
      <c r="AM532" s="1"/>
    </row>
    <row r="533" spans="1:39">
      <c r="A533">
        <v>540</v>
      </c>
      <c r="B533" s="2">
        <v>46136.818217592598</v>
      </c>
      <c r="C533" s="2">
        <v>46136.818703703699</v>
      </c>
      <c r="D533" s="1" t="s">
        <v>101</v>
      </c>
      <c r="E533" s="1" t="s">
        <v>102</v>
      </c>
      <c r="G533" s="1"/>
      <c r="H533" s="2"/>
      <c r="I533" s="1" t="s">
        <v>229</v>
      </c>
      <c r="K533" s="1"/>
      <c r="L533" s="1" t="s">
        <v>102</v>
      </c>
      <c r="M533" s="26" t="str">
        <f>CONCATENATE(TablaCalificaciones[[#This Row],[Seleccione su nombre (Evaluador)]],TablaCalificaciones[[#This Row],[Seleccione el nombre del Estudiante]])</f>
        <v>Christiam GarzónAguaisa Moreno Victor Andres</v>
      </c>
      <c r="N533" s="1"/>
      <c r="O533" s="1" t="s">
        <v>253</v>
      </c>
      <c r="Q533" s="1"/>
      <c r="R533" s="1" t="s">
        <v>44</v>
      </c>
      <c r="S533" s="22">
        <f>VLOOKUP(TablaCalificaciones[[#This Row],[Apertura: problema y objetivo ]],PESOS!A$16:B$20,2,0)</f>
        <v>20</v>
      </c>
      <c r="T533" s="1"/>
      <c r="U533" s="1" t="s">
        <v>44</v>
      </c>
      <c r="V533" s="22">
        <f>VLOOKUP(TablaCalificaciones[[#This Row],[Metodología (nivel adecuado)]],PESOS!A$16:B$20,2,0)</f>
        <v>20</v>
      </c>
      <c r="W533" s="1"/>
      <c r="X533" s="1" t="s">
        <v>44</v>
      </c>
      <c r="Y533" s="22">
        <f>VLOOKUP(TablaCalificaciones[[#This Row],[Resultados y evidencia ]],PESOS!A$16:B$20,2,0)</f>
        <v>20</v>
      </c>
      <c r="Z533" s="1"/>
      <c r="AA533" s="1" t="s">
        <v>45</v>
      </c>
      <c r="AB533" s="22">
        <f>VLOOKUP(TablaCalificaciones[[#This Row],[Coherencia y manejo del tiempo]],PESOS!A$25:B$29,2,0)</f>
        <v>10</v>
      </c>
      <c r="AC533" s="1"/>
      <c r="AD533" s="1" t="s">
        <v>45</v>
      </c>
      <c r="AE533" s="22">
        <f>VLOOKUP(TablaCalificaciones[[#This Row],[Diapositivas como apoyo]],PESOS!A$25:B$29,2,0)</f>
        <v>10</v>
      </c>
      <c r="AF533" s="1"/>
      <c r="AG533" s="1" t="s">
        <v>45</v>
      </c>
      <c r="AH533" s="22">
        <f>VLOOKUP(TablaCalificaciones[[#This Row],[Respuestas a preguntas]],PESOS!A$25:B$29,2,0)</f>
        <v>10</v>
      </c>
      <c r="AI533" s="1"/>
      <c r="AJ533" s="1" t="s">
        <v>45</v>
      </c>
      <c r="AK533" s="22">
        <f>VLOOKUP(TablaCalificaciones[[#This Row],[Cierre: aporte a próximos pasos]],PESOS!A$25:B$29,2,0)</f>
        <v>10</v>
      </c>
      <c r="AL533" s="1"/>
      <c r="AM533" s="1"/>
    </row>
    <row r="534" spans="1:39">
      <c r="A534">
        <v>319</v>
      </c>
      <c r="B534" s="2">
        <v>46135.390879629602</v>
      </c>
      <c r="C534" s="2">
        <v>46135.391504629602</v>
      </c>
      <c r="D534" s="1" t="s">
        <v>93</v>
      </c>
      <c r="E534" s="1" t="s">
        <v>94</v>
      </c>
      <c r="G534" s="1"/>
      <c r="H534" s="2"/>
      <c r="I534" s="1" t="s">
        <v>229</v>
      </c>
      <c r="K534" s="1"/>
      <c r="L534" s="1" t="s">
        <v>95</v>
      </c>
      <c r="M534" s="26" t="str">
        <f>CONCATENATE(TablaCalificaciones[[#This Row],[Seleccione su nombre (Evaluador)]],TablaCalificaciones[[#This Row],[Seleccione el nombre del Estudiante]])</f>
        <v>Nelly Patricia Acosta VargasMartínez Porte Daniela Stephania</v>
      </c>
      <c r="N534" s="1"/>
      <c r="O534" s="1" t="s">
        <v>243</v>
      </c>
      <c r="Q534" s="1"/>
      <c r="R534" s="1" t="s">
        <v>44</v>
      </c>
      <c r="S534" s="22">
        <f>VLOOKUP(TablaCalificaciones[[#This Row],[Apertura: problema y objetivo ]],PESOS!A$16:B$20,2,0)</f>
        <v>20</v>
      </c>
      <c r="T534" s="1"/>
      <c r="U534" s="1" t="s">
        <v>44</v>
      </c>
      <c r="V534" s="22">
        <f>VLOOKUP(TablaCalificaciones[[#This Row],[Metodología (nivel adecuado)]],PESOS!A$16:B$20,2,0)</f>
        <v>20</v>
      </c>
      <c r="W534" s="1"/>
      <c r="X534" s="1" t="s">
        <v>44</v>
      </c>
      <c r="Y534" s="22">
        <f>VLOOKUP(TablaCalificaciones[[#This Row],[Resultados y evidencia ]],PESOS!A$16:B$20,2,0)</f>
        <v>20</v>
      </c>
      <c r="Z534" s="1"/>
      <c r="AA534" s="1" t="s">
        <v>45</v>
      </c>
      <c r="AB534" s="22">
        <f>VLOOKUP(TablaCalificaciones[[#This Row],[Coherencia y manejo del tiempo]],PESOS!A$25:B$29,2,0)</f>
        <v>10</v>
      </c>
      <c r="AC534" s="1"/>
      <c r="AD534" s="1" t="s">
        <v>45</v>
      </c>
      <c r="AE534" s="22">
        <f>VLOOKUP(TablaCalificaciones[[#This Row],[Diapositivas como apoyo]],PESOS!A$25:B$29,2,0)</f>
        <v>10</v>
      </c>
      <c r="AF534" s="1"/>
      <c r="AG534" s="1" t="s">
        <v>45</v>
      </c>
      <c r="AH534" s="22">
        <f>VLOOKUP(TablaCalificaciones[[#This Row],[Respuestas a preguntas]],PESOS!A$25:B$29,2,0)</f>
        <v>10</v>
      </c>
      <c r="AI534" s="1"/>
      <c r="AJ534" s="1" t="s">
        <v>45</v>
      </c>
      <c r="AK534" s="22">
        <f>VLOOKUP(TablaCalificaciones[[#This Row],[Cierre: aporte a próximos pasos]],PESOS!A$25:B$29,2,0)</f>
        <v>10</v>
      </c>
      <c r="AL534" s="1"/>
      <c r="AM534" s="1"/>
    </row>
    <row r="535" spans="1:39">
      <c r="A535">
        <v>543</v>
      </c>
      <c r="B535" s="2">
        <v>46136.798680555599</v>
      </c>
      <c r="C535" s="2">
        <v>46136.861828703702</v>
      </c>
      <c r="D535" s="1" t="s">
        <v>39</v>
      </c>
      <c r="E535" s="1" t="s">
        <v>40</v>
      </c>
      <c r="G535" s="1"/>
      <c r="H535" s="2"/>
      <c r="I535" s="1" t="s">
        <v>41</v>
      </c>
      <c r="K535" s="1"/>
      <c r="L535" s="1" t="s">
        <v>42</v>
      </c>
      <c r="M535" s="26" t="str">
        <f>CONCATENATE(TablaCalificaciones[[#This Row],[Seleccione su nombre (Evaluador)]],TablaCalificaciones[[#This Row],[Seleccione el nombre del Estudiante]])</f>
        <v>Patricio David PonceGarate Pazmiño Víctor Adrián</v>
      </c>
      <c r="N535" s="1"/>
      <c r="O535" s="1" t="s">
        <v>52</v>
      </c>
      <c r="Q535" s="1"/>
      <c r="R535" s="1" t="s">
        <v>44</v>
      </c>
      <c r="S535" s="22">
        <f>VLOOKUP(TablaCalificaciones[[#This Row],[Apertura: problema y objetivo ]],PESOS!A$16:B$20,2,0)</f>
        <v>20</v>
      </c>
      <c r="T535" s="1"/>
      <c r="U535" s="1" t="s">
        <v>44</v>
      </c>
      <c r="V535" s="22">
        <f>VLOOKUP(TablaCalificaciones[[#This Row],[Metodología (nivel adecuado)]],PESOS!A$16:B$20,2,0)</f>
        <v>20</v>
      </c>
      <c r="W535" s="1"/>
      <c r="X535" s="1" t="s">
        <v>44</v>
      </c>
      <c r="Y535" s="22">
        <f>VLOOKUP(TablaCalificaciones[[#This Row],[Resultados y evidencia ]],PESOS!A$16:B$20,2,0)</f>
        <v>20</v>
      </c>
      <c r="Z535" s="1"/>
      <c r="AA535" s="1" t="s">
        <v>45</v>
      </c>
      <c r="AB535" s="22">
        <f>VLOOKUP(TablaCalificaciones[[#This Row],[Coherencia y manejo del tiempo]],PESOS!A$25:B$29,2,0)</f>
        <v>10</v>
      </c>
      <c r="AC535" s="1"/>
      <c r="AD535" s="1" t="s">
        <v>45</v>
      </c>
      <c r="AE535" s="22">
        <f>VLOOKUP(TablaCalificaciones[[#This Row],[Diapositivas como apoyo]],PESOS!A$25:B$29,2,0)</f>
        <v>10</v>
      </c>
      <c r="AF535" s="1"/>
      <c r="AG535" s="1" t="s">
        <v>45</v>
      </c>
      <c r="AH535" s="22">
        <f>VLOOKUP(TablaCalificaciones[[#This Row],[Respuestas a preguntas]],PESOS!A$25:B$29,2,0)</f>
        <v>10</v>
      </c>
      <c r="AI535" s="1"/>
      <c r="AJ535" s="1" t="s">
        <v>45</v>
      </c>
      <c r="AK535" s="22">
        <f>VLOOKUP(TablaCalificaciones[[#This Row],[Cierre: aporte a próximos pasos]],PESOS!A$25:B$29,2,0)</f>
        <v>10</v>
      </c>
      <c r="AL535" s="1"/>
      <c r="AM535" s="1"/>
    </row>
    <row r="536" spans="1:39">
      <c r="A536">
        <v>544</v>
      </c>
      <c r="B536" s="2">
        <v>46136.871087963002</v>
      </c>
      <c r="C536" s="2">
        <v>46136.872939814799</v>
      </c>
      <c r="D536" s="1" t="s">
        <v>123</v>
      </c>
      <c r="E536" s="1" t="s">
        <v>124</v>
      </c>
      <c r="G536" s="1"/>
      <c r="H536" s="2"/>
      <c r="I536" s="1" t="s">
        <v>134</v>
      </c>
      <c r="K536" s="1"/>
      <c r="L536" s="1" t="s">
        <v>125</v>
      </c>
      <c r="M536" s="26" t="str">
        <f>CONCATENATE(TablaCalificaciones[[#This Row],[Seleccione su nombre (Evaluador)]],TablaCalificaciones[[#This Row],[Seleccione el nombre del Estudiante]])</f>
        <v>Nathaly Verónica OrozcoGuerrón Barrera Gabriela Selene</v>
      </c>
      <c r="N536" s="1"/>
      <c r="O536" s="1" t="s">
        <v>327</v>
      </c>
      <c r="Q536" s="1"/>
      <c r="R536" s="1" t="s">
        <v>50</v>
      </c>
      <c r="S536" s="22">
        <f>VLOOKUP(TablaCalificaciones[[#This Row],[Apertura: problema y objetivo ]],PESOS!A$16:B$20,2,0)</f>
        <v>16</v>
      </c>
      <c r="T536" s="1"/>
      <c r="U536" s="1" t="s">
        <v>105</v>
      </c>
      <c r="V536" s="22">
        <f>VLOOKUP(TablaCalificaciones[[#This Row],[Metodología (nivel adecuado)]],PESOS!A$16:B$20,2,0)</f>
        <v>12</v>
      </c>
      <c r="W536" s="1"/>
      <c r="X536" s="1" t="s">
        <v>50</v>
      </c>
      <c r="Y536" s="22">
        <f>VLOOKUP(TablaCalificaciones[[#This Row],[Resultados y evidencia ]],PESOS!A$16:B$20,2,0)</f>
        <v>16</v>
      </c>
      <c r="Z536" s="1"/>
      <c r="AA536" s="1" t="s">
        <v>51</v>
      </c>
      <c r="AB536" s="22">
        <f>VLOOKUP(TablaCalificaciones[[#This Row],[Coherencia y manejo del tiempo]],PESOS!A$25:B$29,2,0)</f>
        <v>8</v>
      </c>
      <c r="AC536" s="1"/>
      <c r="AD536" s="1" t="s">
        <v>51</v>
      </c>
      <c r="AE536" s="22">
        <f>VLOOKUP(TablaCalificaciones[[#This Row],[Diapositivas como apoyo]],PESOS!A$25:B$29,2,0)</f>
        <v>8</v>
      </c>
      <c r="AF536" s="1"/>
      <c r="AG536" s="1" t="s">
        <v>51</v>
      </c>
      <c r="AH536" s="22">
        <f>VLOOKUP(TablaCalificaciones[[#This Row],[Respuestas a preguntas]],PESOS!A$25:B$29,2,0)</f>
        <v>8</v>
      </c>
      <c r="AI536" s="1"/>
      <c r="AJ536" s="1" t="s">
        <v>51</v>
      </c>
      <c r="AK536" s="22">
        <f>VLOOKUP(TablaCalificaciones[[#This Row],[Cierre: aporte a próximos pasos]],PESOS!A$25:B$29,2,0)</f>
        <v>8</v>
      </c>
      <c r="AL536" s="1"/>
      <c r="AM536" s="1"/>
    </row>
    <row r="537" spans="1:39">
      <c r="A537">
        <v>515</v>
      </c>
      <c r="B537" s="2">
        <v>46136.575949074097</v>
      </c>
      <c r="C537" s="2">
        <v>46136.5787962963</v>
      </c>
      <c r="D537" s="1" t="s">
        <v>69</v>
      </c>
      <c r="E537" s="1" t="s">
        <v>70</v>
      </c>
      <c r="G537" s="1"/>
      <c r="H537" s="2"/>
      <c r="I537" s="1" t="s">
        <v>134</v>
      </c>
      <c r="K537" s="1"/>
      <c r="L537" s="1" t="s">
        <v>71</v>
      </c>
      <c r="M537" s="26" t="str">
        <f>CONCATENATE(TablaCalificaciones[[#This Row],[Seleccione su nombre (Evaluador)]],TablaCalificaciones[[#This Row],[Seleccione el nombre del Estudiante]])</f>
        <v>Ana Belén Tulcanaza PrietoRon Urbano Micaela Alexandra</v>
      </c>
      <c r="N537" s="1"/>
      <c r="O537" s="1" t="s">
        <v>332</v>
      </c>
      <c r="Q537" s="1"/>
      <c r="R537" s="1" t="s">
        <v>44</v>
      </c>
      <c r="S537" s="22">
        <f>VLOOKUP(TablaCalificaciones[[#This Row],[Apertura: problema y objetivo ]],PESOS!A$16:B$20,2,0)</f>
        <v>20</v>
      </c>
      <c r="T537" s="1"/>
      <c r="U537" s="1" t="s">
        <v>44</v>
      </c>
      <c r="V537" s="22">
        <f>VLOOKUP(TablaCalificaciones[[#This Row],[Metodología (nivel adecuado)]],PESOS!A$16:B$20,2,0)</f>
        <v>20</v>
      </c>
      <c r="W537" s="1"/>
      <c r="X537" s="1" t="s">
        <v>44</v>
      </c>
      <c r="Y537" s="22">
        <f>VLOOKUP(TablaCalificaciones[[#This Row],[Resultados y evidencia ]],PESOS!A$16:B$20,2,0)</f>
        <v>20</v>
      </c>
      <c r="Z537" s="1"/>
      <c r="AA537" s="1" t="s">
        <v>45</v>
      </c>
      <c r="AB537" s="22">
        <f>VLOOKUP(TablaCalificaciones[[#This Row],[Coherencia y manejo del tiempo]],PESOS!A$25:B$29,2,0)</f>
        <v>10</v>
      </c>
      <c r="AC537" s="1"/>
      <c r="AD537" s="1" t="s">
        <v>45</v>
      </c>
      <c r="AE537" s="22">
        <f>VLOOKUP(TablaCalificaciones[[#This Row],[Diapositivas como apoyo]],PESOS!A$25:B$29,2,0)</f>
        <v>10</v>
      </c>
      <c r="AF537" s="1"/>
      <c r="AG537" s="1" t="s">
        <v>45</v>
      </c>
      <c r="AH537" s="22">
        <f>VLOOKUP(TablaCalificaciones[[#This Row],[Respuestas a preguntas]],PESOS!A$25:B$29,2,0)</f>
        <v>10</v>
      </c>
      <c r="AI537" s="1"/>
      <c r="AJ537" s="1" t="s">
        <v>45</v>
      </c>
      <c r="AK537" s="22">
        <f>VLOOKUP(TablaCalificaciones[[#This Row],[Cierre: aporte a próximos pasos]],PESOS!A$25:B$29,2,0)</f>
        <v>10</v>
      </c>
      <c r="AL537" s="1"/>
      <c r="AM537" s="1"/>
    </row>
    <row r="538" spans="1:39">
      <c r="A538">
        <v>517</v>
      </c>
      <c r="B538" s="2">
        <v>46136.575960648101</v>
      </c>
      <c r="C538" s="2">
        <v>46136.5792013889</v>
      </c>
      <c r="D538" s="1" t="s">
        <v>69</v>
      </c>
      <c r="E538" s="1" t="s">
        <v>70</v>
      </c>
      <c r="G538" s="1"/>
      <c r="H538" s="2"/>
      <c r="I538" s="1" t="s">
        <v>134</v>
      </c>
      <c r="K538" s="1"/>
      <c r="L538" s="1" t="s">
        <v>71</v>
      </c>
      <c r="M538" s="26" t="str">
        <f>CONCATENATE(TablaCalificaciones[[#This Row],[Seleccione su nombre (Evaluador)]],TablaCalificaciones[[#This Row],[Seleccione el nombre del Estudiante]])</f>
        <v>Ana Belén Tulcanaza PrietoSánchez Dávila Luis Alfonso</v>
      </c>
      <c r="N538" s="1"/>
      <c r="O538" s="1" t="s">
        <v>333</v>
      </c>
      <c r="Q538" s="1"/>
      <c r="R538" s="1" t="s">
        <v>44</v>
      </c>
      <c r="S538" s="22">
        <f>VLOOKUP(TablaCalificaciones[[#This Row],[Apertura: problema y objetivo ]],PESOS!A$16:B$20,2,0)</f>
        <v>20</v>
      </c>
      <c r="T538" s="1"/>
      <c r="U538" s="1" t="s">
        <v>44</v>
      </c>
      <c r="V538" s="22">
        <f>VLOOKUP(TablaCalificaciones[[#This Row],[Metodología (nivel adecuado)]],PESOS!A$16:B$20,2,0)</f>
        <v>20</v>
      </c>
      <c r="W538" s="1"/>
      <c r="X538" s="1" t="s">
        <v>44</v>
      </c>
      <c r="Y538" s="22">
        <f>VLOOKUP(TablaCalificaciones[[#This Row],[Resultados y evidencia ]],PESOS!A$16:B$20,2,0)</f>
        <v>20</v>
      </c>
      <c r="Z538" s="1"/>
      <c r="AA538" s="1" t="s">
        <v>45</v>
      </c>
      <c r="AB538" s="22">
        <f>VLOOKUP(TablaCalificaciones[[#This Row],[Coherencia y manejo del tiempo]],PESOS!A$25:B$29,2,0)</f>
        <v>10</v>
      </c>
      <c r="AC538" s="1"/>
      <c r="AD538" s="1" t="s">
        <v>45</v>
      </c>
      <c r="AE538" s="22">
        <f>VLOOKUP(TablaCalificaciones[[#This Row],[Diapositivas como apoyo]],PESOS!A$25:B$29,2,0)</f>
        <v>10</v>
      </c>
      <c r="AF538" s="1"/>
      <c r="AG538" s="1" t="s">
        <v>45</v>
      </c>
      <c r="AH538" s="22">
        <f>VLOOKUP(TablaCalificaciones[[#This Row],[Respuestas a preguntas]],PESOS!A$25:B$29,2,0)</f>
        <v>10</v>
      </c>
      <c r="AI538" s="1"/>
      <c r="AJ538" s="1" t="s">
        <v>45</v>
      </c>
      <c r="AK538" s="22">
        <f>VLOOKUP(TablaCalificaciones[[#This Row],[Cierre: aporte a próximos pasos]],PESOS!A$25:B$29,2,0)</f>
        <v>10</v>
      </c>
      <c r="AL538" s="1"/>
      <c r="AM538" s="1"/>
    </row>
    <row r="539" spans="1:39">
      <c r="A539">
        <v>550</v>
      </c>
      <c r="B539" s="2">
        <v>46136.902743055602</v>
      </c>
      <c r="C539" s="2">
        <v>46136.903935185197</v>
      </c>
      <c r="D539" s="1" t="s">
        <v>337</v>
      </c>
      <c r="E539" s="1" t="s">
        <v>338</v>
      </c>
      <c r="G539" s="1"/>
      <c r="H539" s="2"/>
      <c r="I539" s="1" t="s">
        <v>68</v>
      </c>
      <c r="K539" s="1"/>
      <c r="L539" s="1" t="s">
        <v>338</v>
      </c>
      <c r="M539" s="26" t="str">
        <f>CONCATENATE(TablaCalificaciones[[#This Row],[Seleccione su nombre (Evaluador)]],TablaCalificaciones[[#This Row],[Seleccione el nombre del Estudiante]])</f>
        <v>Pablo MoncayoSalgado Cueva Vicente Antonio</v>
      </c>
      <c r="N539" s="1"/>
      <c r="O539" s="1" t="s">
        <v>159</v>
      </c>
      <c r="Q539" s="1"/>
      <c r="R539" s="1" t="s">
        <v>44</v>
      </c>
      <c r="S539" s="22">
        <f>VLOOKUP(TablaCalificaciones[[#This Row],[Apertura: problema y objetivo ]],PESOS!A$16:B$20,2,0)</f>
        <v>20</v>
      </c>
      <c r="T539" s="1"/>
      <c r="U539" s="1" t="s">
        <v>44</v>
      </c>
      <c r="V539" s="22">
        <f>VLOOKUP(TablaCalificaciones[[#This Row],[Metodología (nivel adecuado)]],PESOS!A$16:B$20,2,0)</f>
        <v>20</v>
      </c>
      <c r="W539" s="1"/>
      <c r="X539" s="1" t="s">
        <v>44</v>
      </c>
      <c r="Y539" s="22">
        <f>VLOOKUP(TablaCalificaciones[[#This Row],[Resultados y evidencia ]],PESOS!A$16:B$20,2,0)</f>
        <v>20</v>
      </c>
      <c r="Z539" s="1"/>
      <c r="AA539" s="1" t="s">
        <v>51</v>
      </c>
      <c r="AB539" s="22">
        <f>VLOOKUP(TablaCalificaciones[[#This Row],[Coherencia y manejo del tiempo]],PESOS!A$25:B$29,2,0)</f>
        <v>8</v>
      </c>
      <c r="AC539" s="1"/>
      <c r="AD539" s="1" t="s">
        <v>45</v>
      </c>
      <c r="AE539" s="22">
        <f>VLOOKUP(TablaCalificaciones[[#This Row],[Diapositivas como apoyo]],PESOS!A$25:B$29,2,0)</f>
        <v>10</v>
      </c>
      <c r="AF539" s="1"/>
      <c r="AG539" s="1" t="s">
        <v>45</v>
      </c>
      <c r="AH539" s="22">
        <f>VLOOKUP(TablaCalificaciones[[#This Row],[Respuestas a preguntas]],PESOS!A$25:B$29,2,0)</f>
        <v>10</v>
      </c>
      <c r="AI539" s="1"/>
      <c r="AJ539" s="1" t="s">
        <v>45</v>
      </c>
      <c r="AK539" s="22">
        <f>VLOOKUP(TablaCalificaciones[[#This Row],[Cierre: aporte a próximos pasos]],PESOS!A$25:B$29,2,0)</f>
        <v>10</v>
      </c>
      <c r="AL539" s="1"/>
      <c r="AM539" s="1"/>
    </row>
    <row r="540" spans="1:39">
      <c r="A540">
        <v>551</v>
      </c>
      <c r="B540" s="2">
        <v>46136.905324074098</v>
      </c>
      <c r="C540" s="2">
        <v>46136.906099537002</v>
      </c>
      <c r="D540" s="1" t="s">
        <v>337</v>
      </c>
      <c r="E540" s="1" t="s">
        <v>338</v>
      </c>
      <c r="G540" s="1"/>
      <c r="H540" s="2"/>
      <c r="I540" s="1" t="s">
        <v>229</v>
      </c>
      <c r="K540" s="1"/>
      <c r="L540" s="1" t="s">
        <v>338</v>
      </c>
      <c r="M540" s="26" t="str">
        <f>CONCATENATE(TablaCalificaciones[[#This Row],[Seleccione su nombre (Evaluador)]],TablaCalificaciones[[#This Row],[Seleccione el nombre del Estudiante]])</f>
        <v>Pablo MoncayoCachipuendo Contero Inti Josue</v>
      </c>
      <c r="N540" s="1"/>
      <c r="O540" s="1" t="s">
        <v>265</v>
      </c>
      <c r="Q540" s="1"/>
      <c r="R540" s="1" t="s">
        <v>44</v>
      </c>
      <c r="S540" s="22">
        <f>VLOOKUP(TablaCalificaciones[[#This Row],[Apertura: problema y objetivo ]],PESOS!A$16:B$20,2,0)</f>
        <v>20</v>
      </c>
      <c r="T540" s="1"/>
      <c r="U540" s="1" t="s">
        <v>44</v>
      </c>
      <c r="V540" s="22">
        <f>VLOOKUP(TablaCalificaciones[[#This Row],[Metodología (nivel adecuado)]],PESOS!A$16:B$20,2,0)</f>
        <v>20</v>
      </c>
      <c r="W540" s="1"/>
      <c r="X540" s="1" t="s">
        <v>44</v>
      </c>
      <c r="Y540" s="22">
        <f>VLOOKUP(TablaCalificaciones[[#This Row],[Resultados y evidencia ]],PESOS!A$16:B$20,2,0)</f>
        <v>20</v>
      </c>
      <c r="Z540" s="1"/>
      <c r="AA540" s="1" t="s">
        <v>51</v>
      </c>
      <c r="AB540" s="22">
        <f>VLOOKUP(TablaCalificaciones[[#This Row],[Coherencia y manejo del tiempo]],PESOS!A$25:B$29,2,0)</f>
        <v>8</v>
      </c>
      <c r="AC540" s="1"/>
      <c r="AD540" s="1" t="s">
        <v>51</v>
      </c>
      <c r="AE540" s="22">
        <f>VLOOKUP(TablaCalificaciones[[#This Row],[Diapositivas como apoyo]],PESOS!A$25:B$29,2,0)</f>
        <v>8</v>
      </c>
      <c r="AF540" s="1"/>
      <c r="AG540" s="1" t="s">
        <v>45</v>
      </c>
      <c r="AH540" s="22">
        <f>VLOOKUP(TablaCalificaciones[[#This Row],[Respuestas a preguntas]],PESOS!A$25:B$29,2,0)</f>
        <v>10</v>
      </c>
      <c r="AI540" s="1"/>
      <c r="AJ540" s="1" t="s">
        <v>45</v>
      </c>
      <c r="AK540" s="22">
        <f>VLOOKUP(TablaCalificaciones[[#This Row],[Cierre: aporte a próximos pasos]],PESOS!A$25:B$29,2,0)</f>
        <v>10</v>
      </c>
      <c r="AL540" s="1"/>
      <c r="AM540" s="1"/>
    </row>
    <row r="541" spans="1:39">
      <c r="A541">
        <v>552</v>
      </c>
      <c r="B541" s="2">
        <v>46136.9061574074</v>
      </c>
      <c r="C541" s="2">
        <v>46136.9071527778</v>
      </c>
      <c r="D541" s="1" t="s">
        <v>337</v>
      </c>
      <c r="E541" s="1" t="s">
        <v>338</v>
      </c>
      <c r="G541" s="1"/>
      <c r="H541" s="2"/>
      <c r="I541" s="1" t="s">
        <v>134</v>
      </c>
      <c r="K541" s="1"/>
      <c r="L541" s="1" t="s">
        <v>338</v>
      </c>
      <c r="M541" s="26" t="str">
        <f>CONCATENATE(TablaCalificaciones[[#This Row],[Seleccione su nombre (Evaluador)]],TablaCalificaciones[[#This Row],[Seleccione el nombre del Estudiante]])</f>
        <v>Pablo MoncayoNaranjo Velastegui Edwin Gabriel</v>
      </c>
      <c r="N541" s="1"/>
      <c r="O541" s="1" t="s">
        <v>303</v>
      </c>
      <c r="Q541" s="1"/>
      <c r="R541" s="1" t="s">
        <v>44</v>
      </c>
      <c r="S541" s="22">
        <f>VLOOKUP(TablaCalificaciones[[#This Row],[Apertura: problema y objetivo ]],PESOS!A$16:B$20,2,0)</f>
        <v>20</v>
      </c>
      <c r="T541" s="1"/>
      <c r="U541" s="1" t="s">
        <v>44</v>
      </c>
      <c r="V541" s="22">
        <f>VLOOKUP(TablaCalificaciones[[#This Row],[Metodología (nivel adecuado)]],PESOS!A$16:B$20,2,0)</f>
        <v>20</v>
      </c>
      <c r="W541" s="1"/>
      <c r="X541" s="1" t="s">
        <v>44</v>
      </c>
      <c r="Y541" s="22">
        <f>VLOOKUP(TablaCalificaciones[[#This Row],[Resultados y evidencia ]],PESOS!A$16:B$20,2,0)</f>
        <v>20</v>
      </c>
      <c r="Z541" s="1"/>
      <c r="AA541" s="1" t="s">
        <v>45</v>
      </c>
      <c r="AB541" s="22">
        <f>VLOOKUP(TablaCalificaciones[[#This Row],[Coherencia y manejo del tiempo]],PESOS!A$25:B$29,2,0)</f>
        <v>10</v>
      </c>
      <c r="AC541" s="1"/>
      <c r="AD541" s="1" t="s">
        <v>51</v>
      </c>
      <c r="AE541" s="22">
        <f>VLOOKUP(TablaCalificaciones[[#This Row],[Diapositivas como apoyo]],PESOS!A$25:B$29,2,0)</f>
        <v>8</v>
      </c>
      <c r="AF541" s="1"/>
      <c r="AG541" s="1" t="s">
        <v>45</v>
      </c>
      <c r="AH541" s="22">
        <f>VLOOKUP(TablaCalificaciones[[#This Row],[Respuestas a preguntas]],PESOS!A$25:B$29,2,0)</f>
        <v>10</v>
      </c>
      <c r="AI541" s="1"/>
      <c r="AJ541" s="1" t="s">
        <v>45</v>
      </c>
      <c r="AK541" s="22">
        <f>VLOOKUP(TablaCalificaciones[[#This Row],[Cierre: aporte a próximos pasos]],PESOS!A$25:B$29,2,0)</f>
        <v>10</v>
      </c>
      <c r="AL541" s="1"/>
      <c r="AM541" s="1"/>
    </row>
    <row r="542" spans="1:39">
      <c r="A542">
        <v>359</v>
      </c>
      <c r="B542" s="2">
        <v>46135.499120370398</v>
      </c>
      <c r="C542" s="2">
        <v>46135.5005439815</v>
      </c>
      <c r="D542" s="1" t="s">
        <v>225</v>
      </c>
      <c r="E542" s="1" t="s">
        <v>226</v>
      </c>
      <c r="G542" s="1"/>
      <c r="H542" s="2"/>
      <c r="I542" s="1" t="s">
        <v>229</v>
      </c>
      <c r="K542" s="1"/>
      <c r="L542" s="1" t="s">
        <v>227</v>
      </c>
      <c r="M542" s="26" t="str">
        <f>CONCATENATE(TablaCalificaciones[[#This Row],[Seleccione su nombre (Evaluador)]],TablaCalificaciones[[#This Row],[Seleccione el nombre del Estudiante]])</f>
        <v>Edison ChicaizaTorres Alvarado Stalin Guillermo</v>
      </c>
      <c r="N542" s="1"/>
      <c r="O542" s="1" t="s">
        <v>288</v>
      </c>
      <c r="Q542" s="1"/>
      <c r="R542" s="1" t="s">
        <v>50</v>
      </c>
      <c r="S542" s="22">
        <f>VLOOKUP(TablaCalificaciones[[#This Row],[Apertura: problema y objetivo ]],PESOS!A$16:B$20,2,0)</f>
        <v>16</v>
      </c>
      <c r="T542" s="1"/>
      <c r="U542" s="1" t="s">
        <v>50</v>
      </c>
      <c r="V542" s="22">
        <f>VLOOKUP(TablaCalificaciones[[#This Row],[Metodología (nivel adecuado)]],PESOS!A$16:B$20,2,0)</f>
        <v>16</v>
      </c>
      <c r="W542" s="1"/>
      <c r="X542" s="1" t="s">
        <v>44</v>
      </c>
      <c r="Y542" s="22">
        <f>VLOOKUP(TablaCalificaciones[[#This Row],[Resultados y evidencia ]],PESOS!A$16:B$20,2,0)</f>
        <v>20</v>
      </c>
      <c r="Z542" s="1"/>
      <c r="AA542" s="1" t="s">
        <v>83</v>
      </c>
      <c r="AB542" s="22">
        <f>VLOOKUP(TablaCalificaciones[[#This Row],[Coherencia y manejo del tiempo]],PESOS!A$25:B$29,2,0)</f>
        <v>6</v>
      </c>
      <c r="AC542" s="1"/>
      <c r="AD542" s="1" t="s">
        <v>51</v>
      </c>
      <c r="AE542" s="22">
        <f>VLOOKUP(TablaCalificaciones[[#This Row],[Diapositivas como apoyo]],PESOS!A$25:B$29,2,0)</f>
        <v>8</v>
      </c>
      <c r="AF542" s="1"/>
      <c r="AG542" s="1" t="s">
        <v>45</v>
      </c>
      <c r="AH542" s="22">
        <f>VLOOKUP(TablaCalificaciones[[#This Row],[Respuestas a preguntas]],PESOS!A$25:B$29,2,0)</f>
        <v>10</v>
      </c>
      <c r="AI542" s="1"/>
      <c r="AJ542" s="1" t="s">
        <v>51</v>
      </c>
      <c r="AK542" s="22">
        <f>VLOOKUP(TablaCalificaciones[[#This Row],[Cierre: aporte a próximos pasos]],PESOS!A$25:B$29,2,0)</f>
        <v>8</v>
      </c>
      <c r="AL542" s="1"/>
      <c r="AM542" s="1"/>
    </row>
    <row r="543" spans="1:39">
      <c r="A543">
        <v>220</v>
      </c>
      <c r="B543" s="2">
        <v>46134.4399305556</v>
      </c>
      <c r="C543" s="2">
        <v>46134.451701388898</v>
      </c>
      <c r="D543" s="1" t="s">
        <v>69</v>
      </c>
      <c r="E543" s="1" t="s">
        <v>70</v>
      </c>
      <c r="G543" s="1"/>
      <c r="H543" s="2"/>
      <c r="I543" s="1" t="s">
        <v>68</v>
      </c>
      <c r="K543" s="1"/>
      <c r="L543" s="1" t="s">
        <v>71</v>
      </c>
      <c r="M543" s="26" t="str">
        <f>CONCATENATE(TablaCalificaciones[[#This Row],[Seleccione su nombre (Evaluador)]],TablaCalificaciones[[#This Row],[Seleccione el nombre del Estudiante]])</f>
        <v>Ana Belén Tulcanaza PrietoTulcán Jaya Iván</v>
      </c>
      <c r="N543" s="1"/>
      <c r="O543" s="1" t="s">
        <v>228</v>
      </c>
      <c r="Q543" s="1"/>
      <c r="R543" s="1" t="s">
        <v>44</v>
      </c>
      <c r="S543" s="22">
        <f>VLOOKUP(TablaCalificaciones[[#This Row],[Apertura: problema y objetivo ]],PESOS!A$16:B$20,2,0)</f>
        <v>20</v>
      </c>
      <c r="T543" s="1"/>
      <c r="U543" s="1" t="s">
        <v>44</v>
      </c>
      <c r="V543" s="22">
        <f>VLOOKUP(TablaCalificaciones[[#This Row],[Metodología (nivel adecuado)]],PESOS!A$16:B$20,2,0)</f>
        <v>20</v>
      </c>
      <c r="W543" s="1"/>
      <c r="X543" s="1" t="s">
        <v>44</v>
      </c>
      <c r="Y543" s="22">
        <f>VLOOKUP(TablaCalificaciones[[#This Row],[Resultados y evidencia ]],PESOS!A$16:B$20,2,0)</f>
        <v>20</v>
      </c>
      <c r="Z543" s="1"/>
      <c r="AA543" s="1" t="s">
        <v>45</v>
      </c>
      <c r="AB543" s="22">
        <f>VLOOKUP(TablaCalificaciones[[#This Row],[Coherencia y manejo del tiempo]],PESOS!A$25:B$29,2,0)</f>
        <v>10</v>
      </c>
      <c r="AC543" s="1"/>
      <c r="AD543" s="1" t="s">
        <v>45</v>
      </c>
      <c r="AE543" s="22">
        <f>VLOOKUP(TablaCalificaciones[[#This Row],[Diapositivas como apoyo]],PESOS!A$25:B$29,2,0)</f>
        <v>10</v>
      </c>
      <c r="AF543" s="1"/>
      <c r="AG543" s="1" t="s">
        <v>45</v>
      </c>
      <c r="AH543" s="22">
        <f>VLOOKUP(TablaCalificaciones[[#This Row],[Respuestas a preguntas]],PESOS!A$25:B$29,2,0)</f>
        <v>10</v>
      </c>
      <c r="AI543" s="1"/>
      <c r="AJ543" s="1" t="s">
        <v>45</v>
      </c>
      <c r="AK543" s="22">
        <f>VLOOKUP(TablaCalificaciones[[#This Row],[Cierre: aporte a próximos pasos]],PESOS!A$25:B$29,2,0)</f>
        <v>10</v>
      </c>
      <c r="AL543" s="1"/>
      <c r="AM543" s="1"/>
    </row>
    <row r="544" spans="1:39">
      <c r="A544">
        <v>558</v>
      </c>
      <c r="B544" s="2">
        <v>46136.9428819444</v>
      </c>
      <c r="C544" s="2">
        <v>46136.943263888897</v>
      </c>
      <c r="D544" s="1" t="s">
        <v>87</v>
      </c>
      <c r="E544" s="1" t="s">
        <v>88</v>
      </c>
      <c r="G544" s="1"/>
      <c r="H544" s="2"/>
      <c r="I544" s="1" t="s">
        <v>134</v>
      </c>
      <c r="K544" s="1"/>
      <c r="L544" s="1" t="s">
        <v>88</v>
      </c>
      <c r="M544" s="26" t="str">
        <f>CONCATENATE(TablaCalificaciones[[#This Row],[Seleccione su nombre (Evaluador)]],TablaCalificaciones[[#This Row],[Seleccione el nombre del Estudiante]])</f>
        <v>Ana María Pazmiño DelgadoAngulo Dávila Carlos Andrés</v>
      </c>
      <c r="N544" s="1"/>
      <c r="O544" s="1" t="s">
        <v>289</v>
      </c>
      <c r="Q544" s="1"/>
      <c r="R544" s="1" t="s">
        <v>44</v>
      </c>
      <c r="S544" s="22">
        <f>VLOOKUP(TablaCalificaciones[[#This Row],[Apertura: problema y objetivo ]],PESOS!A$16:B$20,2,0)</f>
        <v>20</v>
      </c>
      <c r="T544" s="1"/>
      <c r="U544" s="1" t="s">
        <v>44</v>
      </c>
      <c r="V544" s="22">
        <f>VLOOKUP(TablaCalificaciones[[#This Row],[Metodología (nivel adecuado)]],PESOS!A$16:B$20,2,0)</f>
        <v>20</v>
      </c>
      <c r="W544" s="1"/>
      <c r="X544" s="1" t="s">
        <v>44</v>
      </c>
      <c r="Y544" s="22">
        <f>VLOOKUP(TablaCalificaciones[[#This Row],[Resultados y evidencia ]],PESOS!A$16:B$20,2,0)</f>
        <v>20</v>
      </c>
      <c r="Z544" s="1"/>
      <c r="AA544" s="1" t="s">
        <v>45</v>
      </c>
      <c r="AB544" s="22">
        <f>VLOOKUP(TablaCalificaciones[[#This Row],[Coherencia y manejo del tiempo]],PESOS!A$25:B$29,2,0)</f>
        <v>10</v>
      </c>
      <c r="AC544" s="1"/>
      <c r="AD544" s="1" t="s">
        <v>45</v>
      </c>
      <c r="AE544" s="22">
        <f>VLOOKUP(TablaCalificaciones[[#This Row],[Diapositivas como apoyo]],PESOS!A$25:B$29,2,0)</f>
        <v>10</v>
      </c>
      <c r="AF544" s="1"/>
      <c r="AG544" s="1" t="s">
        <v>45</v>
      </c>
      <c r="AH544" s="22">
        <f>VLOOKUP(TablaCalificaciones[[#This Row],[Respuestas a preguntas]],PESOS!A$25:B$29,2,0)</f>
        <v>10</v>
      </c>
      <c r="AI544" s="1"/>
      <c r="AJ544" s="1" t="s">
        <v>45</v>
      </c>
      <c r="AK544" s="22">
        <f>VLOOKUP(TablaCalificaciones[[#This Row],[Cierre: aporte a próximos pasos]],PESOS!A$25:B$29,2,0)</f>
        <v>10</v>
      </c>
      <c r="AL544" s="1"/>
      <c r="AM544" s="1"/>
    </row>
    <row r="545" spans="1:39">
      <c r="A545">
        <v>559</v>
      </c>
      <c r="B545" s="2">
        <v>46136.943287037</v>
      </c>
      <c r="C545" s="2">
        <v>46136.943854166697</v>
      </c>
      <c r="D545" s="1" t="s">
        <v>87</v>
      </c>
      <c r="E545" s="1" t="s">
        <v>88</v>
      </c>
      <c r="G545" s="1"/>
      <c r="H545" s="2"/>
      <c r="I545" s="1" t="s">
        <v>134</v>
      </c>
      <c r="K545" s="1"/>
      <c r="L545" s="1" t="s">
        <v>88</v>
      </c>
      <c r="M545" s="26" t="str">
        <f>CONCATENATE(TablaCalificaciones[[#This Row],[Seleccione su nombre (Evaluador)]],TablaCalificaciones[[#This Row],[Seleccione el nombre del Estudiante]])</f>
        <v>Ana María Pazmiño DelgadoChicaiza Ayala Alexandra Patricia</v>
      </c>
      <c r="N545" s="1"/>
      <c r="O545" s="1" t="s">
        <v>292</v>
      </c>
      <c r="Q545" s="1"/>
      <c r="R545" s="1" t="s">
        <v>44</v>
      </c>
      <c r="S545" s="22">
        <f>VLOOKUP(TablaCalificaciones[[#This Row],[Apertura: problema y objetivo ]],PESOS!A$16:B$20,2,0)</f>
        <v>20</v>
      </c>
      <c r="T545" s="1"/>
      <c r="U545" s="1" t="s">
        <v>44</v>
      </c>
      <c r="V545" s="22">
        <f>VLOOKUP(TablaCalificaciones[[#This Row],[Metodología (nivel adecuado)]],PESOS!A$16:B$20,2,0)</f>
        <v>20</v>
      </c>
      <c r="W545" s="1"/>
      <c r="X545" s="1" t="s">
        <v>44</v>
      </c>
      <c r="Y545" s="22">
        <f>VLOOKUP(TablaCalificaciones[[#This Row],[Resultados y evidencia ]],PESOS!A$16:B$20,2,0)</f>
        <v>20</v>
      </c>
      <c r="Z545" s="1"/>
      <c r="AA545" s="1" t="s">
        <v>45</v>
      </c>
      <c r="AB545" s="22">
        <f>VLOOKUP(TablaCalificaciones[[#This Row],[Coherencia y manejo del tiempo]],PESOS!A$25:B$29,2,0)</f>
        <v>10</v>
      </c>
      <c r="AC545" s="1"/>
      <c r="AD545" s="1" t="s">
        <v>45</v>
      </c>
      <c r="AE545" s="22">
        <f>VLOOKUP(TablaCalificaciones[[#This Row],[Diapositivas como apoyo]],PESOS!A$25:B$29,2,0)</f>
        <v>10</v>
      </c>
      <c r="AF545" s="1"/>
      <c r="AG545" s="1" t="s">
        <v>45</v>
      </c>
      <c r="AH545" s="22">
        <f>VLOOKUP(TablaCalificaciones[[#This Row],[Respuestas a preguntas]],PESOS!A$25:B$29,2,0)</f>
        <v>10</v>
      </c>
      <c r="AI545" s="1"/>
      <c r="AJ545" s="1" t="s">
        <v>45</v>
      </c>
      <c r="AK545" s="22">
        <f>VLOOKUP(TablaCalificaciones[[#This Row],[Cierre: aporte a próximos pasos]],PESOS!A$25:B$29,2,0)</f>
        <v>10</v>
      </c>
      <c r="AL545" s="1"/>
      <c r="AM545" s="1"/>
    </row>
    <row r="546" spans="1:39">
      <c r="A546">
        <v>560</v>
      </c>
      <c r="B546" s="2">
        <v>46137.346516203703</v>
      </c>
      <c r="C546" s="2">
        <v>46137.347523148099</v>
      </c>
      <c r="D546" s="1" t="s">
        <v>339</v>
      </c>
      <c r="E546" s="1" t="s">
        <v>340</v>
      </c>
      <c r="G546" s="1"/>
      <c r="H546" s="2"/>
      <c r="I546" s="1" t="s">
        <v>134</v>
      </c>
      <c r="K546" s="1"/>
      <c r="L546" s="1" t="s">
        <v>340</v>
      </c>
      <c r="M546" s="26" t="str">
        <f>CONCATENATE(TablaCalificaciones[[#This Row],[Seleccione su nombre (Evaluador)]],TablaCalificaciones[[#This Row],[Seleccione el nombre del Estudiante]])</f>
        <v>Leonardo Arevalo RiveraPelassa Zambrano Pietro Salvatore</v>
      </c>
      <c r="N546" s="1"/>
      <c r="O546" s="1" t="s">
        <v>297</v>
      </c>
      <c r="Q546" s="1"/>
      <c r="R546" s="1" t="s">
        <v>44</v>
      </c>
      <c r="S546" s="22">
        <f>VLOOKUP(TablaCalificaciones[[#This Row],[Apertura: problema y objetivo ]],PESOS!A$16:B$20,2,0)</f>
        <v>20</v>
      </c>
      <c r="T546" s="1"/>
      <c r="U546" s="1" t="s">
        <v>44</v>
      </c>
      <c r="V546" s="22">
        <f>VLOOKUP(TablaCalificaciones[[#This Row],[Metodología (nivel adecuado)]],PESOS!A$16:B$20,2,0)</f>
        <v>20</v>
      </c>
      <c r="W546" s="1"/>
      <c r="X546" s="1" t="s">
        <v>44</v>
      </c>
      <c r="Y546" s="22">
        <f>VLOOKUP(TablaCalificaciones[[#This Row],[Resultados y evidencia ]],PESOS!A$16:B$20,2,0)</f>
        <v>20</v>
      </c>
      <c r="Z546" s="1"/>
      <c r="AA546" s="1" t="s">
        <v>51</v>
      </c>
      <c r="AB546" s="22">
        <f>VLOOKUP(TablaCalificaciones[[#This Row],[Coherencia y manejo del tiempo]],PESOS!A$25:B$29,2,0)</f>
        <v>8</v>
      </c>
      <c r="AC546" s="1"/>
      <c r="AD546" s="1" t="s">
        <v>45</v>
      </c>
      <c r="AE546" s="22">
        <f>VLOOKUP(TablaCalificaciones[[#This Row],[Diapositivas como apoyo]],PESOS!A$25:B$29,2,0)</f>
        <v>10</v>
      </c>
      <c r="AF546" s="1"/>
      <c r="AG546" s="1" t="s">
        <v>45</v>
      </c>
      <c r="AH546" s="22">
        <f>VLOOKUP(TablaCalificaciones[[#This Row],[Respuestas a preguntas]],PESOS!A$25:B$29,2,0)</f>
        <v>10</v>
      </c>
      <c r="AI546" s="1"/>
      <c r="AJ546" s="1" t="s">
        <v>45</v>
      </c>
      <c r="AK546" s="22">
        <f>VLOOKUP(TablaCalificaciones[[#This Row],[Cierre: aporte a próximos pasos]],PESOS!A$25:B$29,2,0)</f>
        <v>10</v>
      </c>
      <c r="AL546" s="1"/>
      <c r="AM546" s="1"/>
    </row>
    <row r="547" spans="1:39">
      <c r="A547">
        <v>561</v>
      </c>
      <c r="B547" s="2">
        <v>46137.347581018497</v>
      </c>
      <c r="C547" s="2">
        <v>46137.348124999997</v>
      </c>
      <c r="D547" s="1" t="s">
        <v>339</v>
      </c>
      <c r="E547" s="1" t="s">
        <v>340</v>
      </c>
      <c r="G547" s="1"/>
      <c r="H547" s="2"/>
      <c r="I547" s="1" t="s">
        <v>134</v>
      </c>
      <c r="K547" s="1"/>
      <c r="L547" s="1" t="s">
        <v>340</v>
      </c>
      <c r="M547" s="26" t="str">
        <f>CONCATENATE(TablaCalificaciones[[#This Row],[Seleccione su nombre (Evaluador)]],TablaCalificaciones[[#This Row],[Seleccione el nombre del Estudiante]])</f>
        <v>Leonardo Arevalo RiveraSilva Villalobos Medardo Mauricio</v>
      </c>
      <c r="N547" s="1"/>
      <c r="O547" s="1" t="s">
        <v>296</v>
      </c>
      <c r="Q547" s="1"/>
      <c r="R547" s="1" t="s">
        <v>44</v>
      </c>
      <c r="S547" s="22">
        <f>VLOOKUP(TablaCalificaciones[[#This Row],[Apertura: problema y objetivo ]],PESOS!A$16:B$20,2,0)</f>
        <v>20</v>
      </c>
      <c r="T547" s="1"/>
      <c r="U547" s="1" t="s">
        <v>44</v>
      </c>
      <c r="V547" s="22">
        <f>VLOOKUP(TablaCalificaciones[[#This Row],[Metodología (nivel adecuado)]],PESOS!A$16:B$20,2,0)</f>
        <v>20</v>
      </c>
      <c r="W547" s="1"/>
      <c r="X547" s="1" t="s">
        <v>44</v>
      </c>
      <c r="Y547" s="22">
        <f>VLOOKUP(TablaCalificaciones[[#This Row],[Resultados y evidencia ]],PESOS!A$16:B$20,2,0)</f>
        <v>20</v>
      </c>
      <c r="Z547" s="1"/>
      <c r="AA547" s="1" t="s">
        <v>51</v>
      </c>
      <c r="AB547" s="22">
        <f>VLOOKUP(TablaCalificaciones[[#This Row],[Coherencia y manejo del tiempo]],PESOS!A$25:B$29,2,0)</f>
        <v>8</v>
      </c>
      <c r="AC547" s="1"/>
      <c r="AD547" s="1" t="s">
        <v>45</v>
      </c>
      <c r="AE547" s="22">
        <f>VLOOKUP(TablaCalificaciones[[#This Row],[Diapositivas como apoyo]],PESOS!A$25:B$29,2,0)</f>
        <v>10</v>
      </c>
      <c r="AF547" s="1"/>
      <c r="AG547" s="1" t="s">
        <v>45</v>
      </c>
      <c r="AH547" s="22">
        <f>VLOOKUP(TablaCalificaciones[[#This Row],[Respuestas a preguntas]],PESOS!A$25:B$29,2,0)</f>
        <v>10</v>
      </c>
      <c r="AI547" s="1"/>
      <c r="AJ547" s="1" t="s">
        <v>45</v>
      </c>
      <c r="AK547" s="22">
        <f>VLOOKUP(TablaCalificaciones[[#This Row],[Cierre: aporte a próximos pasos]],PESOS!A$25:B$29,2,0)</f>
        <v>10</v>
      </c>
      <c r="AL547" s="1"/>
      <c r="AM547" s="1"/>
    </row>
    <row r="548" spans="1:39">
      <c r="A548">
        <v>562</v>
      </c>
      <c r="B548" s="2">
        <v>46137.348171296297</v>
      </c>
      <c r="C548" s="2">
        <v>46137.348645833299</v>
      </c>
      <c r="D548" s="1" t="s">
        <v>339</v>
      </c>
      <c r="E548" s="1" t="s">
        <v>340</v>
      </c>
      <c r="G548" s="1"/>
      <c r="H548" s="2"/>
      <c r="I548" s="1" t="s">
        <v>134</v>
      </c>
      <c r="K548" s="1"/>
      <c r="L548" s="1" t="s">
        <v>340</v>
      </c>
      <c r="M548" s="26" t="str">
        <f>CONCATENATE(TablaCalificaciones[[#This Row],[Seleccione su nombre (Evaluador)]],TablaCalificaciones[[#This Row],[Seleccione el nombre del Estudiante]])</f>
        <v>Leonardo Arevalo RiveraVera Zamora Victor Vicente</v>
      </c>
      <c r="N548" s="1"/>
      <c r="O548" s="1" t="s">
        <v>298</v>
      </c>
      <c r="Q548" s="1"/>
      <c r="R548" s="1" t="s">
        <v>44</v>
      </c>
      <c r="S548" s="22">
        <f>VLOOKUP(TablaCalificaciones[[#This Row],[Apertura: problema y objetivo ]],PESOS!A$16:B$20,2,0)</f>
        <v>20</v>
      </c>
      <c r="T548" s="1"/>
      <c r="U548" s="1" t="s">
        <v>44</v>
      </c>
      <c r="V548" s="22">
        <f>VLOOKUP(TablaCalificaciones[[#This Row],[Metodología (nivel adecuado)]],PESOS!A$16:B$20,2,0)</f>
        <v>20</v>
      </c>
      <c r="W548" s="1"/>
      <c r="X548" s="1" t="s">
        <v>44</v>
      </c>
      <c r="Y548" s="22">
        <f>VLOOKUP(TablaCalificaciones[[#This Row],[Resultados y evidencia ]],PESOS!A$16:B$20,2,0)</f>
        <v>20</v>
      </c>
      <c r="Z548" s="1"/>
      <c r="AA548" s="1" t="s">
        <v>45</v>
      </c>
      <c r="AB548" s="22">
        <f>VLOOKUP(TablaCalificaciones[[#This Row],[Coherencia y manejo del tiempo]],PESOS!A$25:B$29,2,0)</f>
        <v>10</v>
      </c>
      <c r="AC548" s="1"/>
      <c r="AD548" s="1" t="s">
        <v>45</v>
      </c>
      <c r="AE548" s="22">
        <f>VLOOKUP(TablaCalificaciones[[#This Row],[Diapositivas como apoyo]],PESOS!A$25:B$29,2,0)</f>
        <v>10</v>
      </c>
      <c r="AF548" s="1"/>
      <c r="AG548" s="1" t="s">
        <v>51</v>
      </c>
      <c r="AH548" s="22">
        <f>VLOOKUP(TablaCalificaciones[[#This Row],[Respuestas a preguntas]],PESOS!A$25:B$29,2,0)</f>
        <v>8</v>
      </c>
      <c r="AI548" s="1"/>
      <c r="AJ548" s="1" t="s">
        <v>45</v>
      </c>
      <c r="AK548" s="22">
        <f>VLOOKUP(TablaCalificaciones[[#This Row],[Cierre: aporte a próximos pasos]],PESOS!A$25:B$29,2,0)</f>
        <v>10</v>
      </c>
      <c r="AL548" s="1"/>
      <c r="AM548" s="1"/>
    </row>
    <row r="549" spans="1:39">
      <c r="A549">
        <v>563</v>
      </c>
      <c r="B549" s="2">
        <v>46137.3488194444</v>
      </c>
      <c r="C549" s="2">
        <v>46137.349212963003</v>
      </c>
      <c r="D549" s="1" t="s">
        <v>339</v>
      </c>
      <c r="E549" s="1" t="s">
        <v>340</v>
      </c>
      <c r="G549" s="1"/>
      <c r="H549" s="2"/>
      <c r="I549" s="1" t="s">
        <v>134</v>
      </c>
      <c r="K549" s="1"/>
      <c r="L549" s="1" t="s">
        <v>340</v>
      </c>
      <c r="M549" s="26" t="str">
        <f>CONCATENATE(TablaCalificaciones[[#This Row],[Seleccione su nombre (Evaluador)]],TablaCalificaciones[[#This Row],[Seleccione el nombre del Estudiante]])</f>
        <v>Leonardo Arevalo RiveraDíaz Erazo Max Ernesto</v>
      </c>
      <c r="N549" s="1"/>
      <c r="O549" s="1" t="s">
        <v>309</v>
      </c>
      <c r="Q549" s="1"/>
      <c r="R549" s="1" t="s">
        <v>44</v>
      </c>
      <c r="S549" s="22">
        <f>VLOOKUP(TablaCalificaciones[[#This Row],[Apertura: problema y objetivo ]],PESOS!A$16:B$20,2,0)</f>
        <v>20</v>
      </c>
      <c r="T549" s="1"/>
      <c r="U549" s="1" t="s">
        <v>44</v>
      </c>
      <c r="V549" s="22">
        <f>VLOOKUP(TablaCalificaciones[[#This Row],[Metodología (nivel adecuado)]],PESOS!A$16:B$20,2,0)</f>
        <v>20</v>
      </c>
      <c r="W549" s="1"/>
      <c r="X549" s="1" t="s">
        <v>44</v>
      </c>
      <c r="Y549" s="22">
        <f>VLOOKUP(TablaCalificaciones[[#This Row],[Resultados y evidencia ]],PESOS!A$16:B$20,2,0)</f>
        <v>20</v>
      </c>
      <c r="Z549" s="1"/>
      <c r="AA549" s="1" t="s">
        <v>45</v>
      </c>
      <c r="AB549" s="22">
        <f>VLOOKUP(TablaCalificaciones[[#This Row],[Coherencia y manejo del tiempo]],PESOS!A$25:B$29,2,0)</f>
        <v>10</v>
      </c>
      <c r="AC549" s="1"/>
      <c r="AD549" s="1" t="s">
        <v>45</v>
      </c>
      <c r="AE549" s="22">
        <f>VLOOKUP(TablaCalificaciones[[#This Row],[Diapositivas como apoyo]],PESOS!A$25:B$29,2,0)</f>
        <v>10</v>
      </c>
      <c r="AF549" s="1"/>
      <c r="AG549" s="1" t="s">
        <v>45</v>
      </c>
      <c r="AH549" s="22">
        <f>VLOOKUP(TablaCalificaciones[[#This Row],[Respuestas a preguntas]],PESOS!A$25:B$29,2,0)</f>
        <v>10</v>
      </c>
      <c r="AI549" s="1"/>
      <c r="AJ549" s="1" t="s">
        <v>45</v>
      </c>
      <c r="AK549" s="22">
        <f>VLOOKUP(TablaCalificaciones[[#This Row],[Cierre: aporte a próximos pasos]],PESOS!A$25:B$29,2,0)</f>
        <v>10</v>
      </c>
      <c r="AL549" s="1"/>
      <c r="AM549" s="1"/>
    </row>
    <row r="550" spans="1:39">
      <c r="A550">
        <v>564</v>
      </c>
      <c r="B550" s="2">
        <v>46137.3493171296</v>
      </c>
      <c r="C550" s="2">
        <v>46137.350011574097</v>
      </c>
      <c r="D550" s="1" t="s">
        <v>339</v>
      </c>
      <c r="E550" s="1" t="s">
        <v>340</v>
      </c>
      <c r="G550" s="1"/>
      <c r="H550" s="2"/>
      <c r="I550" s="1" t="s">
        <v>134</v>
      </c>
      <c r="K550" s="1"/>
      <c r="L550" s="1" t="s">
        <v>340</v>
      </c>
      <c r="M550" s="26" t="str">
        <f>CONCATENATE(TablaCalificaciones[[#This Row],[Seleccione su nombre (Evaluador)]],TablaCalificaciones[[#This Row],[Seleccione el nombre del Estudiante]])</f>
        <v>Leonardo Arevalo RiveraMontenegro Reinoso Sthefany Carolina</v>
      </c>
      <c r="N550" s="1"/>
      <c r="O550" s="1" t="s">
        <v>308</v>
      </c>
      <c r="Q550" s="1"/>
      <c r="R550" s="1" t="s">
        <v>44</v>
      </c>
      <c r="S550" s="22">
        <f>VLOOKUP(TablaCalificaciones[[#This Row],[Apertura: problema y objetivo ]],PESOS!A$16:B$20,2,0)</f>
        <v>20</v>
      </c>
      <c r="T550" s="1"/>
      <c r="U550" s="1" t="s">
        <v>44</v>
      </c>
      <c r="V550" s="22">
        <f>VLOOKUP(TablaCalificaciones[[#This Row],[Metodología (nivel adecuado)]],PESOS!A$16:B$20,2,0)</f>
        <v>20</v>
      </c>
      <c r="W550" s="1"/>
      <c r="X550" s="1" t="s">
        <v>44</v>
      </c>
      <c r="Y550" s="22">
        <f>VLOOKUP(TablaCalificaciones[[#This Row],[Resultados y evidencia ]],PESOS!A$16:B$20,2,0)</f>
        <v>20</v>
      </c>
      <c r="Z550" s="1"/>
      <c r="AA550" s="1" t="s">
        <v>51</v>
      </c>
      <c r="AB550" s="22">
        <f>VLOOKUP(TablaCalificaciones[[#This Row],[Coherencia y manejo del tiempo]],PESOS!A$25:B$29,2,0)</f>
        <v>8</v>
      </c>
      <c r="AC550" s="1"/>
      <c r="AD550" s="1" t="s">
        <v>51</v>
      </c>
      <c r="AE550" s="22">
        <f>VLOOKUP(TablaCalificaciones[[#This Row],[Diapositivas como apoyo]],PESOS!A$25:B$29,2,0)</f>
        <v>8</v>
      </c>
      <c r="AF550" s="1"/>
      <c r="AG550" s="1" t="s">
        <v>51</v>
      </c>
      <c r="AH550" s="22">
        <f>VLOOKUP(TablaCalificaciones[[#This Row],[Respuestas a preguntas]],PESOS!A$25:B$29,2,0)</f>
        <v>8</v>
      </c>
      <c r="AI550" s="1"/>
      <c r="AJ550" s="1" t="s">
        <v>51</v>
      </c>
      <c r="AK550" s="22">
        <f>VLOOKUP(TablaCalificaciones[[#This Row],[Cierre: aporte a próximos pasos]],PESOS!A$25:B$29,2,0)</f>
        <v>8</v>
      </c>
      <c r="AL550" s="1"/>
      <c r="AM550" s="1"/>
    </row>
    <row r="551" spans="1:39">
      <c r="A551">
        <v>565</v>
      </c>
      <c r="B551" s="2">
        <v>46137.350243055596</v>
      </c>
      <c r="C551" s="2">
        <v>46137.351053240702</v>
      </c>
      <c r="D551" s="1" t="s">
        <v>339</v>
      </c>
      <c r="E551" s="1" t="s">
        <v>340</v>
      </c>
      <c r="G551" s="1"/>
      <c r="H551" s="2"/>
      <c r="I551" s="1" t="s">
        <v>68</v>
      </c>
      <c r="K551" s="1"/>
      <c r="L551" s="1" t="s">
        <v>340</v>
      </c>
      <c r="M551" s="26" t="str">
        <f>CONCATENATE(TablaCalificaciones[[#This Row],[Seleccione su nombre (Evaluador)]],TablaCalificaciones[[#This Row],[Seleccione el nombre del Estudiante]])</f>
        <v>Leonardo Arevalo RiveraTorres Vinueza Israel Francisco</v>
      </c>
      <c r="N551" s="1"/>
      <c r="O551" s="1" t="s">
        <v>157</v>
      </c>
      <c r="Q551" s="1"/>
      <c r="R551" s="1" t="s">
        <v>44</v>
      </c>
      <c r="S551" s="22">
        <f>VLOOKUP(TablaCalificaciones[[#This Row],[Apertura: problema y objetivo ]],PESOS!A$16:B$20,2,0)</f>
        <v>20</v>
      </c>
      <c r="T551" s="1"/>
      <c r="U551" s="1" t="s">
        <v>44</v>
      </c>
      <c r="V551" s="22">
        <f>VLOOKUP(TablaCalificaciones[[#This Row],[Metodología (nivel adecuado)]],PESOS!A$16:B$20,2,0)</f>
        <v>20</v>
      </c>
      <c r="W551" s="1"/>
      <c r="X551" s="1" t="s">
        <v>44</v>
      </c>
      <c r="Y551" s="22">
        <f>VLOOKUP(TablaCalificaciones[[#This Row],[Resultados y evidencia ]],PESOS!A$16:B$20,2,0)</f>
        <v>20</v>
      </c>
      <c r="Z551" s="1"/>
      <c r="AA551" s="1" t="s">
        <v>83</v>
      </c>
      <c r="AB551" s="22">
        <f>VLOOKUP(TablaCalificaciones[[#This Row],[Coherencia y manejo del tiempo]],PESOS!A$25:B$29,2,0)</f>
        <v>6</v>
      </c>
      <c r="AC551" s="1"/>
      <c r="AD551" s="1" t="s">
        <v>45</v>
      </c>
      <c r="AE551" s="22">
        <f>VLOOKUP(TablaCalificaciones[[#This Row],[Diapositivas como apoyo]],PESOS!A$25:B$29,2,0)</f>
        <v>10</v>
      </c>
      <c r="AF551" s="1"/>
      <c r="AG551" s="1" t="s">
        <v>45</v>
      </c>
      <c r="AH551" s="22">
        <f>VLOOKUP(TablaCalificaciones[[#This Row],[Respuestas a preguntas]],PESOS!A$25:B$29,2,0)</f>
        <v>10</v>
      </c>
      <c r="AI551" s="1"/>
      <c r="AJ551" s="1" t="s">
        <v>45</v>
      </c>
      <c r="AK551" s="22">
        <f>VLOOKUP(TablaCalificaciones[[#This Row],[Cierre: aporte a próximos pasos]],PESOS!A$25:B$29,2,0)</f>
        <v>10</v>
      </c>
      <c r="AL551" s="1"/>
      <c r="AM551" s="1"/>
    </row>
    <row r="552" spans="1:39">
      <c r="A552">
        <v>566</v>
      </c>
      <c r="B552" s="2">
        <v>46137.4146064815</v>
      </c>
      <c r="C552" s="2">
        <v>46137.416342592602</v>
      </c>
      <c r="D552" s="1" t="s">
        <v>341</v>
      </c>
      <c r="E552" s="1" t="s">
        <v>342</v>
      </c>
      <c r="G552" s="1"/>
      <c r="H552" s="2"/>
      <c r="I552" s="1" t="s">
        <v>229</v>
      </c>
      <c r="K552" s="1"/>
      <c r="L552" s="1" t="s">
        <v>342</v>
      </c>
      <c r="M552" s="26" t="str">
        <f>CONCATENATE(TablaCalificaciones[[#This Row],[Seleccione su nombre (Evaluador)]],TablaCalificaciones[[#This Row],[Seleccione el nombre del Estudiante]])</f>
        <v>Mauricio RacinesIza Jiménez Santiago Francisco</v>
      </c>
      <c r="N552" s="1"/>
      <c r="O552" s="1" t="s">
        <v>254</v>
      </c>
      <c r="Q552" s="1"/>
      <c r="R552" s="1" t="s">
        <v>50</v>
      </c>
      <c r="S552" s="22">
        <f>VLOOKUP(TablaCalificaciones[[#This Row],[Apertura: problema y objetivo ]],PESOS!A$16:B$20,2,0)</f>
        <v>16</v>
      </c>
      <c r="T552" s="1"/>
      <c r="U552" s="1" t="s">
        <v>44</v>
      </c>
      <c r="V552" s="22">
        <f>VLOOKUP(TablaCalificaciones[[#This Row],[Metodología (nivel adecuado)]],PESOS!A$16:B$20,2,0)</f>
        <v>20</v>
      </c>
      <c r="W552" s="1"/>
      <c r="X552" s="1" t="s">
        <v>44</v>
      </c>
      <c r="Y552" s="22">
        <f>VLOOKUP(TablaCalificaciones[[#This Row],[Resultados y evidencia ]],PESOS!A$16:B$20,2,0)</f>
        <v>20</v>
      </c>
      <c r="Z552" s="1"/>
      <c r="AA552" s="1" t="s">
        <v>45</v>
      </c>
      <c r="AB552" s="22">
        <f>VLOOKUP(TablaCalificaciones[[#This Row],[Coherencia y manejo del tiempo]],PESOS!A$25:B$29,2,0)</f>
        <v>10</v>
      </c>
      <c r="AC552" s="1"/>
      <c r="AD552" s="1" t="s">
        <v>51</v>
      </c>
      <c r="AE552" s="22">
        <f>VLOOKUP(TablaCalificaciones[[#This Row],[Diapositivas como apoyo]],PESOS!A$25:B$29,2,0)</f>
        <v>8</v>
      </c>
      <c r="AF552" s="1"/>
      <c r="AG552" s="1" t="s">
        <v>51</v>
      </c>
      <c r="AH552" s="22">
        <f>VLOOKUP(TablaCalificaciones[[#This Row],[Respuestas a preguntas]],PESOS!A$25:B$29,2,0)</f>
        <v>8</v>
      </c>
      <c r="AI552" s="1"/>
      <c r="AJ552" s="1" t="s">
        <v>51</v>
      </c>
      <c r="AK552" s="22">
        <f>VLOOKUP(TablaCalificaciones[[#This Row],[Cierre: aporte a próximos pasos]],PESOS!A$25:B$29,2,0)</f>
        <v>8</v>
      </c>
      <c r="AL552" s="1"/>
      <c r="AM552" s="1"/>
    </row>
    <row r="553" spans="1:39">
      <c r="A553">
        <v>567</v>
      </c>
      <c r="B553" s="2">
        <v>46137.416377314803</v>
      </c>
      <c r="C553" s="2">
        <v>46137.417303240698</v>
      </c>
      <c r="D553" s="1" t="s">
        <v>341</v>
      </c>
      <c r="E553" s="1" t="s">
        <v>342</v>
      </c>
      <c r="G553" s="1"/>
      <c r="H553" s="2"/>
      <c r="I553" s="1" t="s">
        <v>229</v>
      </c>
      <c r="K553" s="1"/>
      <c r="L553" s="1" t="s">
        <v>342</v>
      </c>
      <c r="M553" s="26" t="str">
        <f>CONCATENATE(TablaCalificaciones[[#This Row],[Seleccione su nombre (Evaluador)]],TablaCalificaciones[[#This Row],[Seleccione el nombre del Estudiante]])</f>
        <v>Mauricio RacinesSalazar Guallichico José Luis</v>
      </c>
      <c r="N553" s="1"/>
      <c r="O553" s="1" t="s">
        <v>255</v>
      </c>
      <c r="Q553" s="1"/>
      <c r="R553" s="1" t="s">
        <v>50</v>
      </c>
      <c r="S553" s="22">
        <f>VLOOKUP(TablaCalificaciones[[#This Row],[Apertura: problema y objetivo ]],PESOS!A$16:B$20,2,0)</f>
        <v>16</v>
      </c>
      <c r="T553" s="1"/>
      <c r="U553" s="1" t="s">
        <v>44</v>
      </c>
      <c r="V553" s="22">
        <f>VLOOKUP(TablaCalificaciones[[#This Row],[Metodología (nivel adecuado)]],PESOS!A$16:B$20,2,0)</f>
        <v>20</v>
      </c>
      <c r="W553" s="1"/>
      <c r="X553" s="1" t="s">
        <v>44</v>
      </c>
      <c r="Y553" s="22">
        <f>VLOOKUP(TablaCalificaciones[[#This Row],[Resultados y evidencia ]],PESOS!A$16:B$20,2,0)</f>
        <v>20</v>
      </c>
      <c r="Z553" s="1"/>
      <c r="AA553" s="1" t="s">
        <v>51</v>
      </c>
      <c r="AB553" s="22">
        <f>VLOOKUP(TablaCalificaciones[[#This Row],[Coherencia y manejo del tiempo]],PESOS!A$25:B$29,2,0)</f>
        <v>8</v>
      </c>
      <c r="AC553" s="1"/>
      <c r="AD553" s="1" t="s">
        <v>51</v>
      </c>
      <c r="AE553" s="22">
        <f>VLOOKUP(TablaCalificaciones[[#This Row],[Diapositivas como apoyo]],PESOS!A$25:B$29,2,0)</f>
        <v>8</v>
      </c>
      <c r="AF553" s="1"/>
      <c r="AG553" s="1" t="s">
        <v>45</v>
      </c>
      <c r="AH553" s="22">
        <f>VLOOKUP(TablaCalificaciones[[#This Row],[Respuestas a preguntas]],PESOS!A$25:B$29,2,0)</f>
        <v>10</v>
      </c>
      <c r="AI553" s="1"/>
      <c r="AJ553" s="1" t="s">
        <v>45</v>
      </c>
      <c r="AK553" s="22">
        <f>VLOOKUP(TablaCalificaciones[[#This Row],[Cierre: aporte a próximos pasos]],PESOS!A$25:B$29,2,0)</f>
        <v>10</v>
      </c>
      <c r="AL553" s="1"/>
      <c r="AM553" s="1"/>
    </row>
    <row r="554" spans="1:39">
      <c r="A554">
        <v>568</v>
      </c>
      <c r="B554" s="2">
        <v>46137.417337963001</v>
      </c>
      <c r="C554" s="2">
        <v>46137.418263888903</v>
      </c>
      <c r="D554" s="1" t="s">
        <v>341</v>
      </c>
      <c r="E554" s="1" t="s">
        <v>342</v>
      </c>
      <c r="G554" s="1"/>
      <c r="H554" s="2"/>
      <c r="I554" s="1" t="s">
        <v>134</v>
      </c>
      <c r="K554" s="1"/>
      <c r="L554" s="1" t="s">
        <v>342</v>
      </c>
      <c r="M554" s="26" t="str">
        <f>CONCATENATE(TablaCalificaciones[[#This Row],[Seleccione su nombre (Evaluador)]],TablaCalificaciones[[#This Row],[Seleccione el nombre del Estudiante]])</f>
        <v>Mauricio RacinesAcosta Polanco Álvaro Marcelo</v>
      </c>
      <c r="N554" s="1"/>
      <c r="O554" s="1" t="s">
        <v>334</v>
      </c>
      <c r="Q554" s="1"/>
      <c r="R554" s="1" t="s">
        <v>50</v>
      </c>
      <c r="S554" s="22">
        <f>VLOOKUP(TablaCalificaciones[[#This Row],[Apertura: problema y objetivo ]],PESOS!A$16:B$20,2,0)</f>
        <v>16</v>
      </c>
      <c r="T554" s="1"/>
      <c r="U554" s="1" t="s">
        <v>50</v>
      </c>
      <c r="V554" s="22">
        <f>VLOOKUP(TablaCalificaciones[[#This Row],[Metodología (nivel adecuado)]],PESOS!A$16:B$20,2,0)</f>
        <v>16</v>
      </c>
      <c r="W554" s="1"/>
      <c r="X554" s="1" t="s">
        <v>50</v>
      </c>
      <c r="Y554" s="22">
        <f>VLOOKUP(TablaCalificaciones[[#This Row],[Resultados y evidencia ]],PESOS!A$16:B$20,2,0)</f>
        <v>16</v>
      </c>
      <c r="Z554" s="1"/>
      <c r="AA554" s="1" t="s">
        <v>51</v>
      </c>
      <c r="AB554" s="22">
        <f>VLOOKUP(TablaCalificaciones[[#This Row],[Coherencia y manejo del tiempo]],PESOS!A$25:B$29,2,0)</f>
        <v>8</v>
      </c>
      <c r="AC554" s="1"/>
      <c r="AD554" s="1" t="s">
        <v>83</v>
      </c>
      <c r="AE554" s="22">
        <f>VLOOKUP(TablaCalificaciones[[#This Row],[Diapositivas como apoyo]],PESOS!A$25:B$29,2,0)</f>
        <v>6</v>
      </c>
      <c r="AF554" s="1"/>
      <c r="AG554" s="1" t="s">
        <v>51</v>
      </c>
      <c r="AH554" s="22">
        <f>VLOOKUP(TablaCalificaciones[[#This Row],[Respuestas a preguntas]],PESOS!A$25:B$29,2,0)</f>
        <v>8</v>
      </c>
      <c r="AI554" s="1"/>
      <c r="AJ554" s="1" t="s">
        <v>51</v>
      </c>
      <c r="AK554" s="22">
        <f>VLOOKUP(TablaCalificaciones[[#This Row],[Cierre: aporte a próximos pasos]],PESOS!A$25:B$29,2,0)</f>
        <v>8</v>
      </c>
      <c r="AL554" s="1"/>
      <c r="AM554" s="1"/>
    </row>
    <row r="555" spans="1:39">
      <c r="A555">
        <v>569</v>
      </c>
      <c r="B555" s="2">
        <v>46137.418287036999</v>
      </c>
      <c r="C555" s="2">
        <v>46137.419004629599</v>
      </c>
      <c r="D555" s="1" t="s">
        <v>341</v>
      </c>
      <c r="E555" s="1" t="s">
        <v>342</v>
      </c>
      <c r="G555" s="1"/>
      <c r="H555" s="2"/>
      <c r="I555" s="1" t="s">
        <v>134</v>
      </c>
      <c r="K555" s="1"/>
      <c r="L555" s="1" t="s">
        <v>342</v>
      </c>
      <c r="M555" s="26" t="str">
        <f>CONCATENATE(TablaCalificaciones[[#This Row],[Seleccione su nombre (Evaluador)]],TablaCalificaciones[[#This Row],[Seleccione el nombre del Estudiante]])</f>
        <v>Mauricio RacinesCerón Oñate Guillermo Andrés</v>
      </c>
      <c r="N555" s="1"/>
      <c r="O555" s="1" t="s">
        <v>335</v>
      </c>
      <c r="Q555" s="1"/>
      <c r="R555" s="1" t="s">
        <v>50</v>
      </c>
      <c r="S555" s="22">
        <f>VLOOKUP(TablaCalificaciones[[#This Row],[Apertura: problema y objetivo ]],PESOS!A$16:B$20,2,0)</f>
        <v>16</v>
      </c>
      <c r="T555" s="1"/>
      <c r="U555" s="1" t="s">
        <v>50</v>
      </c>
      <c r="V555" s="22">
        <f>VLOOKUP(TablaCalificaciones[[#This Row],[Metodología (nivel adecuado)]],PESOS!A$16:B$20,2,0)</f>
        <v>16</v>
      </c>
      <c r="W555" s="1"/>
      <c r="X555" s="1" t="s">
        <v>105</v>
      </c>
      <c r="Y555" s="22">
        <f>VLOOKUP(TablaCalificaciones[[#This Row],[Resultados y evidencia ]],PESOS!A$16:B$20,2,0)</f>
        <v>12</v>
      </c>
      <c r="Z555" s="1"/>
      <c r="AA555" s="1" t="s">
        <v>51</v>
      </c>
      <c r="AB555" s="22">
        <f>VLOOKUP(TablaCalificaciones[[#This Row],[Coherencia y manejo del tiempo]],PESOS!A$25:B$29,2,0)</f>
        <v>8</v>
      </c>
      <c r="AC555" s="1"/>
      <c r="AD555" s="1" t="s">
        <v>51</v>
      </c>
      <c r="AE555" s="22">
        <f>VLOOKUP(TablaCalificaciones[[#This Row],[Diapositivas como apoyo]],PESOS!A$25:B$29,2,0)</f>
        <v>8</v>
      </c>
      <c r="AF555" s="1"/>
      <c r="AG555" s="1" t="s">
        <v>51</v>
      </c>
      <c r="AH555" s="22">
        <f>VLOOKUP(TablaCalificaciones[[#This Row],[Respuestas a preguntas]],PESOS!A$25:B$29,2,0)</f>
        <v>8</v>
      </c>
      <c r="AI555" s="1"/>
      <c r="AJ555" s="1" t="s">
        <v>51</v>
      </c>
      <c r="AK555" s="22">
        <f>VLOOKUP(TablaCalificaciones[[#This Row],[Cierre: aporte a próximos pasos]],PESOS!A$25:B$29,2,0)</f>
        <v>8</v>
      </c>
      <c r="AL555" s="1"/>
      <c r="AM555" s="1"/>
    </row>
    <row r="556" spans="1:39">
      <c r="A556">
        <v>570</v>
      </c>
      <c r="B556" s="2">
        <v>46137.419039351902</v>
      </c>
      <c r="C556" s="2">
        <v>46137.421041666697</v>
      </c>
      <c r="D556" s="1" t="s">
        <v>341</v>
      </c>
      <c r="E556" s="1" t="s">
        <v>342</v>
      </c>
      <c r="G556" s="1"/>
      <c r="H556" s="2"/>
      <c r="I556" s="1" t="s">
        <v>134</v>
      </c>
      <c r="K556" s="1"/>
      <c r="L556" s="1" t="s">
        <v>342</v>
      </c>
      <c r="M556" s="26" t="str">
        <f>CONCATENATE(TablaCalificaciones[[#This Row],[Seleccione su nombre (Evaluador)]],TablaCalificaciones[[#This Row],[Seleccione el nombre del Estudiante]])</f>
        <v>Mauricio RacinesDelgado Ureta Erika Cecibel</v>
      </c>
      <c r="N556" s="1"/>
      <c r="O556" s="1" t="s">
        <v>336</v>
      </c>
      <c r="Q556" s="1"/>
      <c r="R556" s="1" t="s">
        <v>50</v>
      </c>
      <c r="S556" s="22">
        <f>VLOOKUP(TablaCalificaciones[[#This Row],[Apertura: problema y objetivo ]],PESOS!A$16:B$20,2,0)</f>
        <v>16</v>
      </c>
      <c r="T556" s="1"/>
      <c r="U556" s="1" t="s">
        <v>50</v>
      </c>
      <c r="V556" s="22">
        <f>VLOOKUP(TablaCalificaciones[[#This Row],[Metodología (nivel adecuado)]],PESOS!A$16:B$20,2,0)</f>
        <v>16</v>
      </c>
      <c r="W556" s="1"/>
      <c r="X556" s="1" t="s">
        <v>105</v>
      </c>
      <c r="Y556" s="22">
        <f>VLOOKUP(TablaCalificaciones[[#This Row],[Resultados y evidencia ]],PESOS!A$16:B$20,2,0)</f>
        <v>12</v>
      </c>
      <c r="Z556" s="1"/>
      <c r="AA556" s="1" t="s">
        <v>51</v>
      </c>
      <c r="AB556" s="22">
        <f>VLOOKUP(TablaCalificaciones[[#This Row],[Coherencia y manejo del tiempo]],PESOS!A$25:B$29,2,0)</f>
        <v>8</v>
      </c>
      <c r="AC556" s="1"/>
      <c r="AD556" s="1" t="s">
        <v>51</v>
      </c>
      <c r="AE556" s="22">
        <f>VLOOKUP(TablaCalificaciones[[#This Row],[Diapositivas como apoyo]],PESOS!A$25:B$29,2,0)</f>
        <v>8</v>
      </c>
      <c r="AF556" s="1"/>
      <c r="AG556" s="1" t="s">
        <v>51</v>
      </c>
      <c r="AH556" s="22">
        <f>VLOOKUP(TablaCalificaciones[[#This Row],[Respuestas a preguntas]],PESOS!A$25:B$29,2,0)</f>
        <v>8</v>
      </c>
      <c r="AI556" s="1"/>
      <c r="AJ556" s="1" t="s">
        <v>51</v>
      </c>
      <c r="AK556" s="22">
        <f>VLOOKUP(TablaCalificaciones[[#This Row],[Cierre: aporte a próximos pasos]],PESOS!A$25:B$29,2,0)</f>
        <v>8</v>
      </c>
      <c r="AL556" s="1"/>
      <c r="AM556" s="1"/>
    </row>
    <row r="557" spans="1:39">
      <c r="A557">
        <v>336</v>
      </c>
      <c r="B557" s="2">
        <v>46135.4145601852</v>
      </c>
      <c r="C557" s="2">
        <v>46135.415069444403</v>
      </c>
      <c r="D557" s="1" t="s">
        <v>173</v>
      </c>
      <c r="E557" s="1" t="s">
        <v>174</v>
      </c>
      <c r="G557" s="1"/>
      <c r="H557" s="2"/>
      <c r="I557" s="1" t="s">
        <v>229</v>
      </c>
      <c r="K557" s="1"/>
      <c r="L557" s="1" t="s">
        <v>174</v>
      </c>
      <c r="M557" s="26" t="str">
        <f>CONCATENATE(TablaCalificaciones[[#This Row],[Seleccione su nombre (Evaluador)]],TablaCalificaciones[[#This Row],[Seleccione el nombre del Estudiante]])</f>
        <v>Pavlova SigchaViteri Mesías Fabián Nicolás</v>
      </c>
      <c r="N557" s="1"/>
      <c r="O557" s="1" t="s">
        <v>244</v>
      </c>
      <c r="Q557" s="1"/>
      <c r="R557" s="1" t="s">
        <v>44</v>
      </c>
      <c r="S557" s="22">
        <f>VLOOKUP(TablaCalificaciones[[#This Row],[Apertura: problema y objetivo ]],PESOS!A$16:B$20,2,0)</f>
        <v>20</v>
      </c>
      <c r="T557" s="1"/>
      <c r="U557" s="1" t="s">
        <v>44</v>
      </c>
      <c r="V557" s="22">
        <f>VLOOKUP(TablaCalificaciones[[#This Row],[Metodología (nivel adecuado)]],PESOS!A$16:B$20,2,0)</f>
        <v>20</v>
      </c>
      <c r="W557" s="1"/>
      <c r="X557" s="1" t="s">
        <v>44</v>
      </c>
      <c r="Y557" s="22">
        <f>VLOOKUP(TablaCalificaciones[[#This Row],[Resultados y evidencia ]],PESOS!A$16:B$20,2,0)</f>
        <v>20</v>
      </c>
      <c r="Z557" s="1"/>
      <c r="AA557" s="1" t="s">
        <v>45</v>
      </c>
      <c r="AB557" s="22">
        <f>VLOOKUP(TablaCalificaciones[[#This Row],[Coherencia y manejo del tiempo]],PESOS!A$25:B$29,2,0)</f>
        <v>10</v>
      </c>
      <c r="AC557" s="1"/>
      <c r="AD557" s="1" t="s">
        <v>45</v>
      </c>
      <c r="AE557" s="22">
        <f>VLOOKUP(TablaCalificaciones[[#This Row],[Diapositivas como apoyo]],PESOS!A$25:B$29,2,0)</f>
        <v>10</v>
      </c>
      <c r="AF557" s="1"/>
      <c r="AG557" s="1" t="s">
        <v>45</v>
      </c>
      <c r="AH557" s="22">
        <f>VLOOKUP(TablaCalificaciones[[#This Row],[Respuestas a preguntas]],PESOS!A$25:B$29,2,0)</f>
        <v>10</v>
      </c>
      <c r="AI557" s="1"/>
      <c r="AJ557" s="1" t="s">
        <v>45</v>
      </c>
      <c r="AK557" s="22">
        <f>VLOOKUP(TablaCalificaciones[[#This Row],[Cierre: aporte a próximos pasos]],PESOS!A$25:B$29,2,0)</f>
        <v>10</v>
      </c>
      <c r="AL557" s="1"/>
      <c r="AM557" s="1"/>
    </row>
    <row r="558" spans="1:39">
      <c r="A558">
        <v>573</v>
      </c>
      <c r="B558" s="2">
        <v>46137.787013888897</v>
      </c>
      <c r="C558" s="2">
        <v>46137.788067129601</v>
      </c>
      <c r="D558" s="1" t="s">
        <v>343</v>
      </c>
      <c r="E558" s="1" t="s">
        <v>344</v>
      </c>
      <c r="G558" s="1"/>
      <c r="H558" s="2"/>
      <c r="I558" s="1" t="s">
        <v>41</v>
      </c>
      <c r="K558" s="1"/>
      <c r="L558" s="1" t="s">
        <v>344</v>
      </c>
      <c r="M558" s="26" t="str">
        <f>CONCATENATE(TablaCalificaciones[[#This Row],[Seleccione su nombre (Evaluador)]],TablaCalificaciones[[#This Row],[Seleccione el nombre del Estudiante]])</f>
        <v>Luis Fernando Aguas BucheliGaleas Andino Marco Vinicio</v>
      </c>
      <c r="N558" s="1"/>
      <c r="O558" s="1" t="s">
        <v>138</v>
      </c>
      <c r="Q558" s="1"/>
      <c r="R558" s="1" t="s">
        <v>44</v>
      </c>
      <c r="S558" s="22">
        <f>VLOOKUP(TablaCalificaciones[[#This Row],[Apertura: problema y objetivo ]],PESOS!A$16:B$20,2,0)</f>
        <v>20</v>
      </c>
      <c r="T558" s="1"/>
      <c r="U558" s="1" t="s">
        <v>44</v>
      </c>
      <c r="V558" s="22">
        <f>VLOOKUP(TablaCalificaciones[[#This Row],[Metodología (nivel adecuado)]],PESOS!A$16:B$20,2,0)</f>
        <v>20</v>
      </c>
      <c r="W558" s="1"/>
      <c r="X558" s="1" t="s">
        <v>44</v>
      </c>
      <c r="Y558" s="22">
        <f>VLOOKUP(TablaCalificaciones[[#This Row],[Resultados y evidencia ]],PESOS!A$16:B$20,2,0)</f>
        <v>20</v>
      </c>
      <c r="Z558" s="1"/>
      <c r="AA558" s="1" t="s">
        <v>45</v>
      </c>
      <c r="AB558" s="22">
        <f>VLOOKUP(TablaCalificaciones[[#This Row],[Coherencia y manejo del tiempo]],PESOS!A$25:B$29,2,0)</f>
        <v>10</v>
      </c>
      <c r="AC558" s="1"/>
      <c r="AD558" s="1" t="s">
        <v>45</v>
      </c>
      <c r="AE558" s="22">
        <f>VLOOKUP(TablaCalificaciones[[#This Row],[Diapositivas como apoyo]],PESOS!A$25:B$29,2,0)</f>
        <v>10</v>
      </c>
      <c r="AF558" s="1"/>
      <c r="AG558" s="1" t="s">
        <v>45</v>
      </c>
      <c r="AH558" s="22">
        <f>VLOOKUP(TablaCalificaciones[[#This Row],[Respuestas a preguntas]],PESOS!A$25:B$29,2,0)</f>
        <v>10</v>
      </c>
      <c r="AI558" s="1"/>
      <c r="AJ558" s="1" t="s">
        <v>45</v>
      </c>
      <c r="AK558" s="22">
        <f>VLOOKUP(TablaCalificaciones[[#This Row],[Cierre: aporte a próximos pasos]],PESOS!A$25:B$29,2,0)</f>
        <v>10</v>
      </c>
      <c r="AL558" s="1"/>
      <c r="AM558" s="1"/>
    </row>
    <row r="559" spans="1:39">
      <c r="A559">
        <v>574</v>
      </c>
      <c r="B559" s="2">
        <v>46137.788240740701</v>
      </c>
      <c r="C559" s="2">
        <v>46137.788692129601</v>
      </c>
      <c r="D559" s="1" t="s">
        <v>343</v>
      </c>
      <c r="E559" s="1" t="s">
        <v>344</v>
      </c>
      <c r="G559" s="1"/>
      <c r="H559" s="2"/>
      <c r="I559" s="1" t="s">
        <v>229</v>
      </c>
      <c r="K559" s="1"/>
      <c r="L559" s="1" t="s">
        <v>344</v>
      </c>
      <c r="M559" s="26" t="str">
        <f>CONCATENATE(TablaCalificaciones[[#This Row],[Seleccione su nombre (Evaluador)]],TablaCalificaciones[[#This Row],[Seleccione el nombre del Estudiante]])</f>
        <v>Luis Fernando Aguas BucheliJátiva Ubillús José André</v>
      </c>
      <c r="N559" s="1"/>
      <c r="O559" s="1" t="s">
        <v>249</v>
      </c>
      <c r="Q559" s="1"/>
      <c r="R559" s="1" t="s">
        <v>44</v>
      </c>
      <c r="S559" s="22">
        <f>VLOOKUP(TablaCalificaciones[[#This Row],[Apertura: problema y objetivo ]],PESOS!A$16:B$20,2,0)</f>
        <v>20</v>
      </c>
      <c r="T559" s="1"/>
      <c r="U559" s="1" t="s">
        <v>44</v>
      </c>
      <c r="V559" s="22">
        <f>VLOOKUP(TablaCalificaciones[[#This Row],[Metodología (nivel adecuado)]],PESOS!A$16:B$20,2,0)</f>
        <v>20</v>
      </c>
      <c r="W559" s="1"/>
      <c r="X559" s="1" t="s">
        <v>44</v>
      </c>
      <c r="Y559" s="22">
        <f>VLOOKUP(TablaCalificaciones[[#This Row],[Resultados y evidencia ]],PESOS!A$16:B$20,2,0)</f>
        <v>20</v>
      </c>
      <c r="Z559" s="1"/>
      <c r="AA559" s="1" t="s">
        <v>45</v>
      </c>
      <c r="AB559" s="22">
        <f>VLOOKUP(TablaCalificaciones[[#This Row],[Coherencia y manejo del tiempo]],PESOS!A$25:B$29,2,0)</f>
        <v>10</v>
      </c>
      <c r="AC559" s="1"/>
      <c r="AD559" s="1" t="s">
        <v>45</v>
      </c>
      <c r="AE559" s="22">
        <f>VLOOKUP(TablaCalificaciones[[#This Row],[Diapositivas como apoyo]],PESOS!A$25:B$29,2,0)</f>
        <v>10</v>
      </c>
      <c r="AF559" s="1"/>
      <c r="AG559" s="1" t="s">
        <v>45</v>
      </c>
      <c r="AH559" s="22">
        <f>VLOOKUP(TablaCalificaciones[[#This Row],[Respuestas a preguntas]],PESOS!A$25:B$29,2,0)</f>
        <v>10</v>
      </c>
      <c r="AI559" s="1"/>
      <c r="AJ559" s="1" t="s">
        <v>45</v>
      </c>
      <c r="AK559" s="22">
        <f>VLOOKUP(TablaCalificaciones[[#This Row],[Cierre: aporte a próximos pasos]],PESOS!A$25:B$29,2,0)</f>
        <v>10</v>
      </c>
      <c r="AL559" s="1"/>
      <c r="AM559" s="1"/>
    </row>
    <row r="560" spans="1:39">
      <c r="A560">
        <v>575</v>
      </c>
      <c r="B560" s="2">
        <v>46137.822581018503</v>
      </c>
      <c r="C560" s="2">
        <v>46137.824039351799</v>
      </c>
      <c r="D560" s="1" t="s">
        <v>345</v>
      </c>
      <c r="E560" s="1" t="s">
        <v>346</v>
      </c>
      <c r="G560" s="1"/>
      <c r="H560" s="2"/>
      <c r="I560" s="1" t="s">
        <v>68</v>
      </c>
      <c r="K560" s="1"/>
      <c r="L560" s="1" t="s">
        <v>347</v>
      </c>
      <c r="M560" s="26" t="str">
        <f>CONCATENATE(TablaCalificaciones[[#This Row],[Seleccione su nombre (Evaluador)]],TablaCalificaciones[[#This Row],[Seleccione el nombre del Estudiante]])</f>
        <v>Iván OrtizCamacho González Renato Daniel</v>
      </c>
      <c r="N560" s="1"/>
      <c r="O560" s="1" t="s">
        <v>304</v>
      </c>
      <c r="Q560" s="1"/>
      <c r="R560" s="1" t="s">
        <v>44</v>
      </c>
      <c r="S560" s="22">
        <f>VLOOKUP(TablaCalificaciones[[#This Row],[Apertura: problema y objetivo ]],PESOS!A$16:B$20,2,0)</f>
        <v>20</v>
      </c>
      <c r="T560" s="1"/>
      <c r="U560" s="1" t="s">
        <v>44</v>
      </c>
      <c r="V560" s="22">
        <f>VLOOKUP(TablaCalificaciones[[#This Row],[Metodología (nivel adecuado)]],PESOS!A$16:B$20,2,0)</f>
        <v>20</v>
      </c>
      <c r="W560" s="1"/>
      <c r="X560" s="1" t="s">
        <v>44</v>
      </c>
      <c r="Y560" s="22">
        <f>VLOOKUP(TablaCalificaciones[[#This Row],[Resultados y evidencia ]],PESOS!A$16:B$20,2,0)</f>
        <v>20</v>
      </c>
      <c r="Z560" s="1"/>
      <c r="AA560" s="1" t="s">
        <v>45</v>
      </c>
      <c r="AB560" s="22">
        <f>VLOOKUP(TablaCalificaciones[[#This Row],[Coherencia y manejo del tiempo]],PESOS!A$25:B$29,2,0)</f>
        <v>10</v>
      </c>
      <c r="AC560" s="1"/>
      <c r="AD560" s="1" t="s">
        <v>45</v>
      </c>
      <c r="AE560" s="22">
        <f>VLOOKUP(TablaCalificaciones[[#This Row],[Diapositivas como apoyo]],PESOS!A$25:B$29,2,0)</f>
        <v>10</v>
      </c>
      <c r="AF560" s="1"/>
      <c r="AG560" s="1" t="s">
        <v>45</v>
      </c>
      <c r="AH560" s="22">
        <f>VLOOKUP(TablaCalificaciones[[#This Row],[Respuestas a preguntas]],PESOS!A$25:B$29,2,0)</f>
        <v>10</v>
      </c>
      <c r="AI560" s="1"/>
      <c r="AJ560" s="1" t="s">
        <v>45</v>
      </c>
      <c r="AK560" s="22">
        <f>VLOOKUP(TablaCalificaciones[[#This Row],[Cierre: aporte a próximos pasos]],PESOS!A$25:B$29,2,0)</f>
        <v>10</v>
      </c>
      <c r="AL560" s="1"/>
      <c r="AM560" s="1"/>
    </row>
    <row r="561" spans="1:39">
      <c r="A561">
        <v>576</v>
      </c>
      <c r="B561" s="2">
        <v>46137.824074074102</v>
      </c>
      <c r="C561" s="2">
        <v>46137.8250694444</v>
      </c>
      <c r="D561" s="1" t="s">
        <v>345</v>
      </c>
      <c r="E561" s="1" t="s">
        <v>346</v>
      </c>
      <c r="G561" s="1"/>
      <c r="H561" s="2"/>
      <c r="I561" s="1" t="s">
        <v>134</v>
      </c>
      <c r="K561" s="1"/>
      <c r="L561" s="1" t="s">
        <v>347</v>
      </c>
      <c r="M561" s="26" t="str">
        <f>CONCATENATE(TablaCalificaciones[[#This Row],[Seleccione su nombre (Evaluador)]],TablaCalificaciones[[#This Row],[Seleccione el nombre del Estudiante]])</f>
        <v>Iván OrtizGomez de la Torre Reyes Oswaldo Fernando</v>
      </c>
      <c r="N561" s="1"/>
      <c r="O561" s="1" t="s">
        <v>305</v>
      </c>
      <c r="Q561" s="1"/>
      <c r="R561" s="1" t="s">
        <v>44</v>
      </c>
      <c r="S561" s="22">
        <f>VLOOKUP(TablaCalificaciones[[#This Row],[Apertura: problema y objetivo ]],PESOS!A$16:B$20,2,0)</f>
        <v>20</v>
      </c>
      <c r="T561" s="1"/>
      <c r="U561" s="1" t="s">
        <v>44</v>
      </c>
      <c r="V561" s="22">
        <f>VLOOKUP(TablaCalificaciones[[#This Row],[Metodología (nivel adecuado)]],PESOS!A$16:B$20,2,0)</f>
        <v>20</v>
      </c>
      <c r="W561" s="1"/>
      <c r="X561" s="1" t="s">
        <v>44</v>
      </c>
      <c r="Y561" s="22">
        <f>VLOOKUP(TablaCalificaciones[[#This Row],[Resultados y evidencia ]],PESOS!A$16:B$20,2,0)</f>
        <v>20</v>
      </c>
      <c r="Z561" s="1"/>
      <c r="AA561" s="1" t="s">
        <v>45</v>
      </c>
      <c r="AB561" s="22">
        <f>VLOOKUP(TablaCalificaciones[[#This Row],[Coherencia y manejo del tiempo]],PESOS!A$25:B$29,2,0)</f>
        <v>10</v>
      </c>
      <c r="AC561" s="1"/>
      <c r="AD561" s="1" t="s">
        <v>45</v>
      </c>
      <c r="AE561" s="22">
        <f>VLOOKUP(TablaCalificaciones[[#This Row],[Diapositivas como apoyo]],PESOS!A$25:B$29,2,0)</f>
        <v>10</v>
      </c>
      <c r="AF561" s="1"/>
      <c r="AG561" s="1" t="s">
        <v>45</v>
      </c>
      <c r="AH561" s="22">
        <f>VLOOKUP(TablaCalificaciones[[#This Row],[Respuestas a preguntas]],PESOS!A$25:B$29,2,0)</f>
        <v>10</v>
      </c>
      <c r="AI561" s="1"/>
      <c r="AJ561" s="1" t="s">
        <v>45</v>
      </c>
      <c r="AK561" s="22">
        <f>VLOOKUP(TablaCalificaciones[[#This Row],[Cierre: aporte a próximos pasos]],PESOS!A$25:B$29,2,0)</f>
        <v>10</v>
      </c>
      <c r="AL561" s="1"/>
      <c r="AM561" s="1"/>
    </row>
    <row r="562" spans="1:39">
      <c r="A562">
        <v>577</v>
      </c>
      <c r="B562" s="2">
        <v>46137.825104166703</v>
      </c>
      <c r="C562" s="2">
        <v>46137.826087963003</v>
      </c>
      <c r="D562" s="1" t="s">
        <v>345</v>
      </c>
      <c r="E562" s="1" t="s">
        <v>346</v>
      </c>
      <c r="G562" s="1"/>
      <c r="H562" s="2"/>
      <c r="I562" s="1" t="s">
        <v>68</v>
      </c>
      <c r="K562" s="1"/>
      <c r="L562" s="1" t="s">
        <v>347</v>
      </c>
      <c r="M562" s="26" t="str">
        <f>CONCATENATE(TablaCalificaciones[[#This Row],[Seleccione su nombre (Evaluador)]],TablaCalificaciones[[#This Row],[Seleccione el nombre del Estudiante]])</f>
        <v>Iván OrtizTulcán Jaya Iván</v>
      </c>
      <c r="N562" s="1"/>
      <c r="O562" s="1" t="s">
        <v>228</v>
      </c>
      <c r="Q562" s="1"/>
      <c r="R562" s="1" t="s">
        <v>44</v>
      </c>
      <c r="S562" s="22">
        <f>VLOOKUP(TablaCalificaciones[[#This Row],[Apertura: problema y objetivo ]],PESOS!A$16:B$20,2,0)</f>
        <v>20</v>
      </c>
      <c r="T562" s="1"/>
      <c r="U562" s="1" t="s">
        <v>44</v>
      </c>
      <c r="V562" s="22">
        <f>VLOOKUP(TablaCalificaciones[[#This Row],[Metodología (nivel adecuado)]],PESOS!A$16:B$20,2,0)</f>
        <v>20</v>
      </c>
      <c r="W562" s="1"/>
      <c r="X562" s="1" t="s">
        <v>44</v>
      </c>
      <c r="Y562" s="22">
        <f>VLOOKUP(TablaCalificaciones[[#This Row],[Resultados y evidencia ]],PESOS!A$16:B$20,2,0)</f>
        <v>20</v>
      </c>
      <c r="Z562" s="1"/>
      <c r="AA562" s="1" t="s">
        <v>45</v>
      </c>
      <c r="AB562" s="22">
        <f>VLOOKUP(TablaCalificaciones[[#This Row],[Coherencia y manejo del tiempo]],PESOS!A$25:B$29,2,0)</f>
        <v>10</v>
      </c>
      <c r="AC562" s="1"/>
      <c r="AD562" s="1" t="s">
        <v>45</v>
      </c>
      <c r="AE562" s="22">
        <f>VLOOKUP(TablaCalificaciones[[#This Row],[Diapositivas como apoyo]],PESOS!A$25:B$29,2,0)</f>
        <v>10</v>
      </c>
      <c r="AF562" s="1"/>
      <c r="AG562" s="1" t="s">
        <v>45</v>
      </c>
      <c r="AH562" s="22">
        <f>VLOOKUP(TablaCalificaciones[[#This Row],[Respuestas a preguntas]],PESOS!A$25:B$29,2,0)</f>
        <v>10</v>
      </c>
      <c r="AI562" s="1"/>
      <c r="AJ562" s="1" t="s">
        <v>45</v>
      </c>
      <c r="AK562" s="22">
        <f>VLOOKUP(TablaCalificaciones[[#This Row],[Cierre: aporte a próximos pasos]],PESOS!A$25:B$29,2,0)</f>
        <v>10</v>
      </c>
      <c r="AL562" s="1"/>
      <c r="AM562" s="1"/>
    </row>
    <row r="563" spans="1:39">
      <c r="A563">
        <v>578</v>
      </c>
      <c r="B563" s="2">
        <v>46137.826273148203</v>
      </c>
      <c r="C563" s="2">
        <v>46137.826759259297</v>
      </c>
      <c r="D563" s="1" t="s">
        <v>345</v>
      </c>
      <c r="E563" s="1" t="s">
        <v>346</v>
      </c>
      <c r="G563" s="1"/>
      <c r="H563" s="2"/>
      <c r="I563" s="1" t="s">
        <v>68</v>
      </c>
      <c r="K563" s="1"/>
      <c r="L563" s="1" t="s">
        <v>347</v>
      </c>
      <c r="M563" s="26" t="str">
        <f>CONCATENATE(TablaCalificaciones[[#This Row],[Seleccione su nombre (Evaluador)]],TablaCalificaciones[[#This Row],[Seleccione el nombre del Estudiante]])</f>
        <v>Iván OrtizJácome Macías Anne</v>
      </c>
      <c r="N563" s="1"/>
      <c r="O563" s="1" t="s">
        <v>187</v>
      </c>
      <c r="Q563" s="1"/>
      <c r="R563" s="1" t="s">
        <v>44</v>
      </c>
      <c r="S563" s="22">
        <f>VLOOKUP(TablaCalificaciones[[#This Row],[Apertura: problema y objetivo ]],PESOS!A$16:B$20,2,0)</f>
        <v>20</v>
      </c>
      <c r="T563" s="1"/>
      <c r="U563" s="1" t="s">
        <v>44</v>
      </c>
      <c r="V563" s="22">
        <f>VLOOKUP(TablaCalificaciones[[#This Row],[Metodología (nivel adecuado)]],PESOS!A$16:B$20,2,0)</f>
        <v>20</v>
      </c>
      <c r="W563" s="1"/>
      <c r="X563" s="1" t="s">
        <v>44</v>
      </c>
      <c r="Y563" s="22">
        <f>VLOOKUP(TablaCalificaciones[[#This Row],[Resultados y evidencia ]],PESOS!A$16:B$20,2,0)</f>
        <v>20</v>
      </c>
      <c r="Z563" s="1"/>
      <c r="AA563" s="1" t="s">
        <v>45</v>
      </c>
      <c r="AB563" s="22">
        <f>VLOOKUP(TablaCalificaciones[[#This Row],[Coherencia y manejo del tiempo]],PESOS!A$25:B$29,2,0)</f>
        <v>10</v>
      </c>
      <c r="AC563" s="1"/>
      <c r="AD563" s="1" t="s">
        <v>45</v>
      </c>
      <c r="AE563" s="22">
        <f>VLOOKUP(TablaCalificaciones[[#This Row],[Diapositivas como apoyo]],PESOS!A$25:B$29,2,0)</f>
        <v>10</v>
      </c>
      <c r="AF563" s="1"/>
      <c r="AG563" s="1" t="s">
        <v>45</v>
      </c>
      <c r="AH563" s="22">
        <f>VLOOKUP(TablaCalificaciones[[#This Row],[Respuestas a preguntas]],PESOS!A$25:B$29,2,0)</f>
        <v>10</v>
      </c>
      <c r="AI563" s="1"/>
      <c r="AJ563" s="1" t="s">
        <v>45</v>
      </c>
      <c r="AK563" s="22">
        <f>VLOOKUP(TablaCalificaciones[[#This Row],[Cierre: aporte a próximos pasos]],PESOS!A$25:B$29,2,0)</f>
        <v>10</v>
      </c>
      <c r="AL563" s="1"/>
      <c r="AM563" s="1"/>
    </row>
    <row r="564" spans="1:39">
      <c r="A564">
        <v>579</v>
      </c>
      <c r="B564" s="2">
        <v>46138.356006944399</v>
      </c>
      <c r="C564" s="2">
        <v>46138.357349537</v>
      </c>
      <c r="D564" s="1" t="s">
        <v>348</v>
      </c>
      <c r="E564" s="1" t="s">
        <v>349</v>
      </c>
      <c r="G564" s="1"/>
      <c r="H564" s="2"/>
      <c r="I564" s="1" t="s">
        <v>229</v>
      </c>
      <c r="K564" s="1"/>
      <c r="L564" s="1" t="s">
        <v>350</v>
      </c>
      <c r="M564" s="26" t="str">
        <f>CONCATENATE(TablaCalificaciones[[#This Row],[Seleccione su nombre (Evaluador)]],TablaCalificaciones[[#This Row],[Seleccione el nombre del Estudiante]])</f>
        <v>Edison VelascoMorales Castro Sandy Gabriela</v>
      </c>
      <c r="N564" s="1"/>
      <c r="O564" s="1" t="s">
        <v>230</v>
      </c>
      <c r="Q564" s="1"/>
      <c r="R564" s="1" t="s">
        <v>44</v>
      </c>
      <c r="S564" s="22">
        <f>VLOOKUP(TablaCalificaciones[[#This Row],[Apertura: problema y objetivo ]],PESOS!A$16:B$20,2,0)</f>
        <v>20</v>
      </c>
      <c r="T564" s="1"/>
      <c r="U564" s="1" t="s">
        <v>44</v>
      </c>
      <c r="V564" s="22">
        <f>VLOOKUP(TablaCalificaciones[[#This Row],[Metodología (nivel adecuado)]],PESOS!A$16:B$20,2,0)</f>
        <v>20</v>
      </c>
      <c r="W564" s="1"/>
      <c r="X564" s="1" t="s">
        <v>50</v>
      </c>
      <c r="Y564" s="22">
        <f>VLOOKUP(TablaCalificaciones[[#This Row],[Resultados y evidencia ]],PESOS!A$16:B$20,2,0)</f>
        <v>16</v>
      </c>
      <c r="Z564" s="1"/>
      <c r="AA564" s="1" t="s">
        <v>83</v>
      </c>
      <c r="AB564" s="22">
        <f>VLOOKUP(TablaCalificaciones[[#This Row],[Coherencia y manejo del tiempo]],PESOS!A$25:B$29,2,0)</f>
        <v>6</v>
      </c>
      <c r="AC564" s="1"/>
      <c r="AD564" s="1" t="s">
        <v>51</v>
      </c>
      <c r="AE564" s="22">
        <f>VLOOKUP(TablaCalificaciones[[#This Row],[Diapositivas como apoyo]],PESOS!A$25:B$29,2,0)</f>
        <v>8</v>
      </c>
      <c r="AF564" s="1"/>
      <c r="AG564" s="1" t="s">
        <v>45</v>
      </c>
      <c r="AH564" s="22">
        <f>VLOOKUP(TablaCalificaciones[[#This Row],[Respuestas a preguntas]],PESOS!A$25:B$29,2,0)</f>
        <v>10</v>
      </c>
      <c r="AI564" s="1"/>
      <c r="AJ564" s="1" t="s">
        <v>45</v>
      </c>
      <c r="AK564" s="22">
        <f>VLOOKUP(TablaCalificaciones[[#This Row],[Cierre: aporte a próximos pasos]],PESOS!A$25:B$29,2,0)</f>
        <v>10</v>
      </c>
      <c r="AL564" s="1"/>
      <c r="AM564" s="1"/>
    </row>
    <row r="565" spans="1:39">
      <c r="A565">
        <v>581</v>
      </c>
      <c r="B565" s="2">
        <v>46138.822476851899</v>
      </c>
      <c r="C565" s="2">
        <v>46138.8230555556</v>
      </c>
      <c r="D565" s="1" t="s">
        <v>59</v>
      </c>
      <c r="E565" s="1" t="s">
        <v>60</v>
      </c>
      <c r="G565" s="1"/>
      <c r="H565" s="2"/>
      <c r="I565" s="1" t="s">
        <v>134</v>
      </c>
      <c r="K565" s="1"/>
      <c r="L565" s="1" t="s">
        <v>60</v>
      </c>
      <c r="M565" s="26" t="str">
        <f>CONCATENATE(TablaCalificaciones[[#This Row],[Seleccione su nombre (Evaluador)]],TablaCalificaciones[[#This Row],[Seleccione el nombre del Estudiante]])</f>
        <v>Santiago Leonardo SolórzanoGuerrón Barrera Gabriela Selene</v>
      </c>
      <c r="N565" s="1"/>
      <c r="O565" s="1" t="s">
        <v>327</v>
      </c>
      <c r="Q565" s="1"/>
      <c r="R565" s="1" t="s">
        <v>44</v>
      </c>
      <c r="S565" s="22">
        <f>VLOOKUP(TablaCalificaciones[[#This Row],[Apertura: problema y objetivo ]],PESOS!A$16:B$20,2,0)</f>
        <v>20</v>
      </c>
      <c r="T565" s="1"/>
      <c r="U565" s="1" t="s">
        <v>44</v>
      </c>
      <c r="V565" s="22">
        <f>VLOOKUP(TablaCalificaciones[[#This Row],[Metodología (nivel adecuado)]],PESOS!A$16:B$20,2,0)</f>
        <v>20</v>
      </c>
      <c r="W565" s="1"/>
      <c r="X565" s="1" t="s">
        <v>50</v>
      </c>
      <c r="Y565" s="22">
        <f>VLOOKUP(TablaCalificaciones[[#This Row],[Resultados y evidencia ]],PESOS!A$16:B$20,2,0)</f>
        <v>16</v>
      </c>
      <c r="Z565" s="1"/>
      <c r="AA565" s="1" t="s">
        <v>51</v>
      </c>
      <c r="AB565" s="22">
        <f>VLOOKUP(TablaCalificaciones[[#This Row],[Coherencia y manejo del tiempo]],PESOS!A$25:B$29,2,0)</f>
        <v>8</v>
      </c>
      <c r="AC565" s="1"/>
      <c r="AD565" s="1" t="s">
        <v>51</v>
      </c>
      <c r="AE565" s="22">
        <f>VLOOKUP(TablaCalificaciones[[#This Row],[Diapositivas como apoyo]],PESOS!A$25:B$29,2,0)</f>
        <v>8</v>
      </c>
      <c r="AF565" s="1"/>
      <c r="AG565" s="1" t="s">
        <v>51</v>
      </c>
      <c r="AH565" s="22">
        <f>VLOOKUP(TablaCalificaciones[[#This Row],[Respuestas a preguntas]],PESOS!A$25:B$29,2,0)</f>
        <v>8</v>
      </c>
      <c r="AI565" s="1"/>
      <c r="AJ565" s="1" t="s">
        <v>45</v>
      </c>
      <c r="AK565" s="22">
        <f>VLOOKUP(TablaCalificaciones[[#This Row],[Cierre: aporte a próximos pasos]],PESOS!A$25:B$29,2,0)</f>
        <v>10</v>
      </c>
      <c r="AL565" s="1"/>
      <c r="AM565" s="1"/>
    </row>
    <row r="566" spans="1:39">
      <c r="A566">
        <v>582</v>
      </c>
      <c r="B566" s="2">
        <v>46138.888749999998</v>
      </c>
      <c r="C566" s="2">
        <v>46138.8894560185</v>
      </c>
      <c r="D566" s="1" t="s">
        <v>154</v>
      </c>
      <c r="E566" s="1" t="s">
        <v>155</v>
      </c>
      <c r="G566" s="1"/>
      <c r="H566" s="2"/>
      <c r="I566" s="1" t="s">
        <v>134</v>
      </c>
      <c r="K566" s="1"/>
      <c r="L566" s="1" t="s">
        <v>155</v>
      </c>
      <c r="M566" s="26" t="str">
        <f>CONCATENATE(TablaCalificaciones[[#This Row],[Seleccione su nombre (Evaluador)]],TablaCalificaciones[[#This Row],[Seleccione el nombre del Estudiante]])</f>
        <v>Raul Vicente Paredes LoorLuzuriaga Bermeo Abigail Elizabeth</v>
      </c>
      <c r="N566" s="1"/>
      <c r="O566" s="1" t="s">
        <v>322</v>
      </c>
      <c r="Q566" s="1"/>
      <c r="R566" s="1" t="s">
        <v>44</v>
      </c>
      <c r="S566" s="22">
        <f>VLOOKUP(TablaCalificaciones[[#This Row],[Apertura: problema y objetivo ]],PESOS!A$16:B$20,2,0)</f>
        <v>20</v>
      </c>
      <c r="T566" s="1"/>
      <c r="U566" s="1" t="s">
        <v>44</v>
      </c>
      <c r="V566" s="22">
        <f>VLOOKUP(TablaCalificaciones[[#This Row],[Metodología (nivel adecuado)]],PESOS!A$16:B$20,2,0)</f>
        <v>20</v>
      </c>
      <c r="W566" s="1"/>
      <c r="X566" s="1" t="s">
        <v>44</v>
      </c>
      <c r="Y566" s="22">
        <f>VLOOKUP(TablaCalificaciones[[#This Row],[Resultados y evidencia ]],PESOS!A$16:B$20,2,0)</f>
        <v>20</v>
      </c>
      <c r="Z566" s="1"/>
      <c r="AA566" s="1" t="s">
        <v>45</v>
      </c>
      <c r="AB566" s="22">
        <f>VLOOKUP(TablaCalificaciones[[#This Row],[Coherencia y manejo del tiempo]],PESOS!A$25:B$29,2,0)</f>
        <v>10</v>
      </c>
      <c r="AC566" s="1"/>
      <c r="AD566" s="1" t="s">
        <v>45</v>
      </c>
      <c r="AE566" s="22">
        <f>VLOOKUP(TablaCalificaciones[[#This Row],[Diapositivas como apoyo]],PESOS!A$25:B$29,2,0)</f>
        <v>10</v>
      </c>
      <c r="AF566" s="1"/>
      <c r="AG566" s="1" t="s">
        <v>51</v>
      </c>
      <c r="AH566" s="22">
        <f>VLOOKUP(TablaCalificaciones[[#This Row],[Respuestas a preguntas]],PESOS!A$25:B$29,2,0)</f>
        <v>8</v>
      </c>
      <c r="AI566" s="1"/>
      <c r="AJ566" s="1" t="s">
        <v>45</v>
      </c>
      <c r="AK566" s="22">
        <f>VLOOKUP(TablaCalificaciones[[#This Row],[Cierre: aporte a próximos pasos]],PESOS!A$25:B$29,2,0)</f>
        <v>10</v>
      </c>
      <c r="AL566" s="1"/>
      <c r="AM566" s="1"/>
    </row>
    <row r="567" spans="1:39">
      <c r="A567">
        <v>583</v>
      </c>
      <c r="B567" s="2">
        <v>46138.889525462997</v>
      </c>
      <c r="C567" s="2">
        <v>46138.891018518501</v>
      </c>
      <c r="D567" s="1" t="s">
        <v>154</v>
      </c>
      <c r="E567" s="1" t="s">
        <v>155</v>
      </c>
      <c r="G567" s="1"/>
      <c r="H567" s="2"/>
      <c r="I567" s="1" t="s">
        <v>134</v>
      </c>
      <c r="K567" s="1"/>
      <c r="L567" s="1" t="s">
        <v>155</v>
      </c>
      <c r="M567" s="26" t="str">
        <f>CONCATENATE(TablaCalificaciones[[#This Row],[Seleccione su nombre (Evaluador)]],TablaCalificaciones[[#This Row],[Seleccione el nombre del Estudiante]])</f>
        <v>Raul Vicente Paredes LoorMoreno Rivera Danny Javier</v>
      </c>
      <c r="N567" s="1"/>
      <c r="O567" s="1" t="s">
        <v>323</v>
      </c>
      <c r="Q567" s="1"/>
      <c r="R567" s="1" t="s">
        <v>44</v>
      </c>
      <c r="S567" s="22">
        <f>VLOOKUP(TablaCalificaciones[[#This Row],[Apertura: problema y objetivo ]],PESOS!A$16:B$20,2,0)</f>
        <v>20</v>
      </c>
      <c r="T567" s="1"/>
      <c r="U567" s="1" t="s">
        <v>44</v>
      </c>
      <c r="V567" s="22">
        <f>VLOOKUP(TablaCalificaciones[[#This Row],[Metodología (nivel adecuado)]],PESOS!A$16:B$20,2,0)</f>
        <v>20</v>
      </c>
      <c r="W567" s="1"/>
      <c r="X567" s="1" t="s">
        <v>44</v>
      </c>
      <c r="Y567" s="22">
        <f>VLOOKUP(TablaCalificaciones[[#This Row],[Resultados y evidencia ]],PESOS!A$16:B$20,2,0)</f>
        <v>20</v>
      </c>
      <c r="Z567" s="1"/>
      <c r="AA567" s="1" t="s">
        <v>45</v>
      </c>
      <c r="AB567" s="22">
        <f>VLOOKUP(TablaCalificaciones[[#This Row],[Coherencia y manejo del tiempo]],PESOS!A$25:B$29,2,0)</f>
        <v>10</v>
      </c>
      <c r="AC567" s="1"/>
      <c r="AD567" s="1" t="s">
        <v>45</v>
      </c>
      <c r="AE567" s="22">
        <f>VLOOKUP(TablaCalificaciones[[#This Row],[Diapositivas como apoyo]],PESOS!A$25:B$29,2,0)</f>
        <v>10</v>
      </c>
      <c r="AF567" s="1"/>
      <c r="AG567" s="1" t="s">
        <v>51</v>
      </c>
      <c r="AH567" s="22">
        <f>VLOOKUP(TablaCalificaciones[[#This Row],[Respuestas a preguntas]],PESOS!A$25:B$29,2,0)</f>
        <v>8</v>
      </c>
      <c r="AI567" s="1"/>
      <c r="AJ567" s="1" t="s">
        <v>45</v>
      </c>
      <c r="AK567" s="22">
        <f>VLOOKUP(TablaCalificaciones[[#This Row],[Cierre: aporte a próximos pasos]],PESOS!A$25:B$29,2,0)</f>
        <v>10</v>
      </c>
      <c r="AL567" s="1"/>
      <c r="AM567" s="1"/>
    </row>
    <row r="568" spans="1:39">
      <c r="A568">
        <v>584</v>
      </c>
      <c r="B568" s="2">
        <v>46138.891041666699</v>
      </c>
      <c r="C568" s="2">
        <v>46138.891493055598</v>
      </c>
      <c r="D568" s="1" t="s">
        <v>154</v>
      </c>
      <c r="E568" s="1" t="s">
        <v>155</v>
      </c>
      <c r="G568" s="1"/>
      <c r="H568" s="2"/>
      <c r="I568" s="1" t="s">
        <v>134</v>
      </c>
      <c r="K568" s="1"/>
      <c r="L568" s="1" t="s">
        <v>155</v>
      </c>
      <c r="M568" s="26" t="str">
        <f>CONCATENATE(TablaCalificaciones[[#This Row],[Seleccione su nombre (Evaluador)]],TablaCalificaciones[[#This Row],[Seleccione el nombre del Estudiante]])</f>
        <v>Raul Vicente Paredes LoorViteri Sánchez Cristina Belén</v>
      </c>
      <c r="N568" s="1"/>
      <c r="O568" s="1" t="s">
        <v>324</v>
      </c>
      <c r="Q568" s="1"/>
      <c r="R568" s="1" t="s">
        <v>44</v>
      </c>
      <c r="S568" s="22">
        <f>VLOOKUP(TablaCalificaciones[[#This Row],[Apertura: problema y objetivo ]],PESOS!A$16:B$20,2,0)</f>
        <v>20</v>
      </c>
      <c r="T568" s="1"/>
      <c r="U568" s="1" t="s">
        <v>44</v>
      </c>
      <c r="V568" s="22">
        <f>VLOOKUP(TablaCalificaciones[[#This Row],[Metodología (nivel adecuado)]],PESOS!A$16:B$20,2,0)</f>
        <v>20</v>
      </c>
      <c r="W568" s="1"/>
      <c r="X568" s="1" t="s">
        <v>44</v>
      </c>
      <c r="Y568" s="22">
        <f>VLOOKUP(TablaCalificaciones[[#This Row],[Resultados y evidencia ]],PESOS!A$16:B$20,2,0)</f>
        <v>20</v>
      </c>
      <c r="Z568" s="1"/>
      <c r="AA568" s="1" t="s">
        <v>45</v>
      </c>
      <c r="AB568" s="22">
        <f>VLOOKUP(TablaCalificaciones[[#This Row],[Coherencia y manejo del tiempo]],PESOS!A$25:B$29,2,0)</f>
        <v>10</v>
      </c>
      <c r="AC568" s="1"/>
      <c r="AD568" s="1" t="s">
        <v>45</v>
      </c>
      <c r="AE568" s="22">
        <f>VLOOKUP(TablaCalificaciones[[#This Row],[Diapositivas como apoyo]],PESOS!A$25:B$29,2,0)</f>
        <v>10</v>
      </c>
      <c r="AF568" s="1"/>
      <c r="AG568" s="1" t="s">
        <v>51</v>
      </c>
      <c r="AH568" s="22">
        <f>VLOOKUP(TablaCalificaciones[[#This Row],[Respuestas a preguntas]],PESOS!A$25:B$29,2,0)</f>
        <v>8</v>
      </c>
      <c r="AI568" s="1"/>
      <c r="AJ568" s="1" t="s">
        <v>45</v>
      </c>
      <c r="AK568" s="22">
        <f>VLOOKUP(TablaCalificaciones[[#This Row],[Cierre: aporte a próximos pasos]],PESOS!A$25:B$29,2,0)</f>
        <v>10</v>
      </c>
      <c r="AL568" s="1"/>
      <c r="AM568" s="1"/>
    </row>
    <row r="569" spans="1:39">
      <c r="A569">
        <v>585</v>
      </c>
      <c r="B569" s="2">
        <v>46138.891550925902</v>
      </c>
      <c r="C569" s="2">
        <v>46138.8918865741</v>
      </c>
      <c r="D569" s="1" t="s">
        <v>154</v>
      </c>
      <c r="E569" s="1" t="s">
        <v>155</v>
      </c>
      <c r="G569" s="1"/>
      <c r="H569" s="2"/>
      <c r="I569" s="1" t="s">
        <v>134</v>
      </c>
      <c r="K569" s="1"/>
      <c r="L569" s="1" t="s">
        <v>155</v>
      </c>
      <c r="M569" s="26" t="str">
        <f>CONCATENATE(TablaCalificaciones[[#This Row],[Seleccione su nombre (Evaluador)]],TablaCalificaciones[[#This Row],[Seleccione el nombre del Estudiante]])</f>
        <v>Raul Vicente Paredes LoorBaquerizo Trujillo Julián Darío</v>
      </c>
      <c r="N569" s="1"/>
      <c r="O569" s="1" t="s">
        <v>319</v>
      </c>
      <c r="Q569" s="1"/>
      <c r="R569" s="1" t="s">
        <v>44</v>
      </c>
      <c r="S569" s="22">
        <f>VLOOKUP(TablaCalificaciones[[#This Row],[Apertura: problema y objetivo ]],PESOS!A$16:B$20,2,0)</f>
        <v>20</v>
      </c>
      <c r="T569" s="1"/>
      <c r="U569" s="1" t="s">
        <v>44</v>
      </c>
      <c r="V569" s="22">
        <f>VLOOKUP(TablaCalificaciones[[#This Row],[Metodología (nivel adecuado)]],PESOS!A$16:B$20,2,0)</f>
        <v>20</v>
      </c>
      <c r="W569" s="1"/>
      <c r="X569" s="1" t="s">
        <v>44</v>
      </c>
      <c r="Y569" s="22">
        <f>VLOOKUP(TablaCalificaciones[[#This Row],[Resultados y evidencia ]],PESOS!A$16:B$20,2,0)</f>
        <v>20</v>
      </c>
      <c r="Z569" s="1"/>
      <c r="AA569" s="1" t="s">
        <v>45</v>
      </c>
      <c r="AB569" s="22">
        <f>VLOOKUP(TablaCalificaciones[[#This Row],[Coherencia y manejo del tiempo]],PESOS!A$25:B$29,2,0)</f>
        <v>10</v>
      </c>
      <c r="AC569" s="1"/>
      <c r="AD569" s="1" t="s">
        <v>45</v>
      </c>
      <c r="AE569" s="22">
        <f>VLOOKUP(TablaCalificaciones[[#This Row],[Diapositivas como apoyo]],PESOS!A$25:B$29,2,0)</f>
        <v>10</v>
      </c>
      <c r="AF569" s="1"/>
      <c r="AG569" s="1" t="s">
        <v>51</v>
      </c>
      <c r="AH569" s="22">
        <f>VLOOKUP(TablaCalificaciones[[#This Row],[Respuestas a preguntas]],PESOS!A$25:B$29,2,0)</f>
        <v>8</v>
      </c>
      <c r="AI569" s="1"/>
      <c r="AJ569" s="1" t="s">
        <v>45</v>
      </c>
      <c r="AK569" s="22">
        <f>VLOOKUP(TablaCalificaciones[[#This Row],[Cierre: aporte a próximos pasos]],PESOS!A$25:B$29,2,0)</f>
        <v>10</v>
      </c>
      <c r="AL569" s="1"/>
      <c r="AM569" s="1"/>
    </row>
    <row r="570" spans="1:39">
      <c r="A570">
        <v>586</v>
      </c>
      <c r="B570" s="2">
        <v>46138.891909722202</v>
      </c>
      <c r="C570" s="2">
        <v>46138.892303240696</v>
      </c>
      <c r="D570" s="1" t="s">
        <v>154</v>
      </c>
      <c r="E570" s="1" t="s">
        <v>155</v>
      </c>
      <c r="G570" s="1"/>
      <c r="H570" s="2"/>
      <c r="I570" s="1" t="s">
        <v>134</v>
      </c>
      <c r="K570" s="1"/>
      <c r="L570" s="1" t="s">
        <v>155</v>
      </c>
      <c r="M570" s="26" t="str">
        <f>CONCATENATE(TablaCalificaciones[[#This Row],[Seleccione su nombre (Evaluador)]],TablaCalificaciones[[#This Row],[Seleccione el nombre del Estudiante]])</f>
        <v>Raul Vicente Paredes LoorParedes Betancourt Inés María</v>
      </c>
      <c r="N570" s="1"/>
      <c r="O570" s="1" t="s">
        <v>320</v>
      </c>
      <c r="Q570" s="1"/>
      <c r="R570" s="1" t="s">
        <v>44</v>
      </c>
      <c r="S570" s="22">
        <f>VLOOKUP(TablaCalificaciones[[#This Row],[Apertura: problema y objetivo ]],PESOS!A$16:B$20,2,0)</f>
        <v>20</v>
      </c>
      <c r="T570" s="1"/>
      <c r="U570" s="1" t="s">
        <v>44</v>
      </c>
      <c r="V570" s="22">
        <f>VLOOKUP(TablaCalificaciones[[#This Row],[Metodología (nivel adecuado)]],PESOS!A$16:B$20,2,0)</f>
        <v>20</v>
      </c>
      <c r="W570" s="1"/>
      <c r="X570" s="1" t="s">
        <v>44</v>
      </c>
      <c r="Y570" s="22">
        <f>VLOOKUP(TablaCalificaciones[[#This Row],[Resultados y evidencia ]],PESOS!A$16:B$20,2,0)</f>
        <v>20</v>
      </c>
      <c r="Z570" s="1"/>
      <c r="AA570" s="1" t="s">
        <v>45</v>
      </c>
      <c r="AB570" s="22">
        <f>VLOOKUP(TablaCalificaciones[[#This Row],[Coherencia y manejo del tiempo]],PESOS!A$25:B$29,2,0)</f>
        <v>10</v>
      </c>
      <c r="AC570" s="1"/>
      <c r="AD570" s="1" t="s">
        <v>45</v>
      </c>
      <c r="AE570" s="22">
        <f>VLOOKUP(TablaCalificaciones[[#This Row],[Diapositivas como apoyo]],PESOS!A$25:B$29,2,0)</f>
        <v>10</v>
      </c>
      <c r="AF570" s="1"/>
      <c r="AG570" s="1" t="s">
        <v>51</v>
      </c>
      <c r="AH570" s="22">
        <f>VLOOKUP(TablaCalificaciones[[#This Row],[Respuestas a preguntas]],PESOS!A$25:B$29,2,0)</f>
        <v>8</v>
      </c>
      <c r="AI570" s="1"/>
      <c r="AJ570" s="1" t="s">
        <v>45</v>
      </c>
      <c r="AK570" s="22">
        <f>VLOOKUP(TablaCalificaciones[[#This Row],[Cierre: aporte a próximos pasos]],PESOS!A$25:B$29,2,0)</f>
        <v>10</v>
      </c>
      <c r="AL570" s="1"/>
      <c r="AM570" s="1"/>
    </row>
    <row r="571" spans="1:39">
      <c r="A571">
        <v>587</v>
      </c>
      <c r="B571" s="2">
        <v>46138.892349537004</v>
      </c>
      <c r="C571" s="2">
        <v>46138.892685185201</v>
      </c>
      <c r="D571" s="1" t="s">
        <v>154</v>
      </c>
      <c r="E571" s="1" t="s">
        <v>155</v>
      </c>
      <c r="G571" s="1"/>
      <c r="H571" s="2"/>
      <c r="I571" s="1" t="s">
        <v>134</v>
      </c>
      <c r="K571" s="1"/>
      <c r="L571" s="1" t="s">
        <v>155</v>
      </c>
      <c r="M571" s="26" t="str">
        <f>CONCATENATE(TablaCalificaciones[[#This Row],[Seleccione su nombre (Evaluador)]],TablaCalificaciones[[#This Row],[Seleccione el nombre del Estudiante]])</f>
        <v>Raul Vicente Paredes LoorRojas Calero César Augusto</v>
      </c>
      <c r="N571" s="1"/>
      <c r="O571" s="1" t="s">
        <v>321</v>
      </c>
      <c r="Q571" s="1"/>
      <c r="R571" s="1" t="s">
        <v>44</v>
      </c>
      <c r="S571" s="22">
        <f>VLOOKUP(TablaCalificaciones[[#This Row],[Apertura: problema y objetivo ]],PESOS!A$16:B$20,2,0)</f>
        <v>20</v>
      </c>
      <c r="T571" s="1"/>
      <c r="U571" s="1" t="s">
        <v>44</v>
      </c>
      <c r="V571" s="22">
        <f>VLOOKUP(TablaCalificaciones[[#This Row],[Metodología (nivel adecuado)]],PESOS!A$16:B$20,2,0)</f>
        <v>20</v>
      </c>
      <c r="W571" s="1"/>
      <c r="X571" s="1" t="s">
        <v>44</v>
      </c>
      <c r="Y571" s="22">
        <f>VLOOKUP(TablaCalificaciones[[#This Row],[Resultados y evidencia ]],PESOS!A$16:B$20,2,0)</f>
        <v>20</v>
      </c>
      <c r="Z571" s="1"/>
      <c r="AA571" s="1" t="s">
        <v>45</v>
      </c>
      <c r="AB571" s="22">
        <f>VLOOKUP(TablaCalificaciones[[#This Row],[Coherencia y manejo del tiempo]],PESOS!A$25:B$29,2,0)</f>
        <v>10</v>
      </c>
      <c r="AC571" s="1"/>
      <c r="AD571" s="1" t="s">
        <v>45</v>
      </c>
      <c r="AE571" s="22">
        <f>VLOOKUP(TablaCalificaciones[[#This Row],[Diapositivas como apoyo]],PESOS!A$25:B$29,2,0)</f>
        <v>10</v>
      </c>
      <c r="AF571" s="1"/>
      <c r="AG571" s="1" t="s">
        <v>51</v>
      </c>
      <c r="AH571" s="22">
        <f>VLOOKUP(TablaCalificaciones[[#This Row],[Respuestas a preguntas]],PESOS!A$25:B$29,2,0)</f>
        <v>8</v>
      </c>
      <c r="AI571" s="1"/>
      <c r="AJ571" s="1" t="s">
        <v>45</v>
      </c>
      <c r="AK571" s="22">
        <f>VLOOKUP(TablaCalificaciones[[#This Row],[Cierre: aporte a próximos pasos]],PESOS!A$25:B$29,2,0)</f>
        <v>10</v>
      </c>
      <c r="AL571" s="1"/>
      <c r="AM571" s="1"/>
    </row>
    <row r="572" spans="1:39">
      <c r="A572">
        <v>588</v>
      </c>
      <c r="B572" s="2">
        <v>46138.892708333296</v>
      </c>
      <c r="C572" s="2">
        <v>46138.8930555556</v>
      </c>
      <c r="D572" s="1" t="s">
        <v>154</v>
      </c>
      <c r="E572" s="1" t="s">
        <v>155</v>
      </c>
      <c r="G572" s="1"/>
      <c r="H572" s="2"/>
      <c r="I572" s="1" t="s">
        <v>134</v>
      </c>
      <c r="K572" s="1"/>
      <c r="L572" s="1" t="s">
        <v>155</v>
      </c>
      <c r="M572" s="26" t="str">
        <f>CONCATENATE(TablaCalificaciones[[#This Row],[Seleccione su nombre (Evaluador)]],TablaCalificaciones[[#This Row],[Seleccione el nombre del Estudiante]])</f>
        <v>Raul Vicente Paredes LoorAcosta Polanco Álvaro Marcelo</v>
      </c>
      <c r="N572" s="1"/>
      <c r="O572" s="1" t="s">
        <v>334</v>
      </c>
      <c r="Q572" s="1"/>
      <c r="R572" s="1" t="s">
        <v>44</v>
      </c>
      <c r="S572" s="22">
        <f>VLOOKUP(TablaCalificaciones[[#This Row],[Apertura: problema y objetivo ]],PESOS!A$16:B$20,2,0)</f>
        <v>20</v>
      </c>
      <c r="T572" s="1"/>
      <c r="U572" s="1" t="s">
        <v>44</v>
      </c>
      <c r="V572" s="22">
        <f>VLOOKUP(TablaCalificaciones[[#This Row],[Metodología (nivel adecuado)]],PESOS!A$16:B$20,2,0)</f>
        <v>20</v>
      </c>
      <c r="W572" s="1"/>
      <c r="X572" s="1" t="s">
        <v>44</v>
      </c>
      <c r="Y572" s="22">
        <f>VLOOKUP(TablaCalificaciones[[#This Row],[Resultados y evidencia ]],PESOS!A$16:B$20,2,0)</f>
        <v>20</v>
      </c>
      <c r="Z572" s="1"/>
      <c r="AA572" s="1" t="s">
        <v>45</v>
      </c>
      <c r="AB572" s="22">
        <f>VLOOKUP(TablaCalificaciones[[#This Row],[Coherencia y manejo del tiempo]],PESOS!A$25:B$29,2,0)</f>
        <v>10</v>
      </c>
      <c r="AC572" s="1"/>
      <c r="AD572" s="1" t="s">
        <v>45</v>
      </c>
      <c r="AE572" s="22">
        <f>VLOOKUP(TablaCalificaciones[[#This Row],[Diapositivas como apoyo]],PESOS!A$25:B$29,2,0)</f>
        <v>10</v>
      </c>
      <c r="AF572" s="1"/>
      <c r="AG572" s="1" t="s">
        <v>51</v>
      </c>
      <c r="AH572" s="22">
        <f>VLOOKUP(TablaCalificaciones[[#This Row],[Respuestas a preguntas]],PESOS!A$25:B$29,2,0)</f>
        <v>8</v>
      </c>
      <c r="AI572" s="1"/>
      <c r="AJ572" s="1" t="s">
        <v>45</v>
      </c>
      <c r="AK572" s="22">
        <f>VLOOKUP(TablaCalificaciones[[#This Row],[Cierre: aporte a próximos pasos]],PESOS!A$25:B$29,2,0)</f>
        <v>10</v>
      </c>
      <c r="AL572" s="1"/>
      <c r="AM572" s="1"/>
    </row>
    <row r="573" spans="1:39">
      <c r="A573">
        <v>589</v>
      </c>
      <c r="B573" s="2">
        <v>46138.893067129597</v>
      </c>
      <c r="C573" s="2">
        <v>46138.893460648098</v>
      </c>
      <c r="D573" s="1" t="s">
        <v>154</v>
      </c>
      <c r="E573" s="1" t="s">
        <v>155</v>
      </c>
      <c r="G573" s="1"/>
      <c r="H573" s="2"/>
      <c r="I573" s="1" t="s">
        <v>134</v>
      </c>
      <c r="K573" s="1"/>
      <c r="L573" s="1" t="s">
        <v>155</v>
      </c>
      <c r="M573" s="26" t="str">
        <f>CONCATENATE(TablaCalificaciones[[#This Row],[Seleccione su nombre (Evaluador)]],TablaCalificaciones[[#This Row],[Seleccione el nombre del Estudiante]])</f>
        <v>Raul Vicente Paredes LoorCerón Oñate Guillermo Andrés</v>
      </c>
      <c r="N573" s="1"/>
      <c r="O573" s="1" t="s">
        <v>335</v>
      </c>
      <c r="Q573" s="1"/>
      <c r="R573" s="1" t="s">
        <v>44</v>
      </c>
      <c r="S573" s="22">
        <f>VLOOKUP(TablaCalificaciones[[#This Row],[Apertura: problema y objetivo ]],PESOS!A$16:B$20,2,0)</f>
        <v>20</v>
      </c>
      <c r="T573" s="1"/>
      <c r="U573" s="1" t="s">
        <v>44</v>
      </c>
      <c r="V573" s="22">
        <f>VLOOKUP(TablaCalificaciones[[#This Row],[Metodología (nivel adecuado)]],PESOS!A$16:B$20,2,0)</f>
        <v>20</v>
      </c>
      <c r="W573" s="1"/>
      <c r="X573" s="1" t="s">
        <v>44</v>
      </c>
      <c r="Y573" s="22">
        <f>VLOOKUP(TablaCalificaciones[[#This Row],[Resultados y evidencia ]],PESOS!A$16:B$20,2,0)</f>
        <v>20</v>
      </c>
      <c r="Z573" s="1"/>
      <c r="AA573" s="1" t="s">
        <v>45</v>
      </c>
      <c r="AB573" s="22">
        <f>VLOOKUP(TablaCalificaciones[[#This Row],[Coherencia y manejo del tiempo]],PESOS!A$25:B$29,2,0)</f>
        <v>10</v>
      </c>
      <c r="AC573" s="1"/>
      <c r="AD573" s="1" t="s">
        <v>45</v>
      </c>
      <c r="AE573" s="22">
        <f>VLOOKUP(TablaCalificaciones[[#This Row],[Diapositivas como apoyo]],PESOS!A$25:B$29,2,0)</f>
        <v>10</v>
      </c>
      <c r="AF573" s="1"/>
      <c r="AG573" s="1" t="s">
        <v>51</v>
      </c>
      <c r="AH573" s="22">
        <f>VLOOKUP(TablaCalificaciones[[#This Row],[Respuestas a preguntas]],PESOS!A$25:B$29,2,0)</f>
        <v>8</v>
      </c>
      <c r="AI573" s="1"/>
      <c r="AJ573" s="1" t="s">
        <v>45</v>
      </c>
      <c r="AK573" s="22">
        <f>VLOOKUP(TablaCalificaciones[[#This Row],[Cierre: aporte a próximos pasos]],PESOS!A$25:B$29,2,0)</f>
        <v>10</v>
      </c>
      <c r="AL573" s="1"/>
      <c r="AM573" s="1"/>
    </row>
    <row r="574" spans="1:39">
      <c r="A574">
        <v>590</v>
      </c>
      <c r="B574" s="2">
        <v>46138.893483796302</v>
      </c>
      <c r="C574" s="2">
        <v>46138.893958333298</v>
      </c>
      <c r="D574" s="1" t="s">
        <v>154</v>
      </c>
      <c r="E574" s="1" t="s">
        <v>155</v>
      </c>
      <c r="G574" s="1"/>
      <c r="H574" s="2"/>
      <c r="I574" s="1" t="s">
        <v>134</v>
      </c>
      <c r="K574" s="1"/>
      <c r="L574" s="1" t="s">
        <v>155</v>
      </c>
      <c r="M574" s="26" t="str">
        <f>CONCATENATE(TablaCalificaciones[[#This Row],[Seleccione su nombre (Evaluador)]],TablaCalificaciones[[#This Row],[Seleccione el nombre del Estudiante]])</f>
        <v>Raul Vicente Paredes LoorDelgado Ureta Erika Cecibel</v>
      </c>
      <c r="N574" s="1"/>
      <c r="O574" s="1" t="s">
        <v>336</v>
      </c>
      <c r="Q574" s="1"/>
      <c r="R574" s="1" t="s">
        <v>44</v>
      </c>
      <c r="S574" s="22">
        <f>VLOOKUP(TablaCalificaciones[[#This Row],[Apertura: problema y objetivo ]],PESOS!A$16:B$20,2,0)</f>
        <v>20</v>
      </c>
      <c r="T574" s="1"/>
      <c r="U574" s="1" t="s">
        <v>44</v>
      </c>
      <c r="V574" s="22">
        <f>VLOOKUP(TablaCalificaciones[[#This Row],[Metodología (nivel adecuado)]],PESOS!A$16:B$20,2,0)</f>
        <v>20</v>
      </c>
      <c r="W574" s="1"/>
      <c r="X574" s="1" t="s">
        <v>44</v>
      </c>
      <c r="Y574" s="22">
        <f>VLOOKUP(TablaCalificaciones[[#This Row],[Resultados y evidencia ]],PESOS!A$16:B$20,2,0)</f>
        <v>20</v>
      </c>
      <c r="Z574" s="1"/>
      <c r="AA574" s="1" t="s">
        <v>45</v>
      </c>
      <c r="AB574" s="22">
        <f>VLOOKUP(TablaCalificaciones[[#This Row],[Coherencia y manejo del tiempo]],PESOS!A$25:B$29,2,0)</f>
        <v>10</v>
      </c>
      <c r="AC574" s="1"/>
      <c r="AD574" s="1" t="s">
        <v>45</v>
      </c>
      <c r="AE574" s="22">
        <f>VLOOKUP(TablaCalificaciones[[#This Row],[Diapositivas como apoyo]],PESOS!A$25:B$29,2,0)</f>
        <v>10</v>
      </c>
      <c r="AF574" s="1"/>
      <c r="AG574" s="1" t="s">
        <v>51</v>
      </c>
      <c r="AH574" s="22">
        <f>VLOOKUP(TablaCalificaciones[[#This Row],[Respuestas a preguntas]],PESOS!A$25:B$29,2,0)</f>
        <v>8</v>
      </c>
      <c r="AI574" s="1"/>
      <c r="AJ574" s="1" t="s">
        <v>45</v>
      </c>
      <c r="AK574" s="22">
        <f>VLOOKUP(TablaCalificaciones[[#This Row],[Cierre: aporte a próximos pasos]],PESOS!A$25:B$29,2,0)</f>
        <v>10</v>
      </c>
      <c r="AL574" s="1"/>
      <c r="AM574" s="1"/>
    </row>
    <row r="575" spans="1:39">
      <c r="A575">
        <v>591</v>
      </c>
      <c r="B575" s="2">
        <v>46138.909212963001</v>
      </c>
      <c r="C575" s="2">
        <v>46138.909699074102</v>
      </c>
      <c r="D575" s="1" t="s">
        <v>154</v>
      </c>
      <c r="E575" s="1" t="s">
        <v>155</v>
      </c>
      <c r="G575" s="1"/>
      <c r="H575" s="2"/>
      <c r="I575" s="1" t="s">
        <v>229</v>
      </c>
      <c r="K575" s="1"/>
      <c r="L575" s="1" t="s">
        <v>155</v>
      </c>
      <c r="M575" s="26" t="str">
        <f>CONCATENATE(TablaCalificaciones[[#This Row],[Seleccione su nombre (Evaluador)]],TablaCalificaciones[[#This Row],[Seleccione el nombre del Estudiante]])</f>
        <v>Raul Vicente Paredes LoorJiménez Soto Luis Javier</v>
      </c>
      <c r="N575" s="1"/>
      <c r="O575" s="1" t="s">
        <v>245</v>
      </c>
      <c r="Q575" s="1"/>
      <c r="R575" s="1" t="s">
        <v>44</v>
      </c>
      <c r="S575" s="22">
        <f>VLOOKUP(TablaCalificaciones[[#This Row],[Apertura: problema y objetivo ]],PESOS!A$16:B$20,2,0)</f>
        <v>20</v>
      </c>
      <c r="T575" s="1"/>
      <c r="U575" s="1" t="s">
        <v>44</v>
      </c>
      <c r="V575" s="22">
        <f>VLOOKUP(TablaCalificaciones[[#This Row],[Metodología (nivel adecuado)]],PESOS!A$16:B$20,2,0)</f>
        <v>20</v>
      </c>
      <c r="W575" s="1"/>
      <c r="X575" s="1" t="s">
        <v>44</v>
      </c>
      <c r="Y575" s="22">
        <f>VLOOKUP(TablaCalificaciones[[#This Row],[Resultados y evidencia ]],PESOS!A$16:B$20,2,0)</f>
        <v>20</v>
      </c>
      <c r="Z575" s="1"/>
      <c r="AA575" s="1" t="s">
        <v>45</v>
      </c>
      <c r="AB575" s="22">
        <f>VLOOKUP(TablaCalificaciones[[#This Row],[Coherencia y manejo del tiempo]],PESOS!A$25:B$29,2,0)</f>
        <v>10</v>
      </c>
      <c r="AC575" s="1"/>
      <c r="AD575" s="1" t="s">
        <v>45</v>
      </c>
      <c r="AE575" s="22">
        <f>VLOOKUP(TablaCalificaciones[[#This Row],[Diapositivas como apoyo]],PESOS!A$25:B$29,2,0)</f>
        <v>10</v>
      </c>
      <c r="AF575" s="1"/>
      <c r="AG575" s="1" t="s">
        <v>51</v>
      </c>
      <c r="AH575" s="22">
        <f>VLOOKUP(TablaCalificaciones[[#This Row],[Respuestas a preguntas]],PESOS!A$25:B$29,2,0)</f>
        <v>8</v>
      </c>
      <c r="AI575" s="1"/>
      <c r="AJ575" s="1" t="s">
        <v>45</v>
      </c>
      <c r="AK575" s="22">
        <f>VLOOKUP(TablaCalificaciones[[#This Row],[Cierre: aporte a próximos pasos]],PESOS!A$25:B$29,2,0)</f>
        <v>10</v>
      </c>
      <c r="AL575" s="1"/>
      <c r="AM575" s="1"/>
    </row>
    <row r="576" spans="1:39">
      <c r="A576">
        <v>592</v>
      </c>
      <c r="B576" s="2">
        <v>46138.909722222197</v>
      </c>
      <c r="C576" s="2">
        <v>46138.910023148099</v>
      </c>
      <c r="D576" s="1" t="s">
        <v>154</v>
      </c>
      <c r="E576" s="1" t="s">
        <v>155</v>
      </c>
      <c r="G576" s="1"/>
      <c r="H576" s="2"/>
      <c r="I576" s="1" t="s">
        <v>229</v>
      </c>
      <c r="K576" s="1"/>
      <c r="L576" s="1" t="s">
        <v>155</v>
      </c>
      <c r="M576" s="26" t="str">
        <f>CONCATENATE(TablaCalificaciones[[#This Row],[Seleccione su nombre (Evaluador)]],TablaCalificaciones[[#This Row],[Seleccione el nombre del Estudiante]])</f>
        <v>Raul Vicente Paredes LoorViteri Mesías Fabián Nicolás</v>
      </c>
      <c r="N576" s="1"/>
      <c r="O576" s="1" t="s">
        <v>244</v>
      </c>
      <c r="Q576" s="1"/>
      <c r="R576" s="1" t="s">
        <v>44</v>
      </c>
      <c r="S576" s="22">
        <f>VLOOKUP(TablaCalificaciones[[#This Row],[Apertura: problema y objetivo ]],PESOS!A$16:B$20,2,0)</f>
        <v>20</v>
      </c>
      <c r="T576" s="1"/>
      <c r="U576" s="1" t="s">
        <v>44</v>
      </c>
      <c r="V576" s="22">
        <f>VLOOKUP(TablaCalificaciones[[#This Row],[Metodología (nivel adecuado)]],PESOS!A$16:B$20,2,0)</f>
        <v>20</v>
      </c>
      <c r="W576" s="1"/>
      <c r="X576" s="1" t="s">
        <v>44</v>
      </c>
      <c r="Y576" s="22">
        <f>VLOOKUP(TablaCalificaciones[[#This Row],[Resultados y evidencia ]],PESOS!A$16:B$20,2,0)</f>
        <v>20</v>
      </c>
      <c r="Z576" s="1"/>
      <c r="AA576" s="1" t="s">
        <v>45</v>
      </c>
      <c r="AB576" s="22">
        <f>VLOOKUP(TablaCalificaciones[[#This Row],[Coherencia y manejo del tiempo]],PESOS!A$25:B$29,2,0)</f>
        <v>10</v>
      </c>
      <c r="AC576" s="1"/>
      <c r="AD576" s="1" t="s">
        <v>45</v>
      </c>
      <c r="AE576" s="22">
        <f>VLOOKUP(TablaCalificaciones[[#This Row],[Diapositivas como apoyo]],PESOS!A$25:B$29,2,0)</f>
        <v>10</v>
      </c>
      <c r="AF576" s="1"/>
      <c r="AG576" s="1" t="s">
        <v>51</v>
      </c>
      <c r="AH576" s="22">
        <f>VLOOKUP(TablaCalificaciones[[#This Row],[Respuestas a preguntas]],PESOS!A$25:B$29,2,0)</f>
        <v>8</v>
      </c>
      <c r="AI576" s="1"/>
      <c r="AJ576" s="1" t="s">
        <v>45</v>
      </c>
      <c r="AK576" s="22">
        <f>VLOOKUP(TablaCalificaciones[[#This Row],[Cierre: aporte a próximos pasos]],PESOS!A$25:B$29,2,0)</f>
        <v>10</v>
      </c>
      <c r="AL576" s="1"/>
      <c r="AM576" s="1"/>
    </row>
    <row r="577" spans="1:39">
      <c r="A577">
        <v>593</v>
      </c>
      <c r="B577" s="2">
        <v>46139.290381944404</v>
      </c>
      <c r="C577" s="2">
        <v>46139.292291666701</v>
      </c>
      <c r="D577" s="1" t="s">
        <v>341</v>
      </c>
      <c r="E577" s="1" t="s">
        <v>342</v>
      </c>
      <c r="G577" s="1"/>
      <c r="H577" s="2"/>
      <c r="I577" s="1" t="s">
        <v>41</v>
      </c>
      <c r="K577" s="1"/>
      <c r="L577" s="1" t="s">
        <v>342</v>
      </c>
      <c r="M577" s="26" t="str">
        <f>CONCATENATE(TablaCalificaciones[[#This Row],[Seleccione su nombre (Evaluador)]],TablaCalificaciones[[#This Row],[Seleccione el nombre del Estudiante]])</f>
        <v>Mauricio RacinesHerrera Donoso María Isabel</v>
      </c>
      <c r="N577" s="1"/>
      <c r="O577" s="1" t="s">
        <v>130</v>
      </c>
      <c r="Q577" s="1"/>
      <c r="R577" s="1" t="s">
        <v>50</v>
      </c>
      <c r="S577" s="22">
        <f>VLOOKUP(TablaCalificaciones[[#This Row],[Apertura: problema y objetivo ]],PESOS!A$16:B$20,2,0)</f>
        <v>16</v>
      </c>
      <c r="T577" s="1"/>
      <c r="U577" s="1" t="s">
        <v>44</v>
      </c>
      <c r="V577" s="22">
        <f>VLOOKUP(TablaCalificaciones[[#This Row],[Metodología (nivel adecuado)]],PESOS!A$16:B$20,2,0)</f>
        <v>20</v>
      </c>
      <c r="W577" s="1"/>
      <c r="X577" s="1" t="s">
        <v>50</v>
      </c>
      <c r="Y577" s="22">
        <f>VLOOKUP(TablaCalificaciones[[#This Row],[Resultados y evidencia ]],PESOS!A$16:B$20,2,0)</f>
        <v>16</v>
      </c>
      <c r="Z577" s="1"/>
      <c r="AA577" s="1" t="s">
        <v>45</v>
      </c>
      <c r="AB577" s="22">
        <f>VLOOKUP(TablaCalificaciones[[#This Row],[Coherencia y manejo del tiempo]],PESOS!A$25:B$29,2,0)</f>
        <v>10</v>
      </c>
      <c r="AC577" s="1"/>
      <c r="AD577" s="1" t="s">
        <v>51</v>
      </c>
      <c r="AE577" s="22">
        <f>VLOOKUP(TablaCalificaciones[[#This Row],[Diapositivas como apoyo]],PESOS!A$25:B$29,2,0)</f>
        <v>8</v>
      </c>
      <c r="AF577" s="1"/>
      <c r="AG577" s="1" t="s">
        <v>51</v>
      </c>
      <c r="AH577" s="22">
        <f>VLOOKUP(TablaCalificaciones[[#This Row],[Respuestas a preguntas]],PESOS!A$25:B$29,2,0)</f>
        <v>8</v>
      </c>
      <c r="AI577" s="1"/>
      <c r="AJ577" s="1" t="s">
        <v>51</v>
      </c>
      <c r="AK577" s="22">
        <f>VLOOKUP(TablaCalificaciones[[#This Row],[Cierre: aporte a próximos pasos]],PESOS!A$25:B$29,2,0)</f>
        <v>8</v>
      </c>
      <c r="AL577" s="1"/>
      <c r="AM577" s="1"/>
    </row>
    <row r="578" spans="1:39">
      <c r="A578">
        <v>594</v>
      </c>
      <c r="B578" s="2">
        <v>46139.292326388902</v>
      </c>
      <c r="C578" s="2">
        <v>46139.293368055602</v>
      </c>
      <c r="D578" s="1" t="s">
        <v>341</v>
      </c>
      <c r="E578" s="1" t="s">
        <v>342</v>
      </c>
      <c r="G578" s="1"/>
      <c r="H578" s="2"/>
      <c r="I578" s="1" t="s">
        <v>41</v>
      </c>
      <c r="K578" s="1"/>
      <c r="L578" s="1" t="s">
        <v>342</v>
      </c>
      <c r="M578" s="26" t="str">
        <f>CONCATENATE(TablaCalificaciones[[#This Row],[Seleccione su nombre (Evaluador)]],TablaCalificaciones[[#This Row],[Seleccione el nombre del Estudiante]])</f>
        <v>Mauricio RacinesMuglisa Puma Kevin Israel</v>
      </c>
      <c r="N578" s="1"/>
      <c r="O578" s="1" t="s">
        <v>133</v>
      </c>
      <c r="Q578" s="1"/>
      <c r="R578" s="1" t="s">
        <v>50</v>
      </c>
      <c r="S578" s="22">
        <f>VLOOKUP(TablaCalificaciones[[#This Row],[Apertura: problema y objetivo ]],PESOS!A$16:B$20,2,0)</f>
        <v>16</v>
      </c>
      <c r="T578" s="1"/>
      <c r="U578" s="1" t="s">
        <v>44</v>
      </c>
      <c r="V578" s="22">
        <f>VLOOKUP(TablaCalificaciones[[#This Row],[Metodología (nivel adecuado)]],PESOS!A$16:B$20,2,0)</f>
        <v>20</v>
      </c>
      <c r="W578" s="1"/>
      <c r="X578" s="1" t="s">
        <v>50</v>
      </c>
      <c r="Y578" s="22">
        <f>VLOOKUP(TablaCalificaciones[[#This Row],[Resultados y evidencia ]],PESOS!A$16:B$20,2,0)</f>
        <v>16</v>
      </c>
      <c r="Z578" s="1"/>
      <c r="AA578" s="1" t="s">
        <v>45</v>
      </c>
      <c r="AB578" s="22">
        <f>VLOOKUP(TablaCalificaciones[[#This Row],[Coherencia y manejo del tiempo]],PESOS!A$25:B$29,2,0)</f>
        <v>10</v>
      </c>
      <c r="AC578" s="1"/>
      <c r="AD578" s="1" t="s">
        <v>45</v>
      </c>
      <c r="AE578" s="22">
        <f>VLOOKUP(TablaCalificaciones[[#This Row],[Diapositivas como apoyo]],PESOS!A$25:B$29,2,0)</f>
        <v>10</v>
      </c>
      <c r="AF578" s="1"/>
      <c r="AG578" s="1" t="s">
        <v>45</v>
      </c>
      <c r="AH578" s="22">
        <f>VLOOKUP(TablaCalificaciones[[#This Row],[Respuestas a preguntas]],PESOS!A$25:B$29,2,0)</f>
        <v>10</v>
      </c>
      <c r="AI578" s="1"/>
      <c r="AJ578" s="1" t="s">
        <v>51</v>
      </c>
      <c r="AK578" s="22">
        <f>VLOOKUP(TablaCalificaciones[[#This Row],[Cierre: aporte a próximos pasos]],PESOS!A$25:B$29,2,0)</f>
        <v>8</v>
      </c>
      <c r="AL578" s="1"/>
      <c r="AM578" s="1"/>
    </row>
    <row r="579" spans="1:39">
      <c r="A579">
        <v>595</v>
      </c>
      <c r="B579" s="2">
        <v>46139.293391203697</v>
      </c>
      <c r="C579" s="2">
        <v>46139.294143518498</v>
      </c>
      <c r="D579" s="1" t="s">
        <v>341</v>
      </c>
      <c r="E579" s="1" t="s">
        <v>342</v>
      </c>
      <c r="G579" s="1"/>
      <c r="H579" s="2"/>
      <c r="I579" s="1" t="s">
        <v>41</v>
      </c>
      <c r="K579" s="1"/>
      <c r="L579" s="1" t="s">
        <v>342</v>
      </c>
      <c r="M579" s="26" t="str">
        <f>CONCATENATE(TablaCalificaciones[[#This Row],[Seleccione su nombre (Evaluador)]],TablaCalificaciones[[#This Row],[Seleccione el nombre del Estudiante]])</f>
        <v>Mauricio RacinesFreire Yánez Carlos Esteban</v>
      </c>
      <c r="N579" s="1"/>
      <c r="O579" s="1" t="s">
        <v>129</v>
      </c>
      <c r="Q579" s="1"/>
      <c r="R579" s="1" t="s">
        <v>50</v>
      </c>
      <c r="S579" s="22">
        <f>VLOOKUP(TablaCalificaciones[[#This Row],[Apertura: problema y objetivo ]],PESOS!A$16:B$20,2,0)</f>
        <v>16</v>
      </c>
      <c r="T579" s="1"/>
      <c r="U579" s="1" t="s">
        <v>44</v>
      </c>
      <c r="V579" s="22">
        <f>VLOOKUP(TablaCalificaciones[[#This Row],[Metodología (nivel adecuado)]],PESOS!A$16:B$20,2,0)</f>
        <v>20</v>
      </c>
      <c r="W579" s="1"/>
      <c r="X579" s="1" t="s">
        <v>50</v>
      </c>
      <c r="Y579" s="22">
        <f>VLOOKUP(TablaCalificaciones[[#This Row],[Resultados y evidencia ]],PESOS!A$16:B$20,2,0)</f>
        <v>16</v>
      </c>
      <c r="Z579" s="1"/>
      <c r="AA579" s="1" t="s">
        <v>45</v>
      </c>
      <c r="AB579" s="22">
        <f>VLOOKUP(TablaCalificaciones[[#This Row],[Coherencia y manejo del tiempo]],PESOS!A$25:B$29,2,0)</f>
        <v>10</v>
      </c>
      <c r="AC579" s="1"/>
      <c r="AD579" s="1" t="s">
        <v>45</v>
      </c>
      <c r="AE579" s="22">
        <f>VLOOKUP(TablaCalificaciones[[#This Row],[Diapositivas como apoyo]],PESOS!A$25:B$29,2,0)</f>
        <v>10</v>
      </c>
      <c r="AF579" s="1"/>
      <c r="AG579" s="1" t="s">
        <v>45</v>
      </c>
      <c r="AH579" s="22">
        <f>VLOOKUP(TablaCalificaciones[[#This Row],[Respuestas a preguntas]],PESOS!A$25:B$29,2,0)</f>
        <v>10</v>
      </c>
      <c r="AI579" s="1"/>
      <c r="AJ579" s="1" t="s">
        <v>51</v>
      </c>
      <c r="AK579" s="22">
        <f>VLOOKUP(TablaCalificaciones[[#This Row],[Cierre: aporte a próximos pasos]],PESOS!A$25:B$29,2,0)</f>
        <v>8</v>
      </c>
      <c r="AL579" s="1"/>
      <c r="AM579" s="1"/>
    </row>
    <row r="580" spans="1:39">
      <c r="A580">
        <v>596</v>
      </c>
      <c r="B580" s="2">
        <v>46139.422106481499</v>
      </c>
      <c r="C580" s="2">
        <v>46139.422430555598</v>
      </c>
      <c r="D580" s="1" t="s">
        <v>87</v>
      </c>
      <c r="E580" s="1" t="s">
        <v>88</v>
      </c>
      <c r="G580" s="1"/>
      <c r="H580" s="2"/>
      <c r="I580" s="1" t="s">
        <v>229</v>
      </c>
      <c r="K580" s="1"/>
      <c r="L580" s="1" t="s">
        <v>88</v>
      </c>
      <c r="M580" s="26" t="str">
        <f>CONCATENATE(TablaCalificaciones[[#This Row],[Seleccione su nombre (Evaluador)]],TablaCalificaciones[[#This Row],[Seleccione el nombre del Estudiante]])</f>
        <v>Ana María Pazmiño DelgadoGuevara Llanos Pahola Del Carmen</v>
      </c>
      <c r="N580" s="1"/>
      <c r="O580" s="1" t="s">
        <v>241</v>
      </c>
      <c r="Q580" s="1"/>
      <c r="R580" s="1" t="s">
        <v>44</v>
      </c>
      <c r="S580" s="22">
        <f>VLOOKUP(TablaCalificaciones[[#This Row],[Apertura: problema y objetivo ]],PESOS!A$16:B$20,2,0)</f>
        <v>20</v>
      </c>
      <c r="T580" s="1"/>
      <c r="U580" s="1" t="s">
        <v>44</v>
      </c>
      <c r="V580" s="22">
        <f>VLOOKUP(TablaCalificaciones[[#This Row],[Metodología (nivel adecuado)]],PESOS!A$16:B$20,2,0)</f>
        <v>20</v>
      </c>
      <c r="W580" s="1"/>
      <c r="X580" s="1" t="s">
        <v>44</v>
      </c>
      <c r="Y580" s="22">
        <f>VLOOKUP(TablaCalificaciones[[#This Row],[Resultados y evidencia ]],PESOS!A$16:B$20,2,0)</f>
        <v>20</v>
      </c>
      <c r="Z580" s="1"/>
      <c r="AA580" s="1" t="s">
        <v>45</v>
      </c>
      <c r="AB580" s="22">
        <f>VLOOKUP(TablaCalificaciones[[#This Row],[Coherencia y manejo del tiempo]],PESOS!A$25:B$29,2,0)</f>
        <v>10</v>
      </c>
      <c r="AC580" s="1"/>
      <c r="AD580" s="1" t="s">
        <v>45</v>
      </c>
      <c r="AE580" s="22">
        <f>VLOOKUP(TablaCalificaciones[[#This Row],[Diapositivas como apoyo]],PESOS!A$25:B$29,2,0)</f>
        <v>10</v>
      </c>
      <c r="AF580" s="1"/>
      <c r="AG580" s="1" t="s">
        <v>45</v>
      </c>
      <c r="AH580" s="22">
        <f>VLOOKUP(TablaCalificaciones[[#This Row],[Respuestas a preguntas]],PESOS!A$25:B$29,2,0)</f>
        <v>10</v>
      </c>
      <c r="AI580" s="1"/>
      <c r="AJ580" s="1" t="s">
        <v>45</v>
      </c>
      <c r="AK580" s="22">
        <f>VLOOKUP(TablaCalificaciones[[#This Row],[Cierre: aporte a próximos pasos]],PESOS!A$25:B$29,2,0)</f>
        <v>10</v>
      </c>
      <c r="AL580" s="1"/>
      <c r="AM580" s="1"/>
    </row>
    <row r="581" spans="1:39">
      <c r="A581">
        <v>597</v>
      </c>
      <c r="B581" s="2">
        <v>46139.422453703701</v>
      </c>
      <c r="C581" s="2">
        <v>46139.422916666699</v>
      </c>
      <c r="D581" s="1" t="s">
        <v>87</v>
      </c>
      <c r="E581" s="1" t="s">
        <v>88</v>
      </c>
      <c r="G581" s="1"/>
      <c r="H581" s="2"/>
      <c r="I581" s="1" t="s">
        <v>229</v>
      </c>
      <c r="K581" s="1"/>
      <c r="L581" s="1" t="s">
        <v>88</v>
      </c>
      <c r="M581" s="26" t="str">
        <f>CONCATENATE(TablaCalificaciones[[#This Row],[Seleccione su nombre (Evaluador)]],TablaCalificaciones[[#This Row],[Seleccione el nombre del Estudiante]])</f>
        <v>Ana María Pazmiño DelgadoTorres Alvarado Stalin Guillermo</v>
      </c>
      <c r="N581" s="1"/>
      <c r="O581" s="1" t="s">
        <v>288</v>
      </c>
      <c r="Q581" s="1"/>
      <c r="R581" s="1" t="s">
        <v>44</v>
      </c>
      <c r="S581" s="22">
        <f>VLOOKUP(TablaCalificaciones[[#This Row],[Apertura: problema y objetivo ]],PESOS!A$16:B$20,2,0)</f>
        <v>20</v>
      </c>
      <c r="T581" s="1"/>
      <c r="U581" s="1" t="s">
        <v>44</v>
      </c>
      <c r="V581" s="22">
        <f>VLOOKUP(TablaCalificaciones[[#This Row],[Metodología (nivel adecuado)]],PESOS!A$16:B$20,2,0)</f>
        <v>20</v>
      </c>
      <c r="W581" s="1"/>
      <c r="X581" s="1" t="s">
        <v>44</v>
      </c>
      <c r="Y581" s="22">
        <f>VLOOKUP(TablaCalificaciones[[#This Row],[Resultados y evidencia ]],PESOS!A$16:B$20,2,0)</f>
        <v>20</v>
      </c>
      <c r="Z581" s="1"/>
      <c r="AA581" s="1" t="s">
        <v>45</v>
      </c>
      <c r="AB581" s="22">
        <f>VLOOKUP(TablaCalificaciones[[#This Row],[Coherencia y manejo del tiempo]],PESOS!A$25:B$29,2,0)</f>
        <v>10</v>
      </c>
      <c r="AC581" s="1"/>
      <c r="AD581" s="1" t="s">
        <v>45</v>
      </c>
      <c r="AE581" s="22">
        <f>VLOOKUP(TablaCalificaciones[[#This Row],[Diapositivas como apoyo]],PESOS!A$25:B$29,2,0)</f>
        <v>10</v>
      </c>
      <c r="AF581" s="1"/>
      <c r="AG581" s="1" t="s">
        <v>45</v>
      </c>
      <c r="AH581" s="22">
        <f>VLOOKUP(TablaCalificaciones[[#This Row],[Respuestas a preguntas]],PESOS!A$25:B$29,2,0)</f>
        <v>10</v>
      </c>
      <c r="AI581" s="1"/>
      <c r="AJ581" s="1" t="s">
        <v>45</v>
      </c>
      <c r="AK581" s="22">
        <f>VLOOKUP(TablaCalificaciones[[#This Row],[Cierre: aporte a próximos pasos]],PESOS!A$25:B$29,2,0)</f>
        <v>10</v>
      </c>
      <c r="AL581" s="1"/>
      <c r="AM581" s="1"/>
    </row>
    <row r="582" spans="1:39">
      <c r="A582">
        <v>598</v>
      </c>
      <c r="B582" s="2">
        <v>46139.364201388897</v>
      </c>
      <c r="C582" s="2">
        <v>46139.432129629597</v>
      </c>
      <c r="D582" s="1" t="s">
        <v>351</v>
      </c>
      <c r="E582" s="1" t="s">
        <v>352</v>
      </c>
      <c r="G582" s="1"/>
      <c r="H582" s="2"/>
      <c r="I582" s="1" t="s">
        <v>134</v>
      </c>
      <c r="K582" s="1"/>
      <c r="L582" s="1" t="s">
        <v>352</v>
      </c>
      <c r="M582" s="26" t="str">
        <f>CONCATENATE(TablaCalificaciones[[#This Row],[Seleccione su nombre (Evaluador)]],TablaCalificaciones[[#This Row],[Seleccione el nombre del Estudiante]])</f>
        <v>María Elizabeth MosqueraMaldonado Páez Francisco Javier</v>
      </c>
      <c r="N582" s="1"/>
      <c r="O582" s="1" t="s">
        <v>328</v>
      </c>
      <c r="Q582" s="1"/>
      <c r="R582" s="1" t="s">
        <v>50</v>
      </c>
      <c r="S582" s="22">
        <f>VLOOKUP(TablaCalificaciones[[#This Row],[Apertura: problema y objetivo ]],PESOS!A$16:B$20,2,0)</f>
        <v>16</v>
      </c>
      <c r="T582" s="1"/>
      <c r="U582" s="1" t="s">
        <v>44</v>
      </c>
      <c r="V582" s="22">
        <f>VLOOKUP(TablaCalificaciones[[#This Row],[Metodología (nivel adecuado)]],PESOS!A$16:B$20,2,0)</f>
        <v>20</v>
      </c>
      <c r="W582" s="1"/>
      <c r="X582" s="1" t="s">
        <v>50</v>
      </c>
      <c r="Y582" s="22">
        <f>VLOOKUP(TablaCalificaciones[[#This Row],[Resultados y evidencia ]],PESOS!A$16:B$20,2,0)</f>
        <v>16</v>
      </c>
      <c r="Z582" s="1"/>
      <c r="AA582" s="1" t="s">
        <v>45</v>
      </c>
      <c r="AB582" s="22">
        <f>VLOOKUP(TablaCalificaciones[[#This Row],[Coherencia y manejo del tiempo]],PESOS!A$25:B$29,2,0)</f>
        <v>10</v>
      </c>
      <c r="AC582" s="1"/>
      <c r="AD582" s="1" t="s">
        <v>45</v>
      </c>
      <c r="AE582" s="22">
        <f>VLOOKUP(TablaCalificaciones[[#This Row],[Diapositivas como apoyo]],PESOS!A$25:B$29,2,0)</f>
        <v>10</v>
      </c>
      <c r="AF582" s="1"/>
      <c r="AG582" s="1" t="s">
        <v>51</v>
      </c>
      <c r="AH582" s="22">
        <f>VLOOKUP(TablaCalificaciones[[#This Row],[Respuestas a preguntas]],PESOS!A$25:B$29,2,0)</f>
        <v>8</v>
      </c>
      <c r="AI582" s="1"/>
      <c r="AJ582" s="1" t="s">
        <v>51</v>
      </c>
      <c r="AK582" s="22">
        <f>VLOOKUP(TablaCalificaciones[[#This Row],[Cierre: aporte a próximos pasos]],PESOS!A$25:B$29,2,0)</f>
        <v>8</v>
      </c>
      <c r="AL582" s="1"/>
      <c r="AM582" s="1"/>
    </row>
    <row r="583" spans="1:39">
      <c r="A583">
        <v>599</v>
      </c>
      <c r="B583" s="2">
        <v>46139.432164351798</v>
      </c>
      <c r="C583" s="2">
        <v>46139.433240740698</v>
      </c>
      <c r="D583" s="1" t="s">
        <v>351</v>
      </c>
      <c r="E583" s="1" t="s">
        <v>352</v>
      </c>
      <c r="G583" s="1"/>
      <c r="H583" s="2"/>
      <c r="I583" s="1" t="s">
        <v>134</v>
      </c>
      <c r="K583" s="1"/>
      <c r="L583" s="1" t="s">
        <v>352</v>
      </c>
      <c r="M583" s="26" t="str">
        <f>CONCATENATE(TablaCalificaciones[[#This Row],[Seleccione su nombre (Evaluador)]],TablaCalificaciones[[#This Row],[Seleccione el nombre del Estudiante]])</f>
        <v>María Elizabeth MosqueraSánchez Dávila Luis Alfonso</v>
      </c>
      <c r="N583" s="1"/>
      <c r="O583" s="1" t="s">
        <v>333</v>
      </c>
      <c r="Q583" s="1"/>
      <c r="R583" s="1" t="s">
        <v>50</v>
      </c>
      <c r="S583" s="22">
        <f>VLOOKUP(TablaCalificaciones[[#This Row],[Apertura: problema y objetivo ]],PESOS!A$16:B$20,2,0)</f>
        <v>16</v>
      </c>
      <c r="T583" s="1"/>
      <c r="U583" s="1" t="s">
        <v>50</v>
      </c>
      <c r="V583" s="22">
        <f>VLOOKUP(TablaCalificaciones[[#This Row],[Metodología (nivel adecuado)]],PESOS!A$16:B$20,2,0)</f>
        <v>16</v>
      </c>
      <c r="W583" s="1"/>
      <c r="X583" s="1" t="s">
        <v>44</v>
      </c>
      <c r="Y583" s="22">
        <f>VLOOKUP(TablaCalificaciones[[#This Row],[Resultados y evidencia ]],PESOS!A$16:B$20,2,0)</f>
        <v>20</v>
      </c>
      <c r="Z583" s="1"/>
      <c r="AA583" s="1" t="s">
        <v>45</v>
      </c>
      <c r="AB583" s="22">
        <f>VLOOKUP(TablaCalificaciones[[#This Row],[Coherencia y manejo del tiempo]],PESOS!A$25:B$29,2,0)</f>
        <v>10</v>
      </c>
      <c r="AC583" s="1"/>
      <c r="AD583" s="1" t="s">
        <v>45</v>
      </c>
      <c r="AE583" s="22">
        <f>VLOOKUP(TablaCalificaciones[[#This Row],[Diapositivas como apoyo]],PESOS!A$25:B$29,2,0)</f>
        <v>10</v>
      </c>
      <c r="AF583" s="1"/>
      <c r="AG583" s="1" t="s">
        <v>51</v>
      </c>
      <c r="AH583" s="22">
        <f>VLOOKUP(TablaCalificaciones[[#This Row],[Respuestas a preguntas]],PESOS!A$25:B$29,2,0)</f>
        <v>8</v>
      </c>
      <c r="AI583" s="1"/>
      <c r="AJ583" s="1" t="s">
        <v>51</v>
      </c>
      <c r="AK583" s="22">
        <f>VLOOKUP(TablaCalificaciones[[#This Row],[Cierre: aporte a próximos pasos]],PESOS!A$25:B$29,2,0)</f>
        <v>8</v>
      </c>
      <c r="AL583" s="1"/>
      <c r="AM583" s="1"/>
    </row>
    <row r="584" spans="1:39">
      <c r="A584">
        <v>600</v>
      </c>
      <c r="B584" s="2">
        <v>46139.433333333298</v>
      </c>
      <c r="C584" s="2">
        <v>46139.4347569444</v>
      </c>
      <c r="D584" s="1" t="s">
        <v>351</v>
      </c>
      <c r="E584" s="1" t="s">
        <v>352</v>
      </c>
      <c r="G584" s="1"/>
      <c r="H584" s="2"/>
      <c r="I584" s="1" t="s">
        <v>134</v>
      </c>
      <c r="K584" s="1"/>
      <c r="L584" s="1" t="s">
        <v>352</v>
      </c>
      <c r="M584" s="26" t="str">
        <f>CONCATENATE(TablaCalificaciones[[#This Row],[Seleccione su nombre (Evaluador)]],TablaCalificaciones[[#This Row],[Seleccione el nombre del Estudiante]])</f>
        <v>María Elizabeth MosqueraRon Urbano Micaela Alexandra</v>
      </c>
      <c r="N584" s="1"/>
      <c r="O584" s="1" t="s">
        <v>332</v>
      </c>
      <c r="Q584" s="1"/>
      <c r="R584" s="1" t="s">
        <v>44</v>
      </c>
      <c r="S584" s="22">
        <f>VLOOKUP(TablaCalificaciones[[#This Row],[Apertura: problema y objetivo ]],PESOS!A$16:B$20,2,0)</f>
        <v>20</v>
      </c>
      <c r="T584" s="1"/>
      <c r="U584" s="1" t="s">
        <v>50</v>
      </c>
      <c r="V584" s="22">
        <f>VLOOKUP(TablaCalificaciones[[#This Row],[Metodología (nivel adecuado)]],PESOS!A$16:B$20,2,0)</f>
        <v>16</v>
      </c>
      <c r="W584" s="1"/>
      <c r="X584" s="1" t="s">
        <v>44</v>
      </c>
      <c r="Y584" s="22">
        <f>VLOOKUP(TablaCalificaciones[[#This Row],[Resultados y evidencia ]],PESOS!A$16:B$20,2,0)</f>
        <v>20</v>
      </c>
      <c r="Z584" s="1"/>
      <c r="AA584" s="1" t="s">
        <v>45</v>
      </c>
      <c r="AB584" s="22">
        <f>VLOOKUP(TablaCalificaciones[[#This Row],[Coherencia y manejo del tiempo]],PESOS!A$25:B$29,2,0)</f>
        <v>10</v>
      </c>
      <c r="AC584" s="1"/>
      <c r="AD584" s="1" t="s">
        <v>51</v>
      </c>
      <c r="AE584" s="22">
        <f>VLOOKUP(TablaCalificaciones[[#This Row],[Diapositivas como apoyo]],PESOS!A$25:B$29,2,0)</f>
        <v>8</v>
      </c>
      <c r="AF584" s="1"/>
      <c r="AG584" s="1" t="s">
        <v>51</v>
      </c>
      <c r="AH584" s="22">
        <f>VLOOKUP(TablaCalificaciones[[#This Row],[Respuestas a preguntas]],PESOS!A$25:B$29,2,0)</f>
        <v>8</v>
      </c>
      <c r="AI584" s="1"/>
      <c r="AJ584" s="1" t="s">
        <v>51</v>
      </c>
      <c r="AK584" s="22">
        <f>VLOOKUP(TablaCalificaciones[[#This Row],[Cierre: aporte a próximos pasos]],PESOS!A$25:B$29,2,0)</f>
        <v>8</v>
      </c>
      <c r="AL584" s="1"/>
      <c r="AM584" s="1"/>
    </row>
    <row r="585" spans="1:39">
      <c r="A585">
        <v>601</v>
      </c>
      <c r="B585" s="2">
        <v>46139.512118055602</v>
      </c>
      <c r="C585" s="2">
        <v>46139.513078703698</v>
      </c>
      <c r="D585" s="1" t="s">
        <v>59</v>
      </c>
      <c r="E585" s="1" t="s">
        <v>60</v>
      </c>
      <c r="G585" s="1"/>
      <c r="H585" s="2"/>
      <c r="I585" s="1" t="s">
        <v>134</v>
      </c>
      <c r="K585" s="1"/>
      <c r="L585" s="1" t="s">
        <v>60</v>
      </c>
      <c r="M585" s="26" t="str">
        <f>CONCATENATE(TablaCalificaciones[[#This Row],[Seleccione su nombre (Evaluador)]],TablaCalificaciones[[#This Row],[Seleccione el nombre del Estudiante]])</f>
        <v>Santiago Leonardo SolórzanoLeón Narváez Bryan Mateo</v>
      </c>
      <c r="N585" s="1"/>
      <c r="O585" s="1" t="s">
        <v>263</v>
      </c>
      <c r="Q585" s="1"/>
      <c r="R585" s="1" t="s">
        <v>44</v>
      </c>
      <c r="S585" s="22">
        <f>VLOOKUP(TablaCalificaciones[[#This Row],[Apertura: problema y objetivo ]],PESOS!A$16:B$20,2,0)</f>
        <v>20</v>
      </c>
      <c r="T585" s="1"/>
      <c r="U585" s="1" t="s">
        <v>44</v>
      </c>
      <c r="V585" s="22">
        <f>VLOOKUP(TablaCalificaciones[[#This Row],[Metodología (nivel adecuado)]],PESOS!A$16:B$20,2,0)</f>
        <v>20</v>
      </c>
      <c r="W585" s="1"/>
      <c r="X585" s="1" t="s">
        <v>44</v>
      </c>
      <c r="Y585" s="22">
        <f>VLOOKUP(TablaCalificaciones[[#This Row],[Resultados y evidencia ]],PESOS!A$16:B$20,2,0)</f>
        <v>20</v>
      </c>
      <c r="Z585" s="1"/>
      <c r="AA585" s="1" t="s">
        <v>51</v>
      </c>
      <c r="AB585" s="22">
        <f>VLOOKUP(TablaCalificaciones[[#This Row],[Coherencia y manejo del tiempo]],PESOS!A$25:B$29,2,0)</f>
        <v>8</v>
      </c>
      <c r="AC585" s="1"/>
      <c r="AD585" s="1" t="s">
        <v>51</v>
      </c>
      <c r="AE585" s="22">
        <f>VLOOKUP(TablaCalificaciones[[#This Row],[Diapositivas como apoyo]],PESOS!A$25:B$29,2,0)</f>
        <v>8</v>
      </c>
      <c r="AF585" s="1"/>
      <c r="AG585" s="1" t="s">
        <v>51</v>
      </c>
      <c r="AH585" s="22">
        <f>VLOOKUP(TablaCalificaciones[[#This Row],[Respuestas a preguntas]],PESOS!A$25:B$29,2,0)</f>
        <v>8</v>
      </c>
      <c r="AI585" s="1"/>
      <c r="AJ585" s="1" t="s">
        <v>45</v>
      </c>
      <c r="AK585" s="22">
        <f>VLOOKUP(TablaCalificaciones[[#This Row],[Cierre: aporte a próximos pasos]],PESOS!A$25:B$29,2,0)</f>
        <v>10</v>
      </c>
      <c r="AL585" s="1"/>
      <c r="AM585" s="1"/>
    </row>
    <row r="586" spans="1:39">
      <c r="A586">
        <v>602</v>
      </c>
      <c r="B586" s="2">
        <v>46139.700659722199</v>
      </c>
      <c r="C586" s="2">
        <v>46139.701874999999</v>
      </c>
      <c r="D586" s="1" t="s">
        <v>97</v>
      </c>
      <c r="E586" s="1" t="s">
        <v>98</v>
      </c>
      <c r="G586" s="1"/>
      <c r="H586" s="2"/>
      <c r="I586" s="1" t="s">
        <v>41</v>
      </c>
      <c r="K586" s="1"/>
      <c r="L586" s="1" t="s">
        <v>99</v>
      </c>
      <c r="M586" s="26" t="str">
        <f>CONCATENATE(TablaCalificaciones[[#This Row],[Seleccione su nombre (Evaluador)]],TablaCalificaciones[[#This Row],[Seleccione el nombre del Estudiante]])</f>
        <v>Víctor Javier Gómez RegaladoCalderón Tuárez Diana Alejandra</v>
      </c>
      <c r="N586" s="1"/>
      <c r="O586" s="1" t="s">
        <v>57</v>
      </c>
      <c r="Q586" s="1"/>
      <c r="R586" s="1" t="s">
        <v>44</v>
      </c>
      <c r="S586" s="22">
        <f>VLOOKUP(TablaCalificaciones[[#This Row],[Apertura: problema y objetivo ]],PESOS!A$16:B$20,2,0)</f>
        <v>20</v>
      </c>
      <c r="T586" s="1"/>
      <c r="U586" s="1" t="s">
        <v>44</v>
      </c>
      <c r="V586" s="22">
        <f>VLOOKUP(TablaCalificaciones[[#This Row],[Metodología (nivel adecuado)]],PESOS!A$16:B$20,2,0)</f>
        <v>20</v>
      </c>
      <c r="W586" s="1"/>
      <c r="X586" s="1" t="s">
        <v>50</v>
      </c>
      <c r="Y586" s="22">
        <f>VLOOKUP(TablaCalificaciones[[#This Row],[Resultados y evidencia ]],PESOS!A$16:B$20,2,0)</f>
        <v>16</v>
      </c>
      <c r="Z586" s="1"/>
      <c r="AA586" s="1" t="s">
        <v>45</v>
      </c>
      <c r="AB586" s="22">
        <f>VLOOKUP(TablaCalificaciones[[#This Row],[Coherencia y manejo del tiempo]],PESOS!A$25:B$29,2,0)</f>
        <v>10</v>
      </c>
      <c r="AC586" s="1"/>
      <c r="AD586" s="1" t="s">
        <v>45</v>
      </c>
      <c r="AE586" s="22">
        <f>VLOOKUP(TablaCalificaciones[[#This Row],[Diapositivas como apoyo]],PESOS!A$25:B$29,2,0)</f>
        <v>10</v>
      </c>
      <c r="AF586" s="1"/>
      <c r="AG586" s="1" t="s">
        <v>45</v>
      </c>
      <c r="AH586" s="22">
        <f>VLOOKUP(TablaCalificaciones[[#This Row],[Respuestas a preguntas]],PESOS!A$25:B$29,2,0)</f>
        <v>10</v>
      </c>
      <c r="AI586" s="1"/>
      <c r="AJ586" s="1" t="s">
        <v>45</v>
      </c>
      <c r="AK586" s="22">
        <f>VLOOKUP(TablaCalificaciones[[#This Row],[Cierre: aporte a próximos pasos]],PESOS!A$25:B$29,2,0)</f>
        <v>10</v>
      </c>
      <c r="AL586" s="1"/>
      <c r="AM586" s="1"/>
    </row>
    <row r="587" spans="1:39">
      <c r="A587">
        <v>603</v>
      </c>
      <c r="B587" s="2">
        <v>46139.701932870397</v>
      </c>
      <c r="C587" s="2">
        <v>46139.702430555597</v>
      </c>
      <c r="D587" s="1" t="s">
        <v>97</v>
      </c>
      <c r="E587" s="1" t="s">
        <v>98</v>
      </c>
      <c r="G587" s="1"/>
      <c r="H587" s="2"/>
      <c r="I587" s="1" t="s">
        <v>41</v>
      </c>
      <c r="K587" s="1"/>
      <c r="L587" s="1" t="s">
        <v>99</v>
      </c>
      <c r="M587" s="26" t="str">
        <f>CONCATENATE(TablaCalificaciones[[#This Row],[Seleccione su nombre (Evaluador)]],TablaCalificaciones[[#This Row],[Seleccione el nombre del Estudiante]])</f>
        <v>Víctor Javier Gómez RegaladoMartínez Porte Carlos Sebastián</v>
      </c>
      <c r="N587" s="1"/>
      <c r="O587" s="1" t="s">
        <v>58</v>
      </c>
      <c r="Q587" s="1"/>
      <c r="R587" s="1" t="s">
        <v>44</v>
      </c>
      <c r="S587" s="22">
        <f>VLOOKUP(TablaCalificaciones[[#This Row],[Apertura: problema y objetivo ]],PESOS!A$16:B$20,2,0)</f>
        <v>20</v>
      </c>
      <c r="T587" s="1"/>
      <c r="U587" s="1" t="s">
        <v>44</v>
      </c>
      <c r="V587" s="22">
        <f>VLOOKUP(TablaCalificaciones[[#This Row],[Metodología (nivel adecuado)]],PESOS!A$16:B$20,2,0)</f>
        <v>20</v>
      </c>
      <c r="W587" s="1"/>
      <c r="X587" s="1" t="s">
        <v>44</v>
      </c>
      <c r="Y587" s="22">
        <f>VLOOKUP(TablaCalificaciones[[#This Row],[Resultados y evidencia ]],PESOS!A$16:B$20,2,0)</f>
        <v>20</v>
      </c>
      <c r="Z587" s="1"/>
      <c r="AA587" s="1" t="s">
        <v>45</v>
      </c>
      <c r="AB587" s="22">
        <f>VLOOKUP(TablaCalificaciones[[#This Row],[Coherencia y manejo del tiempo]],PESOS!A$25:B$29,2,0)</f>
        <v>10</v>
      </c>
      <c r="AC587" s="1"/>
      <c r="AD587" s="1" t="s">
        <v>45</v>
      </c>
      <c r="AE587" s="22">
        <f>VLOOKUP(TablaCalificaciones[[#This Row],[Diapositivas como apoyo]],PESOS!A$25:B$29,2,0)</f>
        <v>10</v>
      </c>
      <c r="AF587" s="1"/>
      <c r="AG587" s="1" t="s">
        <v>45</v>
      </c>
      <c r="AH587" s="22">
        <f>VLOOKUP(TablaCalificaciones[[#This Row],[Respuestas a preguntas]],PESOS!A$25:B$29,2,0)</f>
        <v>10</v>
      </c>
      <c r="AI587" s="1"/>
      <c r="AJ587" s="1" t="s">
        <v>45</v>
      </c>
      <c r="AK587" s="22">
        <f>VLOOKUP(TablaCalificaciones[[#This Row],[Cierre: aporte a próximos pasos]],PESOS!A$25:B$29,2,0)</f>
        <v>10</v>
      </c>
      <c r="AL587" s="1"/>
      <c r="AM587" s="1"/>
    </row>
    <row r="588" spans="1:39">
      <c r="A588">
        <v>604</v>
      </c>
      <c r="B588" s="2">
        <v>46139.7024537037</v>
      </c>
      <c r="C588" s="2">
        <v>46139.702962962998</v>
      </c>
      <c r="D588" s="1" t="s">
        <v>97</v>
      </c>
      <c r="E588" s="1" t="s">
        <v>98</v>
      </c>
      <c r="G588" s="1"/>
      <c r="H588" s="2"/>
      <c r="I588" s="1" t="s">
        <v>41</v>
      </c>
      <c r="K588" s="1"/>
      <c r="L588" s="1" t="s">
        <v>99</v>
      </c>
      <c r="M588" s="26" t="str">
        <f>CONCATENATE(TablaCalificaciones[[#This Row],[Seleccione su nombre (Evaluador)]],TablaCalificaciones[[#This Row],[Seleccione el nombre del Estudiante]])</f>
        <v>Víctor Javier Gómez RegaladoSolano De La Sala Aldas Paúl Fernando</v>
      </c>
      <c r="N588" s="1"/>
      <c r="O588" s="1" t="s">
        <v>43</v>
      </c>
      <c r="Q588" s="1"/>
      <c r="R588" s="1" t="s">
        <v>44</v>
      </c>
      <c r="S588" s="22">
        <f>VLOOKUP(TablaCalificaciones[[#This Row],[Apertura: problema y objetivo ]],PESOS!A$16:B$20,2,0)</f>
        <v>20</v>
      </c>
      <c r="T588" s="1"/>
      <c r="U588" s="1" t="s">
        <v>44</v>
      </c>
      <c r="V588" s="22">
        <f>VLOOKUP(TablaCalificaciones[[#This Row],[Metodología (nivel adecuado)]],PESOS!A$16:B$20,2,0)</f>
        <v>20</v>
      </c>
      <c r="W588" s="1"/>
      <c r="X588" s="1" t="s">
        <v>44</v>
      </c>
      <c r="Y588" s="22">
        <f>VLOOKUP(TablaCalificaciones[[#This Row],[Resultados y evidencia ]],PESOS!A$16:B$20,2,0)</f>
        <v>20</v>
      </c>
      <c r="Z588" s="1"/>
      <c r="AA588" s="1" t="s">
        <v>45</v>
      </c>
      <c r="AB588" s="22">
        <f>VLOOKUP(TablaCalificaciones[[#This Row],[Coherencia y manejo del tiempo]],PESOS!A$25:B$29,2,0)</f>
        <v>10</v>
      </c>
      <c r="AC588" s="1"/>
      <c r="AD588" s="1" t="s">
        <v>45</v>
      </c>
      <c r="AE588" s="22">
        <f>VLOOKUP(TablaCalificaciones[[#This Row],[Diapositivas como apoyo]],PESOS!A$25:B$29,2,0)</f>
        <v>10</v>
      </c>
      <c r="AF588" s="1"/>
      <c r="AG588" s="1" t="s">
        <v>45</v>
      </c>
      <c r="AH588" s="22">
        <f>VLOOKUP(TablaCalificaciones[[#This Row],[Respuestas a preguntas]],PESOS!A$25:B$29,2,0)</f>
        <v>10</v>
      </c>
      <c r="AI588" s="1"/>
      <c r="AJ588" s="1" t="s">
        <v>45</v>
      </c>
      <c r="AK588" s="22">
        <f>VLOOKUP(TablaCalificaciones[[#This Row],[Cierre: aporte a próximos pasos]],PESOS!A$25:B$29,2,0)</f>
        <v>10</v>
      </c>
      <c r="AL588" s="1"/>
      <c r="AM588" s="1"/>
    </row>
    <row r="589" spans="1:39">
      <c r="A589">
        <v>605</v>
      </c>
      <c r="B589" s="2">
        <v>46139.703043981499</v>
      </c>
      <c r="C589" s="2">
        <v>46139.705034722203</v>
      </c>
      <c r="D589" s="1" t="s">
        <v>97</v>
      </c>
      <c r="E589" s="1" t="s">
        <v>98</v>
      </c>
      <c r="G589" s="1"/>
      <c r="H589" s="2"/>
      <c r="I589" s="1" t="s">
        <v>229</v>
      </c>
      <c r="K589" s="1"/>
      <c r="L589" s="1" t="s">
        <v>99</v>
      </c>
      <c r="M589" s="26" t="str">
        <f>CONCATENATE(TablaCalificaciones[[#This Row],[Seleccione su nombre (Evaluador)]],TablaCalificaciones[[#This Row],[Seleccione el nombre del Estudiante]])</f>
        <v>Víctor Javier Gómez RegaladoLópez Arboleda Carla Stephanya</v>
      </c>
      <c r="N589" s="1"/>
      <c r="O589" s="1" t="s">
        <v>242</v>
      </c>
      <c r="Q589" s="1"/>
      <c r="R589" s="1" t="s">
        <v>44</v>
      </c>
      <c r="S589" s="22">
        <f>VLOOKUP(TablaCalificaciones[[#This Row],[Apertura: problema y objetivo ]],PESOS!A$16:B$20,2,0)</f>
        <v>20</v>
      </c>
      <c r="T589" s="1"/>
      <c r="U589" s="1" t="s">
        <v>44</v>
      </c>
      <c r="V589" s="22">
        <f>VLOOKUP(TablaCalificaciones[[#This Row],[Metodología (nivel adecuado)]],PESOS!A$16:B$20,2,0)</f>
        <v>20</v>
      </c>
      <c r="W589" s="1"/>
      <c r="X589" s="1" t="s">
        <v>44</v>
      </c>
      <c r="Y589" s="22">
        <f>VLOOKUP(TablaCalificaciones[[#This Row],[Resultados y evidencia ]],PESOS!A$16:B$20,2,0)</f>
        <v>20</v>
      </c>
      <c r="Z589" s="1"/>
      <c r="AA589" s="1" t="s">
        <v>45</v>
      </c>
      <c r="AB589" s="22">
        <f>VLOOKUP(TablaCalificaciones[[#This Row],[Coherencia y manejo del tiempo]],PESOS!A$25:B$29,2,0)</f>
        <v>10</v>
      </c>
      <c r="AC589" s="1"/>
      <c r="AD589" s="1" t="s">
        <v>45</v>
      </c>
      <c r="AE589" s="22">
        <f>VLOOKUP(TablaCalificaciones[[#This Row],[Diapositivas como apoyo]],PESOS!A$25:B$29,2,0)</f>
        <v>10</v>
      </c>
      <c r="AF589" s="1"/>
      <c r="AG589" s="1" t="s">
        <v>45</v>
      </c>
      <c r="AH589" s="22">
        <f>VLOOKUP(TablaCalificaciones[[#This Row],[Respuestas a preguntas]],PESOS!A$25:B$29,2,0)</f>
        <v>10</v>
      </c>
      <c r="AI589" s="1"/>
      <c r="AJ589" s="1" t="s">
        <v>45</v>
      </c>
      <c r="AK589" s="22">
        <f>VLOOKUP(TablaCalificaciones[[#This Row],[Cierre: aporte a próximos pasos]],PESOS!A$25:B$29,2,0)</f>
        <v>10</v>
      </c>
      <c r="AL589" s="1"/>
      <c r="AM589" s="1"/>
    </row>
    <row r="590" spans="1:39">
      <c r="A590">
        <v>606</v>
      </c>
      <c r="B590" s="2">
        <v>46139.7050578704</v>
      </c>
      <c r="C590" s="2">
        <v>46139.705752314803</v>
      </c>
      <c r="D590" s="1" t="s">
        <v>97</v>
      </c>
      <c r="E590" s="1" t="s">
        <v>98</v>
      </c>
      <c r="G590" s="1"/>
      <c r="H590" s="2"/>
      <c r="I590" s="1" t="s">
        <v>229</v>
      </c>
      <c r="K590" s="1"/>
      <c r="L590" s="1" t="s">
        <v>99</v>
      </c>
      <c r="M590" s="26" t="str">
        <f>CONCATENATE(TablaCalificaciones[[#This Row],[Seleccione su nombre (Evaluador)]],TablaCalificaciones[[#This Row],[Seleccione el nombre del Estudiante]])</f>
        <v>Víctor Javier Gómez RegaladoMartínez Porte Daniela Stephania</v>
      </c>
      <c r="N590" s="1"/>
      <c r="O590" s="1" t="s">
        <v>243</v>
      </c>
      <c r="Q590" s="1"/>
      <c r="R590" s="1" t="s">
        <v>44</v>
      </c>
      <c r="S590" s="22">
        <f>VLOOKUP(TablaCalificaciones[[#This Row],[Apertura: problema y objetivo ]],PESOS!A$16:B$20,2,0)</f>
        <v>20</v>
      </c>
      <c r="T590" s="1"/>
      <c r="U590" s="1" t="s">
        <v>44</v>
      </c>
      <c r="V590" s="22">
        <f>VLOOKUP(TablaCalificaciones[[#This Row],[Metodología (nivel adecuado)]],PESOS!A$16:B$20,2,0)</f>
        <v>20</v>
      </c>
      <c r="W590" s="1"/>
      <c r="X590" s="1" t="s">
        <v>44</v>
      </c>
      <c r="Y590" s="22">
        <f>VLOOKUP(TablaCalificaciones[[#This Row],[Resultados y evidencia ]],PESOS!A$16:B$20,2,0)</f>
        <v>20</v>
      </c>
      <c r="Z590" s="1"/>
      <c r="AA590" s="1" t="s">
        <v>45</v>
      </c>
      <c r="AB590" s="22">
        <f>VLOOKUP(TablaCalificaciones[[#This Row],[Coherencia y manejo del tiempo]],PESOS!A$25:B$29,2,0)</f>
        <v>10</v>
      </c>
      <c r="AC590" s="1"/>
      <c r="AD590" s="1" t="s">
        <v>45</v>
      </c>
      <c r="AE590" s="22">
        <f>VLOOKUP(TablaCalificaciones[[#This Row],[Diapositivas como apoyo]],PESOS!A$25:B$29,2,0)</f>
        <v>10</v>
      </c>
      <c r="AF590" s="1"/>
      <c r="AG590" s="1" t="s">
        <v>45</v>
      </c>
      <c r="AH590" s="22">
        <f>VLOOKUP(TablaCalificaciones[[#This Row],[Respuestas a preguntas]],PESOS!A$25:B$29,2,0)</f>
        <v>10</v>
      </c>
      <c r="AI590" s="1"/>
      <c r="AJ590" s="1" t="s">
        <v>45</v>
      </c>
      <c r="AK590" s="22">
        <f>VLOOKUP(TablaCalificaciones[[#This Row],[Cierre: aporte a próximos pasos]],PESOS!A$25:B$29,2,0)</f>
        <v>10</v>
      </c>
      <c r="AL590" s="1"/>
      <c r="AM590" s="1"/>
    </row>
    <row r="591" spans="1:39">
      <c r="A591">
        <v>609</v>
      </c>
      <c r="B591" s="2">
        <v>46139.707245370402</v>
      </c>
      <c r="C591" s="2">
        <v>46139.708391203698</v>
      </c>
      <c r="D591" s="1" t="s">
        <v>97</v>
      </c>
      <c r="E591" s="1" t="s">
        <v>98</v>
      </c>
      <c r="G591" s="1"/>
      <c r="H591" s="2"/>
      <c r="I591" s="1" t="s">
        <v>68</v>
      </c>
      <c r="K591" s="1"/>
      <c r="L591" s="1" t="s">
        <v>99</v>
      </c>
      <c r="M591" s="26" t="str">
        <f>CONCATENATE(TablaCalificaciones[[#This Row],[Seleccione su nombre (Evaluador)]],TablaCalificaciones[[#This Row],[Seleccione el nombre del Estudiante]])</f>
        <v>Víctor Javier Gómez RegaladoArias Basantes Jeanpierre</v>
      </c>
      <c r="N591" s="1"/>
      <c r="O591" s="1" t="s">
        <v>162</v>
      </c>
      <c r="Q591" s="1"/>
      <c r="R591" s="1" t="s">
        <v>44</v>
      </c>
      <c r="S591" s="22">
        <f>VLOOKUP(TablaCalificaciones[[#This Row],[Apertura: problema y objetivo ]],PESOS!A$16:B$20,2,0)</f>
        <v>20</v>
      </c>
      <c r="T591" s="1"/>
      <c r="U591" s="1" t="s">
        <v>44</v>
      </c>
      <c r="V591" s="22">
        <f>VLOOKUP(TablaCalificaciones[[#This Row],[Metodología (nivel adecuado)]],PESOS!A$16:B$20,2,0)</f>
        <v>20</v>
      </c>
      <c r="W591" s="1"/>
      <c r="X591" s="1" t="s">
        <v>44</v>
      </c>
      <c r="Y591" s="22">
        <f>VLOOKUP(TablaCalificaciones[[#This Row],[Resultados y evidencia ]],PESOS!A$16:B$20,2,0)</f>
        <v>20</v>
      </c>
      <c r="Z591" s="1"/>
      <c r="AA591" s="1" t="s">
        <v>45</v>
      </c>
      <c r="AB591" s="22">
        <f>VLOOKUP(TablaCalificaciones[[#This Row],[Coherencia y manejo del tiempo]],PESOS!A$25:B$29,2,0)</f>
        <v>10</v>
      </c>
      <c r="AC591" s="1"/>
      <c r="AD591" s="1" t="s">
        <v>45</v>
      </c>
      <c r="AE591" s="22">
        <f>VLOOKUP(TablaCalificaciones[[#This Row],[Diapositivas como apoyo]],PESOS!A$25:B$29,2,0)</f>
        <v>10</v>
      </c>
      <c r="AF591" s="1"/>
      <c r="AG591" s="1" t="s">
        <v>45</v>
      </c>
      <c r="AH591" s="22">
        <f>VLOOKUP(TablaCalificaciones[[#This Row],[Respuestas a preguntas]],PESOS!A$25:B$29,2,0)</f>
        <v>10</v>
      </c>
      <c r="AI591" s="1"/>
      <c r="AJ591" s="1" t="s">
        <v>45</v>
      </c>
      <c r="AK591" s="22">
        <f>VLOOKUP(TablaCalificaciones[[#This Row],[Cierre: aporte a próximos pasos]],PESOS!A$25:B$29,2,0)</f>
        <v>10</v>
      </c>
      <c r="AL591" s="1"/>
      <c r="AM591" s="1"/>
    </row>
    <row r="592" spans="1:39">
      <c r="A592">
        <v>610</v>
      </c>
      <c r="B592" s="2">
        <v>46139.708414351902</v>
      </c>
      <c r="C592" s="2">
        <v>46139.709189814799</v>
      </c>
      <c r="D592" s="1" t="s">
        <v>97</v>
      </c>
      <c r="E592" s="1" t="s">
        <v>98</v>
      </c>
      <c r="G592" s="1"/>
      <c r="H592" s="2"/>
      <c r="I592" s="1" t="s">
        <v>68</v>
      </c>
      <c r="K592" s="1"/>
      <c r="L592" s="1" t="s">
        <v>99</v>
      </c>
      <c r="M592" s="26" t="str">
        <f>CONCATENATE(TablaCalificaciones[[#This Row],[Seleccione su nombre (Evaluador)]],TablaCalificaciones[[#This Row],[Seleccione el nombre del Estudiante]])</f>
        <v>Víctor Javier Gómez RegaladoOrtiz Puga Danny Alejandro</v>
      </c>
      <c r="N592" s="1"/>
      <c r="O592" s="1" t="s">
        <v>160</v>
      </c>
      <c r="Q592" s="1"/>
      <c r="R592" s="1" t="s">
        <v>44</v>
      </c>
      <c r="S592" s="22">
        <f>VLOOKUP(TablaCalificaciones[[#This Row],[Apertura: problema y objetivo ]],PESOS!A$16:B$20,2,0)</f>
        <v>20</v>
      </c>
      <c r="T592" s="1"/>
      <c r="U592" s="1" t="s">
        <v>44</v>
      </c>
      <c r="V592" s="22">
        <f>VLOOKUP(TablaCalificaciones[[#This Row],[Metodología (nivel adecuado)]],PESOS!A$16:B$20,2,0)</f>
        <v>20</v>
      </c>
      <c r="W592" s="1"/>
      <c r="X592" s="1" t="s">
        <v>44</v>
      </c>
      <c r="Y592" s="22">
        <f>VLOOKUP(TablaCalificaciones[[#This Row],[Resultados y evidencia ]],PESOS!A$16:B$20,2,0)</f>
        <v>20</v>
      </c>
      <c r="Z592" s="1"/>
      <c r="AA592" s="1" t="s">
        <v>45</v>
      </c>
      <c r="AB592" s="22">
        <f>VLOOKUP(TablaCalificaciones[[#This Row],[Coherencia y manejo del tiempo]],PESOS!A$25:B$29,2,0)</f>
        <v>10</v>
      </c>
      <c r="AC592" s="1"/>
      <c r="AD592" s="1" t="s">
        <v>45</v>
      </c>
      <c r="AE592" s="22">
        <f>VLOOKUP(TablaCalificaciones[[#This Row],[Diapositivas como apoyo]],PESOS!A$25:B$29,2,0)</f>
        <v>10</v>
      </c>
      <c r="AF592" s="1"/>
      <c r="AG592" s="1" t="s">
        <v>45</v>
      </c>
      <c r="AH592" s="22">
        <f>VLOOKUP(TablaCalificaciones[[#This Row],[Respuestas a preguntas]],PESOS!A$25:B$29,2,0)</f>
        <v>10</v>
      </c>
      <c r="AI592" s="1"/>
      <c r="AJ592" s="1" t="s">
        <v>45</v>
      </c>
      <c r="AK592" s="22">
        <f>VLOOKUP(TablaCalificaciones[[#This Row],[Cierre: aporte a próximos pasos]],PESOS!A$25:B$29,2,0)</f>
        <v>10</v>
      </c>
      <c r="AL592" s="1"/>
      <c r="AM592" s="1"/>
    </row>
    <row r="593" spans="1:39">
      <c r="A593">
        <v>611</v>
      </c>
      <c r="B593" s="2">
        <v>46139.741585648197</v>
      </c>
      <c r="C593" s="2">
        <v>46139.742847222202</v>
      </c>
      <c r="D593" s="1" t="s">
        <v>353</v>
      </c>
      <c r="E593" s="1" t="s">
        <v>354</v>
      </c>
      <c r="G593" s="1"/>
      <c r="H593" s="2"/>
      <c r="I593" s="1" t="s">
        <v>134</v>
      </c>
      <c r="K593" s="1"/>
      <c r="L593" s="1" t="s">
        <v>354</v>
      </c>
      <c r="M593" s="26" t="str">
        <f>CONCATENATE(TablaCalificaciones[[#This Row],[Seleccione su nombre (Evaluador)]],TablaCalificaciones[[#This Row],[Seleccione el nombre del Estudiante]])</f>
        <v>María Cristina Jiménez HernándezÁvila Jumbo Mateo Danilo</v>
      </c>
      <c r="N593" s="1"/>
      <c r="O593" s="1" t="s">
        <v>293</v>
      </c>
      <c r="Q593" s="1"/>
      <c r="R593" s="1" t="s">
        <v>44</v>
      </c>
      <c r="S593" s="22">
        <f>VLOOKUP(TablaCalificaciones[[#This Row],[Apertura: problema y objetivo ]],PESOS!A$16:B$20,2,0)</f>
        <v>20</v>
      </c>
      <c r="T593" s="1"/>
      <c r="U593" s="1" t="s">
        <v>44</v>
      </c>
      <c r="V593" s="22">
        <f>VLOOKUP(TablaCalificaciones[[#This Row],[Metodología (nivel adecuado)]],PESOS!A$16:B$20,2,0)</f>
        <v>20</v>
      </c>
      <c r="W593" s="1"/>
      <c r="X593" s="1" t="s">
        <v>44</v>
      </c>
      <c r="Y593" s="22">
        <f>VLOOKUP(TablaCalificaciones[[#This Row],[Resultados y evidencia ]],PESOS!A$16:B$20,2,0)</f>
        <v>20</v>
      </c>
      <c r="Z593" s="1"/>
      <c r="AA593" s="1" t="s">
        <v>45</v>
      </c>
      <c r="AB593" s="22">
        <f>VLOOKUP(TablaCalificaciones[[#This Row],[Coherencia y manejo del tiempo]],PESOS!A$25:B$29,2,0)</f>
        <v>10</v>
      </c>
      <c r="AC593" s="1"/>
      <c r="AD593" s="1" t="s">
        <v>45</v>
      </c>
      <c r="AE593" s="22">
        <f>VLOOKUP(TablaCalificaciones[[#This Row],[Diapositivas como apoyo]],PESOS!A$25:B$29,2,0)</f>
        <v>10</v>
      </c>
      <c r="AF593" s="1"/>
      <c r="AG593" s="1" t="s">
        <v>45</v>
      </c>
      <c r="AH593" s="22">
        <f>VLOOKUP(TablaCalificaciones[[#This Row],[Respuestas a preguntas]],PESOS!A$25:B$29,2,0)</f>
        <v>10</v>
      </c>
      <c r="AI593" s="1"/>
      <c r="AJ593" s="1" t="s">
        <v>45</v>
      </c>
      <c r="AK593" s="22">
        <f>VLOOKUP(TablaCalificaciones[[#This Row],[Cierre: aporte a próximos pasos]],PESOS!A$25:B$29,2,0)</f>
        <v>10</v>
      </c>
      <c r="AL593" s="1"/>
      <c r="AM593" s="1"/>
    </row>
    <row r="594" spans="1:39">
      <c r="A594">
        <v>612</v>
      </c>
      <c r="B594" s="2">
        <v>46139.7433101852</v>
      </c>
      <c r="C594" s="2">
        <v>46139.744340277801</v>
      </c>
      <c r="D594" s="1" t="s">
        <v>353</v>
      </c>
      <c r="E594" s="1" t="s">
        <v>354</v>
      </c>
      <c r="G594" s="1"/>
      <c r="H594" s="2"/>
      <c r="I594" s="1" t="s">
        <v>134</v>
      </c>
      <c r="K594" s="1"/>
      <c r="L594" s="1" t="s">
        <v>354</v>
      </c>
      <c r="M594" s="26" t="str">
        <f>CONCATENATE(TablaCalificaciones[[#This Row],[Seleccione su nombre (Evaluador)]],TablaCalificaciones[[#This Row],[Seleccione el nombre del Estudiante]])</f>
        <v>María Cristina Jiménez HernándezValverde González Alberto Sebastián</v>
      </c>
      <c r="N594" s="1"/>
      <c r="O594" s="1" t="s">
        <v>294</v>
      </c>
      <c r="Q594" s="1"/>
      <c r="R594" s="1" t="s">
        <v>44</v>
      </c>
      <c r="S594" s="22">
        <f>VLOOKUP(TablaCalificaciones[[#This Row],[Apertura: problema y objetivo ]],PESOS!A$16:B$20,2,0)</f>
        <v>20</v>
      </c>
      <c r="T594" s="1"/>
      <c r="U594" s="1" t="s">
        <v>44</v>
      </c>
      <c r="V594" s="22">
        <f>VLOOKUP(TablaCalificaciones[[#This Row],[Metodología (nivel adecuado)]],PESOS!A$16:B$20,2,0)</f>
        <v>20</v>
      </c>
      <c r="W594" s="1"/>
      <c r="X594" s="1" t="s">
        <v>44</v>
      </c>
      <c r="Y594" s="22">
        <f>VLOOKUP(TablaCalificaciones[[#This Row],[Resultados y evidencia ]],PESOS!A$16:B$20,2,0)</f>
        <v>20</v>
      </c>
      <c r="Z594" s="1"/>
      <c r="AA594" s="1" t="s">
        <v>45</v>
      </c>
      <c r="AB594" s="22">
        <f>VLOOKUP(TablaCalificaciones[[#This Row],[Coherencia y manejo del tiempo]],PESOS!A$25:B$29,2,0)</f>
        <v>10</v>
      </c>
      <c r="AC594" s="1"/>
      <c r="AD594" s="1" t="s">
        <v>45</v>
      </c>
      <c r="AE594" s="22">
        <f>VLOOKUP(TablaCalificaciones[[#This Row],[Diapositivas como apoyo]],PESOS!A$25:B$29,2,0)</f>
        <v>10</v>
      </c>
      <c r="AF594" s="1"/>
      <c r="AG594" s="1" t="s">
        <v>45</v>
      </c>
      <c r="AH594" s="22">
        <f>VLOOKUP(TablaCalificaciones[[#This Row],[Respuestas a preguntas]],PESOS!A$25:B$29,2,0)</f>
        <v>10</v>
      </c>
      <c r="AI594" s="1"/>
      <c r="AJ594" s="1" t="s">
        <v>45</v>
      </c>
      <c r="AK594" s="22">
        <f>VLOOKUP(TablaCalificaciones[[#This Row],[Cierre: aporte a próximos pasos]],PESOS!A$25:B$29,2,0)</f>
        <v>10</v>
      </c>
      <c r="AL594" s="1"/>
      <c r="AM594" s="1"/>
    </row>
    <row r="595" spans="1:39">
      <c r="A595">
        <v>613</v>
      </c>
      <c r="B595" s="2">
        <v>46139.744421296302</v>
      </c>
      <c r="C595" s="2">
        <v>46139.745104166701</v>
      </c>
      <c r="D595" s="1" t="s">
        <v>353</v>
      </c>
      <c r="E595" s="1" t="s">
        <v>354</v>
      </c>
      <c r="G595" s="1"/>
      <c r="H595" s="2"/>
      <c r="I595" s="1" t="s">
        <v>134</v>
      </c>
      <c r="K595" s="1"/>
      <c r="L595" s="1" t="s">
        <v>354</v>
      </c>
      <c r="M595" s="26" t="str">
        <f>CONCATENATE(TablaCalificaciones[[#This Row],[Seleccione su nombre (Evaluador)]],TablaCalificaciones[[#This Row],[Seleccione el nombre del Estudiante]])</f>
        <v>María Cristina Jiménez HernándezVinueza Rodríguez Jadira Estefanía</v>
      </c>
      <c r="N595" s="1"/>
      <c r="O595" s="1" t="s">
        <v>295</v>
      </c>
      <c r="Q595" s="1"/>
      <c r="R595" s="1" t="s">
        <v>44</v>
      </c>
      <c r="S595" s="22">
        <f>VLOOKUP(TablaCalificaciones[[#This Row],[Apertura: problema y objetivo ]],PESOS!A$16:B$20,2,0)</f>
        <v>20</v>
      </c>
      <c r="T595" s="1"/>
      <c r="U595" s="1" t="s">
        <v>44</v>
      </c>
      <c r="V595" s="22">
        <f>VLOOKUP(TablaCalificaciones[[#This Row],[Metodología (nivel adecuado)]],PESOS!A$16:B$20,2,0)</f>
        <v>20</v>
      </c>
      <c r="W595" s="1"/>
      <c r="X595" s="1" t="s">
        <v>44</v>
      </c>
      <c r="Y595" s="22">
        <f>VLOOKUP(TablaCalificaciones[[#This Row],[Resultados y evidencia ]],PESOS!A$16:B$20,2,0)</f>
        <v>20</v>
      </c>
      <c r="Z595" s="1"/>
      <c r="AA595" s="1" t="s">
        <v>45</v>
      </c>
      <c r="AB595" s="22">
        <f>VLOOKUP(TablaCalificaciones[[#This Row],[Coherencia y manejo del tiempo]],PESOS!A$25:B$29,2,0)</f>
        <v>10</v>
      </c>
      <c r="AC595" s="1"/>
      <c r="AD595" s="1" t="s">
        <v>45</v>
      </c>
      <c r="AE595" s="22">
        <f>VLOOKUP(TablaCalificaciones[[#This Row],[Diapositivas como apoyo]],PESOS!A$25:B$29,2,0)</f>
        <v>10</v>
      </c>
      <c r="AF595" s="1"/>
      <c r="AG595" s="1" t="s">
        <v>45</v>
      </c>
      <c r="AH595" s="22">
        <f>VLOOKUP(TablaCalificaciones[[#This Row],[Respuestas a preguntas]],PESOS!A$25:B$29,2,0)</f>
        <v>10</v>
      </c>
      <c r="AI595" s="1"/>
      <c r="AJ595" s="1" t="s">
        <v>45</v>
      </c>
      <c r="AK595" s="22">
        <f>VLOOKUP(TablaCalificaciones[[#This Row],[Cierre: aporte a próximos pasos]],PESOS!A$25:B$29,2,0)</f>
        <v>10</v>
      </c>
      <c r="AL595" s="1"/>
      <c r="AM595" s="1"/>
    </row>
    <row r="596" spans="1:39">
      <c r="A596">
        <v>614</v>
      </c>
      <c r="B596" s="2">
        <v>46139.745138888902</v>
      </c>
      <c r="C596" s="2">
        <v>46139.746342592603</v>
      </c>
      <c r="D596" s="1" t="s">
        <v>353</v>
      </c>
      <c r="E596" s="1" t="s">
        <v>354</v>
      </c>
      <c r="G596" s="1"/>
      <c r="H596" s="2"/>
      <c r="I596" s="1" t="s">
        <v>134</v>
      </c>
      <c r="K596" s="1"/>
      <c r="L596" s="1" t="s">
        <v>354</v>
      </c>
      <c r="M596" s="26" t="str">
        <f>CONCATENATE(TablaCalificaciones[[#This Row],[Seleccione su nombre (Evaluador)]],TablaCalificaciones[[#This Row],[Seleccione el nombre del Estudiante]])</f>
        <v>María Cristina Jiménez HernándezBarragán Tingo Shirley Mayté</v>
      </c>
      <c r="N596" s="1"/>
      <c r="O596" s="1" t="s">
        <v>300</v>
      </c>
      <c r="Q596" s="1"/>
      <c r="R596" s="1" t="s">
        <v>50</v>
      </c>
      <c r="S596" s="22">
        <f>VLOOKUP(TablaCalificaciones[[#This Row],[Apertura: problema y objetivo ]],PESOS!A$16:B$20,2,0)</f>
        <v>16</v>
      </c>
      <c r="T596" s="1"/>
      <c r="U596" s="1" t="s">
        <v>50</v>
      </c>
      <c r="V596" s="22">
        <f>VLOOKUP(TablaCalificaciones[[#This Row],[Metodología (nivel adecuado)]],PESOS!A$16:B$20,2,0)</f>
        <v>16</v>
      </c>
      <c r="W596" s="1"/>
      <c r="X596" s="1" t="s">
        <v>50</v>
      </c>
      <c r="Y596" s="22">
        <f>VLOOKUP(TablaCalificaciones[[#This Row],[Resultados y evidencia ]],PESOS!A$16:B$20,2,0)</f>
        <v>16</v>
      </c>
      <c r="Z596" s="1"/>
      <c r="AA596" s="1" t="s">
        <v>51</v>
      </c>
      <c r="AB596" s="22">
        <f>VLOOKUP(TablaCalificaciones[[#This Row],[Coherencia y manejo del tiempo]],PESOS!A$25:B$29,2,0)</f>
        <v>8</v>
      </c>
      <c r="AC596" s="1"/>
      <c r="AD596" s="1" t="s">
        <v>51</v>
      </c>
      <c r="AE596" s="22">
        <f>VLOOKUP(TablaCalificaciones[[#This Row],[Diapositivas como apoyo]],PESOS!A$25:B$29,2,0)</f>
        <v>8</v>
      </c>
      <c r="AF596" s="1"/>
      <c r="AG596" s="1" t="s">
        <v>51</v>
      </c>
      <c r="AH596" s="22">
        <f>VLOOKUP(TablaCalificaciones[[#This Row],[Respuestas a preguntas]],PESOS!A$25:B$29,2,0)</f>
        <v>8</v>
      </c>
      <c r="AI596" s="1"/>
      <c r="AJ596" s="1" t="s">
        <v>51</v>
      </c>
      <c r="AK596" s="22">
        <f>VLOOKUP(TablaCalificaciones[[#This Row],[Cierre: aporte a próximos pasos]],PESOS!A$25:B$29,2,0)</f>
        <v>8</v>
      </c>
      <c r="AL596" s="1"/>
      <c r="AM596" s="1"/>
    </row>
    <row r="597" spans="1:39">
      <c r="A597">
        <v>615</v>
      </c>
      <c r="B597" s="2">
        <v>46139.746377314797</v>
      </c>
      <c r="C597" s="2">
        <v>46139.746921296297</v>
      </c>
      <c r="D597" s="1" t="s">
        <v>353</v>
      </c>
      <c r="E597" s="1" t="s">
        <v>354</v>
      </c>
      <c r="G597" s="1"/>
      <c r="H597" s="2"/>
      <c r="I597" s="1" t="s">
        <v>134</v>
      </c>
      <c r="K597" s="1"/>
      <c r="L597" s="1" t="s">
        <v>354</v>
      </c>
      <c r="M597" s="26" t="str">
        <f>CONCATENATE(TablaCalificaciones[[#This Row],[Seleccione su nombre (Evaluador)]],TablaCalificaciones[[#This Row],[Seleccione el nombre del Estudiante]])</f>
        <v>María Cristina Jiménez HernándezHernández Itas Dania Elizabeth</v>
      </c>
      <c r="N597" s="1"/>
      <c r="O597" s="1" t="s">
        <v>299</v>
      </c>
      <c r="Q597" s="1"/>
      <c r="R597" s="1" t="s">
        <v>50</v>
      </c>
      <c r="S597" s="22">
        <f>VLOOKUP(TablaCalificaciones[[#This Row],[Apertura: problema y objetivo ]],PESOS!A$16:B$20,2,0)</f>
        <v>16</v>
      </c>
      <c r="T597" s="1"/>
      <c r="U597" s="1" t="s">
        <v>50</v>
      </c>
      <c r="V597" s="22">
        <f>VLOOKUP(TablaCalificaciones[[#This Row],[Metodología (nivel adecuado)]],PESOS!A$16:B$20,2,0)</f>
        <v>16</v>
      </c>
      <c r="W597" s="1"/>
      <c r="X597" s="1" t="s">
        <v>50</v>
      </c>
      <c r="Y597" s="22">
        <f>VLOOKUP(TablaCalificaciones[[#This Row],[Resultados y evidencia ]],PESOS!A$16:B$20,2,0)</f>
        <v>16</v>
      </c>
      <c r="Z597" s="1"/>
      <c r="AA597" s="1" t="s">
        <v>51</v>
      </c>
      <c r="AB597" s="22">
        <f>VLOOKUP(TablaCalificaciones[[#This Row],[Coherencia y manejo del tiempo]],PESOS!A$25:B$29,2,0)</f>
        <v>8</v>
      </c>
      <c r="AC597" s="1"/>
      <c r="AD597" s="1" t="s">
        <v>51</v>
      </c>
      <c r="AE597" s="22">
        <f>VLOOKUP(TablaCalificaciones[[#This Row],[Diapositivas como apoyo]],PESOS!A$25:B$29,2,0)</f>
        <v>8</v>
      </c>
      <c r="AF597" s="1"/>
      <c r="AG597" s="1" t="s">
        <v>51</v>
      </c>
      <c r="AH597" s="22">
        <f>VLOOKUP(TablaCalificaciones[[#This Row],[Respuestas a preguntas]],PESOS!A$25:B$29,2,0)</f>
        <v>8</v>
      </c>
      <c r="AI597" s="1"/>
      <c r="AJ597" s="1" t="s">
        <v>51</v>
      </c>
      <c r="AK597" s="22">
        <f>VLOOKUP(TablaCalificaciones[[#This Row],[Cierre: aporte a próximos pasos]],PESOS!A$25:B$29,2,0)</f>
        <v>8</v>
      </c>
      <c r="AL597" s="1"/>
      <c r="AM597" s="1"/>
    </row>
    <row r="598" spans="1:39">
      <c r="A598">
        <v>616</v>
      </c>
      <c r="B598" s="2">
        <v>46139.7469444444</v>
      </c>
      <c r="C598" s="2">
        <v>46139.747592592597</v>
      </c>
      <c r="D598" s="1" t="s">
        <v>353</v>
      </c>
      <c r="E598" s="1" t="s">
        <v>354</v>
      </c>
      <c r="G598" s="1"/>
      <c r="H598" s="2"/>
      <c r="I598" s="1" t="s">
        <v>134</v>
      </c>
      <c r="K598" s="1"/>
      <c r="L598" s="1" t="s">
        <v>354</v>
      </c>
      <c r="M598" s="26" t="str">
        <f>CONCATENATE(TablaCalificaciones[[#This Row],[Seleccione su nombre (Evaluador)]],TablaCalificaciones[[#This Row],[Seleccione el nombre del Estudiante]])</f>
        <v>María Cristina Jiménez HernándezSalazar Oviedo Mayra Josseth</v>
      </c>
      <c r="N598" s="1"/>
      <c r="O598" s="1" t="s">
        <v>301</v>
      </c>
      <c r="Q598" s="1"/>
      <c r="R598" s="1" t="s">
        <v>50</v>
      </c>
      <c r="S598" s="22">
        <f>VLOOKUP(TablaCalificaciones[[#This Row],[Apertura: problema y objetivo ]],PESOS!A$16:B$20,2,0)</f>
        <v>16</v>
      </c>
      <c r="T598" s="1"/>
      <c r="U598" s="1" t="s">
        <v>50</v>
      </c>
      <c r="V598" s="22">
        <f>VLOOKUP(TablaCalificaciones[[#This Row],[Metodología (nivel adecuado)]],PESOS!A$16:B$20,2,0)</f>
        <v>16</v>
      </c>
      <c r="W598" s="1"/>
      <c r="X598" s="1" t="s">
        <v>50</v>
      </c>
      <c r="Y598" s="22">
        <f>VLOOKUP(TablaCalificaciones[[#This Row],[Resultados y evidencia ]],PESOS!A$16:B$20,2,0)</f>
        <v>16</v>
      </c>
      <c r="Z598" s="1"/>
      <c r="AA598" s="1" t="s">
        <v>51</v>
      </c>
      <c r="AB598" s="22">
        <f>VLOOKUP(TablaCalificaciones[[#This Row],[Coherencia y manejo del tiempo]],PESOS!A$25:B$29,2,0)</f>
        <v>8</v>
      </c>
      <c r="AC598" s="1"/>
      <c r="AD598" s="1" t="s">
        <v>51</v>
      </c>
      <c r="AE598" s="22">
        <f>VLOOKUP(TablaCalificaciones[[#This Row],[Diapositivas como apoyo]],PESOS!A$25:B$29,2,0)</f>
        <v>8</v>
      </c>
      <c r="AF598" s="1"/>
      <c r="AG598" s="1" t="s">
        <v>51</v>
      </c>
      <c r="AH598" s="22">
        <f>VLOOKUP(TablaCalificaciones[[#This Row],[Respuestas a preguntas]],PESOS!A$25:B$29,2,0)</f>
        <v>8</v>
      </c>
      <c r="AI598" s="1"/>
      <c r="AJ598" s="1" t="s">
        <v>51</v>
      </c>
      <c r="AK598" s="22">
        <f>VLOOKUP(TablaCalificaciones[[#This Row],[Cierre: aporte a próximos pasos]],PESOS!A$25:B$29,2,0)</f>
        <v>8</v>
      </c>
      <c r="AL598" s="1"/>
      <c r="AM598" s="1"/>
    </row>
    <row r="599" spans="1:39">
      <c r="A599">
        <v>617</v>
      </c>
      <c r="B599" s="2">
        <v>46139.747627314799</v>
      </c>
      <c r="C599" s="2">
        <v>46139.748715277798</v>
      </c>
      <c r="D599" s="1" t="s">
        <v>353</v>
      </c>
      <c r="E599" s="1" t="s">
        <v>354</v>
      </c>
      <c r="G599" s="1"/>
      <c r="H599" s="2"/>
      <c r="I599" s="1" t="s">
        <v>134</v>
      </c>
      <c r="K599" s="1"/>
      <c r="L599" s="1" t="s">
        <v>354</v>
      </c>
      <c r="M599" s="26" t="str">
        <f>CONCATENATE(TablaCalificaciones[[#This Row],[Seleccione su nombre (Evaluador)]],TablaCalificaciones[[#This Row],[Seleccione el nombre del Estudiante]])</f>
        <v>María Cristina Jiménez HernándezBaquerizo Trujillo Julián Darío</v>
      </c>
      <c r="N599" s="1"/>
      <c r="O599" s="1" t="s">
        <v>319</v>
      </c>
      <c r="Q599" s="1"/>
      <c r="R599" s="1" t="s">
        <v>44</v>
      </c>
      <c r="S599" s="22">
        <f>VLOOKUP(TablaCalificaciones[[#This Row],[Apertura: problema y objetivo ]],PESOS!A$16:B$20,2,0)</f>
        <v>20</v>
      </c>
      <c r="T599" s="1"/>
      <c r="U599" s="1" t="s">
        <v>44</v>
      </c>
      <c r="V599" s="22">
        <f>VLOOKUP(TablaCalificaciones[[#This Row],[Metodología (nivel adecuado)]],PESOS!A$16:B$20,2,0)</f>
        <v>20</v>
      </c>
      <c r="W599" s="1"/>
      <c r="X599" s="1" t="s">
        <v>44</v>
      </c>
      <c r="Y599" s="22">
        <f>VLOOKUP(TablaCalificaciones[[#This Row],[Resultados y evidencia ]],PESOS!A$16:B$20,2,0)</f>
        <v>20</v>
      </c>
      <c r="Z599" s="1"/>
      <c r="AA599" s="1" t="s">
        <v>45</v>
      </c>
      <c r="AB599" s="22">
        <f>VLOOKUP(TablaCalificaciones[[#This Row],[Coherencia y manejo del tiempo]],PESOS!A$25:B$29,2,0)</f>
        <v>10</v>
      </c>
      <c r="AC599" s="1"/>
      <c r="AD599" s="1" t="s">
        <v>45</v>
      </c>
      <c r="AE599" s="22">
        <f>VLOOKUP(TablaCalificaciones[[#This Row],[Diapositivas como apoyo]],PESOS!A$25:B$29,2,0)</f>
        <v>10</v>
      </c>
      <c r="AF599" s="1"/>
      <c r="AG599" s="1" t="s">
        <v>45</v>
      </c>
      <c r="AH599" s="22">
        <f>VLOOKUP(TablaCalificaciones[[#This Row],[Respuestas a preguntas]],PESOS!A$25:B$29,2,0)</f>
        <v>10</v>
      </c>
      <c r="AI599" s="1"/>
      <c r="AJ599" s="1" t="s">
        <v>45</v>
      </c>
      <c r="AK599" s="22">
        <f>VLOOKUP(TablaCalificaciones[[#This Row],[Cierre: aporte a próximos pasos]],PESOS!A$25:B$29,2,0)</f>
        <v>10</v>
      </c>
      <c r="AL599" s="1"/>
      <c r="AM599" s="1"/>
    </row>
    <row r="600" spans="1:39">
      <c r="A600">
        <v>618</v>
      </c>
      <c r="B600" s="2">
        <v>46139.748842592599</v>
      </c>
      <c r="C600" s="2">
        <v>46139.749560185199</v>
      </c>
      <c r="D600" s="1" t="s">
        <v>353</v>
      </c>
      <c r="E600" s="1" t="s">
        <v>354</v>
      </c>
      <c r="G600" s="1"/>
      <c r="H600" s="2"/>
      <c r="I600" s="1" t="s">
        <v>134</v>
      </c>
      <c r="K600" s="1"/>
      <c r="L600" s="1" t="s">
        <v>354</v>
      </c>
      <c r="M600" s="26" t="str">
        <f>CONCATENATE(TablaCalificaciones[[#This Row],[Seleccione su nombre (Evaluador)]],TablaCalificaciones[[#This Row],[Seleccione el nombre del Estudiante]])</f>
        <v>María Cristina Jiménez HernándezParedes Betancourt Inés María</v>
      </c>
      <c r="N600" s="1"/>
      <c r="O600" s="1" t="s">
        <v>320</v>
      </c>
      <c r="Q600" s="1"/>
      <c r="R600" s="1" t="s">
        <v>44</v>
      </c>
      <c r="S600" s="22">
        <f>VLOOKUP(TablaCalificaciones[[#This Row],[Apertura: problema y objetivo ]],PESOS!A$16:B$20,2,0)</f>
        <v>20</v>
      </c>
      <c r="T600" s="1"/>
      <c r="U600" s="1" t="s">
        <v>44</v>
      </c>
      <c r="V600" s="22">
        <f>VLOOKUP(TablaCalificaciones[[#This Row],[Metodología (nivel adecuado)]],PESOS!A$16:B$20,2,0)</f>
        <v>20</v>
      </c>
      <c r="W600" s="1"/>
      <c r="X600" s="1" t="s">
        <v>44</v>
      </c>
      <c r="Y600" s="22">
        <f>VLOOKUP(TablaCalificaciones[[#This Row],[Resultados y evidencia ]],PESOS!A$16:B$20,2,0)</f>
        <v>20</v>
      </c>
      <c r="Z600" s="1"/>
      <c r="AA600" s="1" t="s">
        <v>45</v>
      </c>
      <c r="AB600" s="22">
        <f>VLOOKUP(TablaCalificaciones[[#This Row],[Coherencia y manejo del tiempo]],PESOS!A$25:B$29,2,0)</f>
        <v>10</v>
      </c>
      <c r="AC600" s="1"/>
      <c r="AD600" s="1" t="s">
        <v>45</v>
      </c>
      <c r="AE600" s="22">
        <f>VLOOKUP(TablaCalificaciones[[#This Row],[Diapositivas como apoyo]],PESOS!A$25:B$29,2,0)</f>
        <v>10</v>
      </c>
      <c r="AF600" s="1"/>
      <c r="AG600" s="1" t="s">
        <v>45</v>
      </c>
      <c r="AH600" s="22">
        <f>VLOOKUP(TablaCalificaciones[[#This Row],[Respuestas a preguntas]],PESOS!A$25:B$29,2,0)</f>
        <v>10</v>
      </c>
      <c r="AI600" s="1"/>
      <c r="AJ600" s="1" t="s">
        <v>45</v>
      </c>
      <c r="AK600" s="22">
        <f>VLOOKUP(TablaCalificaciones[[#This Row],[Cierre: aporte a próximos pasos]],PESOS!A$25:B$29,2,0)</f>
        <v>10</v>
      </c>
      <c r="AL600" s="1"/>
      <c r="AM600" s="1"/>
    </row>
    <row r="601" spans="1:39">
      <c r="A601">
        <v>619</v>
      </c>
      <c r="B601" s="2">
        <v>46139.7495949074</v>
      </c>
      <c r="C601" s="2">
        <v>46139.750335648103</v>
      </c>
      <c r="D601" s="1" t="s">
        <v>353</v>
      </c>
      <c r="E601" s="1" t="s">
        <v>354</v>
      </c>
      <c r="G601" s="1"/>
      <c r="H601" s="2"/>
      <c r="I601" s="1" t="s">
        <v>134</v>
      </c>
      <c r="K601" s="1"/>
      <c r="L601" s="1" t="s">
        <v>354</v>
      </c>
      <c r="M601" s="26" t="str">
        <f>CONCATENATE(TablaCalificaciones[[#This Row],[Seleccione su nombre (Evaluador)]],TablaCalificaciones[[#This Row],[Seleccione el nombre del Estudiante]])</f>
        <v>María Cristina Jiménez HernándezRojas Calero César Augusto</v>
      </c>
      <c r="N601" s="1"/>
      <c r="O601" s="1" t="s">
        <v>321</v>
      </c>
      <c r="Q601" s="1"/>
      <c r="R601" s="1" t="s">
        <v>44</v>
      </c>
      <c r="S601" s="22">
        <f>VLOOKUP(TablaCalificaciones[[#This Row],[Apertura: problema y objetivo ]],PESOS!A$16:B$20,2,0)</f>
        <v>20</v>
      </c>
      <c r="T601" s="1"/>
      <c r="U601" s="1" t="s">
        <v>44</v>
      </c>
      <c r="V601" s="22">
        <f>VLOOKUP(TablaCalificaciones[[#This Row],[Metodología (nivel adecuado)]],PESOS!A$16:B$20,2,0)</f>
        <v>20</v>
      </c>
      <c r="W601" s="1"/>
      <c r="X601" s="1" t="s">
        <v>44</v>
      </c>
      <c r="Y601" s="22">
        <f>VLOOKUP(TablaCalificaciones[[#This Row],[Resultados y evidencia ]],PESOS!A$16:B$20,2,0)</f>
        <v>20</v>
      </c>
      <c r="Z601" s="1"/>
      <c r="AA601" s="1" t="s">
        <v>45</v>
      </c>
      <c r="AB601" s="22">
        <f>VLOOKUP(TablaCalificaciones[[#This Row],[Coherencia y manejo del tiempo]],PESOS!A$25:B$29,2,0)</f>
        <v>10</v>
      </c>
      <c r="AC601" s="1"/>
      <c r="AD601" s="1" t="s">
        <v>45</v>
      </c>
      <c r="AE601" s="22">
        <f>VLOOKUP(TablaCalificaciones[[#This Row],[Diapositivas como apoyo]],PESOS!A$25:B$29,2,0)</f>
        <v>10</v>
      </c>
      <c r="AF601" s="1"/>
      <c r="AG601" s="1" t="s">
        <v>45</v>
      </c>
      <c r="AH601" s="22">
        <f>VLOOKUP(TablaCalificaciones[[#This Row],[Respuestas a preguntas]],PESOS!A$25:B$29,2,0)</f>
        <v>10</v>
      </c>
      <c r="AI601" s="1"/>
      <c r="AJ601" s="1" t="s">
        <v>45</v>
      </c>
      <c r="AK601" s="22">
        <f>VLOOKUP(TablaCalificaciones[[#This Row],[Cierre: aporte a próximos pasos]],PESOS!A$25:B$29,2,0)</f>
        <v>10</v>
      </c>
      <c r="AL601" s="1"/>
      <c r="AM601" s="1"/>
    </row>
    <row r="602" spans="1:39">
      <c r="M602"/>
      <c r="S602"/>
      <c r="V602"/>
      <c r="Y602"/>
      <c r="AB602"/>
      <c r="AE602"/>
      <c r="AH602"/>
      <c r="AK602"/>
    </row>
    <row r="603" spans="1:39">
      <c r="M603"/>
      <c r="S603"/>
      <c r="V603"/>
      <c r="Y603"/>
      <c r="AB603"/>
      <c r="AE603"/>
      <c r="AH603"/>
      <c r="AK603"/>
    </row>
    <row r="604" spans="1:39">
      <c r="M604"/>
      <c r="S604"/>
      <c r="V604"/>
      <c r="Y604"/>
      <c r="AB604"/>
      <c r="AE604"/>
      <c r="AH604"/>
      <c r="AK604"/>
    </row>
    <row r="605" spans="1:39">
      <c r="M605"/>
      <c r="S605"/>
      <c r="V605"/>
      <c r="Y605"/>
      <c r="AB605"/>
      <c r="AE605"/>
      <c r="AH605"/>
      <c r="AK605"/>
    </row>
    <row r="606" spans="1:39">
      <c r="M606"/>
      <c r="S606"/>
      <c r="V606"/>
      <c r="Y606"/>
      <c r="AB606"/>
      <c r="AE606"/>
      <c r="AH606"/>
      <c r="AK606"/>
    </row>
    <row r="607" spans="1:39">
      <c r="M607"/>
      <c r="S607"/>
      <c r="V607"/>
      <c r="Y607"/>
      <c r="AB607"/>
      <c r="AE607"/>
      <c r="AH607"/>
      <c r="AK607"/>
    </row>
    <row r="608" spans="1:39">
      <c r="M608"/>
      <c r="S608"/>
      <c r="V608"/>
      <c r="Y608"/>
      <c r="AB608"/>
      <c r="AE608"/>
      <c r="AH608"/>
      <c r="AK608"/>
    </row>
    <row r="609" customFormat="1"/>
    <row r="610" customFormat="1"/>
    <row r="611" customFormat="1"/>
    <row r="612" customFormat="1"/>
    <row r="613" customFormat="1"/>
    <row r="614" customFormat="1"/>
  </sheetData>
  <conditionalFormatting sqref="M615:M1048576 M1:M601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FCDF2-A751-4DC6-87B8-1B252C97CC4F}">
  <dimension ref="A1:C29"/>
  <sheetViews>
    <sheetView workbookViewId="0">
      <selection activeCell="A27" sqref="A27"/>
    </sheetView>
  </sheetViews>
  <sheetFormatPr baseColWidth="10" defaultColWidth="8.83203125" defaultRowHeight="15"/>
  <cols>
    <col min="1" max="1" width="19" bestFit="1" customWidth="1"/>
    <col min="2" max="3" width="17.5" bestFit="1" customWidth="1"/>
  </cols>
  <sheetData>
    <row r="1" spans="1:3">
      <c r="A1" s="6" t="s">
        <v>355</v>
      </c>
      <c r="B1" s="7" t="s">
        <v>356</v>
      </c>
      <c r="C1" s="8" t="s">
        <v>357</v>
      </c>
    </row>
    <row r="2" spans="1:3">
      <c r="A2" s="4" t="s">
        <v>358</v>
      </c>
      <c r="B2" s="3">
        <v>20</v>
      </c>
      <c r="C2" s="5">
        <v>10</v>
      </c>
    </row>
    <row r="3" spans="1:3">
      <c r="A3" s="4" t="s">
        <v>359</v>
      </c>
      <c r="B3" s="3">
        <v>16</v>
      </c>
      <c r="C3" s="5">
        <v>8</v>
      </c>
    </row>
    <row r="4" spans="1:3">
      <c r="A4" s="4" t="s">
        <v>360</v>
      </c>
      <c r="B4" s="3">
        <v>12</v>
      </c>
      <c r="C4" s="5">
        <v>6</v>
      </c>
    </row>
    <row r="5" spans="1:3">
      <c r="A5" s="4" t="s">
        <v>361</v>
      </c>
      <c r="B5" s="3">
        <v>8</v>
      </c>
      <c r="C5" s="5">
        <v>4</v>
      </c>
    </row>
    <row r="6" spans="1:3">
      <c r="A6" s="9" t="s">
        <v>362</v>
      </c>
      <c r="B6" s="10">
        <v>4</v>
      </c>
      <c r="C6" s="11">
        <v>2</v>
      </c>
    </row>
    <row r="15" spans="1:3">
      <c r="A15" s="12" t="s">
        <v>363</v>
      </c>
      <c r="B15" t="s">
        <v>364</v>
      </c>
    </row>
    <row r="16" spans="1:3">
      <c r="A16" s="13" t="s">
        <v>44</v>
      </c>
      <c r="B16">
        <v>20</v>
      </c>
    </row>
    <row r="17" spans="1:2">
      <c r="A17" s="13" t="s">
        <v>50</v>
      </c>
      <c r="B17">
        <v>16</v>
      </c>
    </row>
    <row r="18" spans="1:2">
      <c r="A18" s="13" t="s">
        <v>105</v>
      </c>
      <c r="B18">
        <v>12</v>
      </c>
    </row>
    <row r="19" spans="1:2">
      <c r="A19" s="13" t="s">
        <v>85</v>
      </c>
      <c r="B19">
        <v>8</v>
      </c>
    </row>
    <row r="20" spans="1:2">
      <c r="A20" s="14" t="s">
        <v>365</v>
      </c>
      <c r="B20">
        <v>4</v>
      </c>
    </row>
    <row r="24" spans="1:2">
      <c r="A24" s="12" t="s">
        <v>366</v>
      </c>
      <c r="B24" t="s">
        <v>364</v>
      </c>
    </row>
    <row r="25" spans="1:2">
      <c r="A25" s="13" t="s">
        <v>45</v>
      </c>
      <c r="B25">
        <v>10</v>
      </c>
    </row>
    <row r="26" spans="1:2">
      <c r="A26" s="13" t="s">
        <v>51</v>
      </c>
      <c r="B26">
        <v>8</v>
      </c>
    </row>
    <row r="27" spans="1:2">
      <c r="A27" s="13" t="s">
        <v>83</v>
      </c>
      <c r="B27">
        <v>6</v>
      </c>
    </row>
    <row r="28" spans="1:2">
      <c r="A28" s="13" t="s">
        <v>215</v>
      </c>
      <c r="B28">
        <v>4</v>
      </c>
    </row>
    <row r="29" spans="1:2">
      <c r="A29" s="14" t="s">
        <v>86</v>
      </c>
      <c r="B29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D90BB-3029-8A4A-84ED-827175E4531A}">
  <dimension ref="A1:AM5"/>
  <sheetViews>
    <sheetView workbookViewId="0">
      <selection activeCell="D51" sqref="D51"/>
    </sheetView>
  </sheetViews>
  <sheetFormatPr baseColWidth="10" defaultColWidth="11.5" defaultRowHeight="15"/>
  <cols>
    <col min="1" max="1" width="11" bestFit="1" customWidth="1"/>
    <col min="2" max="2" width="12.33203125" bestFit="1" customWidth="1"/>
    <col min="3" max="3" width="16.83203125" bestFit="1" customWidth="1"/>
    <col min="4" max="4" width="29.83203125" bestFit="1" customWidth="1"/>
    <col min="5" max="5" width="24.33203125" bestFit="1" customWidth="1"/>
    <col min="6" max="6" width="12.6640625" bestFit="1" customWidth="1"/>
    <col min="7" max="7" width="14.5" bestFit="1" customWidth="1"/>
    <col min="8" max="8" width="18" bestFit="1" customWidth="1"/>
    <col min="9" max="9" width="27.1640625" bestFit="1" customWidth="1"/>
    <col min="10" max="10" width="33.5" bestFit="1" customWidth="1"/>
    <col min="11" max="11" width="36" bestFit="1" customWidth="1"/>
    <col min="12" max="12" width="30" bestFit="1" customWidth="1"/>
    <col min="13" max="13" width="43.6640625" bestFit="1" customWidth="1"/>
    <col min="14" max="14" width="38.6640625" bestFit="1" customWidth="1"/>
    <col min="15" max="15" width="32.33203125" bestFit="1" customWidth="1"/>
    <col min="16" max="16" width="38.5" bestFit="1" customWidth="1"/>
    <col min="17" max="17" width="41.1640625" bestFit="1" customWidth="1"/>
    <col min="18" max="18" width="27.5" bestFit="1" customWidth="1"/>
    <col min="19" max="19" width="33.83203125" bestFit="1" customWidth="1"/>
    <col min="20" max="20" width="36.5" bestFit="1" customWidth="1"/>
    <col min="21" max="21" width="26.83203125" bestFit="1" customWidth="1"/>
    <col min="22" max="22" width="33.1640625" bestFit="1" customWidth="1"/>
    <col min="23" max="23" width="35.83203125" bestFit="1" customWidth="1"/>
    <col min="24" max="24" width="21.5" bestFit="1" customWidth="1"/>
    <col min="25" max="25" width="27.83203125" bestFit="1" customWidth="1"/>
    <col min="26" max="26" width="30.5" bestFit="1" customWidth="1"/>
    <col min="27" max="27" width="29.1640625" bestFit="1" customWidth="1"/>
    <col min="28" max="28" width="35.33203125" bestFit="1" customWidth="1"/>
    <col min="29" max="29" width="37.83203125" bestFit="1" customWidth="1"/>
    <col min="30" max="30" width="22.6640625" bestFit="1" customWidth="1"/>
    <col min="31" max="31" width="28.83203125" bestFit="1" customWidth="1"/>
    <col min="32" max="32" width="31.5" bestFit="1" customWidth="1"/>
    <col min="33" max="33" width="21.5" bestFit="1" customWidth="1"/>
    <col min="34" max="34" width="27.6640625" bestFit="1" customWidth="1"/>
    <col min="35" max="35" width="30.33203125" bestFit="1" customWidth="1"/>
    <col min="36" max="36" width="28.1640625" bestFit="1" customWidth="1"/>
    <col min="37" max="37" width="34.6640625" bestFit="1" customWidth="1"/>
    <col min="38" max="38" width="37.1640625" bestFit="1" customWidth="1"/>
    <col min="39" max="39" width="19.1640625" bestFit="1" customWidth="1"/>
  </cols>
  <sheetData>
    <row r="1" spans="1:39">
      <c r="A1" s="18" t="s">
        <v>367</v>
      </c>
    </row>
    <row r="3" spans="1:39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</row>
    <row r="4" spans="1:39">
      <c r="A4">
        <v>413</v>
      </c>
      <c r="B4" s="2">
        <v>46135.679490740738</v>
      </c>
      <c r="C4" s="2">
        <v>46135.680324074077</v>
      </c>
      <c r="D4" t="s">
        <v>39</v>
      </c>
      <c r="E4" t="s">
        <v>40</v>
      </c>
      <c r="I4" t="s">
        <v>229</v>
      </c>
      <c r="L4" t="s">
        <v>42</v>
      </c>
      <c r="M4" t="s">
        <v>368</v>
      </c>
      <c r="O4" t="s">
        <v>241</v>
      </c>
      <c r="R4" t="s">
        <v>44</v>
      </c>
      <c r="S4">
        <v>20</v>
      </c>
      <c r="U4" t="s">
        <v>50</v>
      </c>
      <c r="V4">
        <v>16</v>
      </c>
      <c r="X4" t="s">
        <v>44</v>
      </c>
      <c r="Y4">
        <v>20</v>
      </c>
      <c r="AA4" t="s">
        <v>83</v>
      </c>
      <c r="AB4">
        <v>6</v>
      </c>
      <c r="AD4" t="s">
        <v>45</v>
      </c>
      <c r="AE4">
        <v>10</v>
      </c>
      <c r="AG4" t="s">
        <v>45</v>
      </c>
      <c r="AH4">
        <v>10</v>
      </c>
      <c r="AJ4" t="s">
        <v>45</v>
      </c>
      <c r="AK4">
        <v>10</v>
      </c>
    </row>
    <row r="5" spans="1:39">
      <c r="A5">
        <v>358</v>
      </c>
      <c r="B5" s="2">
        <v>46135.497847222221</v>
      </c>
      <c r="C5" s="2">
        <v>46135.499085648145</v>
      </c>
      <c r="D5" t="s">
        <v>225</v>
      </c>
      <c r="E5" t="s">
        <v>226</v>
      </c>
      <c r="I5" t="s">
        <v>229</v>
      </c>
      <c r="L5" t="s">
        <v>227</v>
      </c>
      <c r="M5" t="s">
        <v>369</v>
      </c>
      <c r="O5" t="s">
        <v>241</v>
      </c>
      <c r="R5" t="s">
        <v>50</v>
      </c>
      <c r="S5">
        <v>16</v>
      </c>
      <c r="U5" t="s">
        <v>50</v>
      </c>
      <c r="V5">
        <v>16</v>
      </c>
      <c r="X5" t="s">
        <v>44</v>
      </c>
      <c r="Y5">
        <v>20</v>
      </c>
      <c r="AA5" t="s">
        <v>83</v>
      </c>
      <c r="AB5">
        <v>6</v>
      </c>
      <c r="AD5" t="s">
        <v>51</v>
      </c>
      <c r="AE5">
        <v>8</v>
      </c>
      <c r="AG5" t="s">
        <v>45</v>
      </c>
      <c r="AH5">
        <v>10</v>
      </c>
      <c r="AJ5" t="s">
        <v>51</v>
      </c>
      <c r="AK5">
        <v>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B1273-C1C5-4972-98D8-99B4A24A0073}">
  <sheetPr>
    <tabColor theme="5" tint="0.39997558519241921"/>
  </sheetPr>
  <dimension ref="A1:U565"/>
  <sheetViews>
    <sheetView tabSelected="1" zoomScale="110" zoomScaleNormal="110" workbookViewId="0">
      <selection activeCell="O4" sqref="O4"/>
    </sheetView>
  </sheetViews>
  <sheetFormatPr baseColWidth="10" defaultColWidth="11.5" defaultRowHeight="15"/>
  <cols>
    <col min="1" max="1" width="34.83203125" bestFit="1" customWidth="1"/>
    <col min="2" max="2" width="18.1640625" style="15" bestFit="1" customWidth="1"/>
    <col min="3" max="4" width="24.33203125" bestFit="1" customWidth="1"/>
    <col min="5" max="5" width="18.83203125" bestFit="1" customWidth="1"/>
    <col min="6" max="6" width="25.6640625" bestFit="1" customWidth="1"/>
    <col min="7" max="7" width="20.1640625" bestFit="1" customWidth="1"/>
    <col min="8" max="8" width="19" bestFit="1" customWidth="1"/>
    <col min="9" max="9" width="22.1640625" bestFit="1" customWidth="1"/>
    <col min="10" max="18" width="16.83203125" customWidth="1"/>
    <col min="19" max="19" width="27" bestFit="1" customWidth="1"/>
    <col min="20" max="20" width="15.5" bestFit="1" customWidth="1"/>
  </cols>
  <sheetData>
    <row r="1" spans="1:21">
      <c r="B1"/>
    </row>
    <row r="2" spans="1:21" s="17" customFormat="1">
      <c r="A2"/>
      <c r="B2"/>
      <c r="C2"/>
      <c r="D2"/>
      <c r="E2"/>
      <c r="F2"/>
      <c r="G2"/>
      <c r="H2"/>
    </row>
    <row r="3" spans="1:21" ht="48">
      <c r="A3" s="19" t="s">
        <v>14</v>
      </c>
      <c r="B3" s="20" t="s">
        <v>370</v>
      </c>
      <c r="C3" s="20" t="s">
        <v>371</v>
      </c>
      <c r="D3" s="20" t="s">
        <v>372</v>
      </c>
      <c r="E3" s="20" t="s">
        <v>373</v>
      </c>
      <c r="F3" s="20" t="s">
        <v>374</v>
      </c>
      <c r="G3" s="20" t="s">
        <v>375</v>
      </c>
      <c r="H3" s="20" t="s">
        <v>376</v>
      </c>
      <c r="I3" s="20" t="s">
        <v>377</v>
      </c>
      <c r="J3" s="21" t="s">
        <v>378</v>
      </c>
      <c r="K3" s="21" t="s">
        <v>379</v>
      </c>
      <c r="L3" s="21" t="s">
        <v>380</v>
      </c>
      <c r="M3" s="21" t="s">
        <v>381</v>
      </c>
      <c r="N3" s="21" t="s">
        <v>382</v>
      </c>
      <c r="O3" s="21" t="s">
        <v>383</v>
      </c>
      <c r="P3" s="21" t="s">
        <v>384</v>
      </c>
      <c r="Q3" s="21" t="s">
        <v>385</v>
      </c>
      <c r="R3" s="21" t="s">
        <v>386</v>
      </c>
      <c r="S3" s="27" t="s">
        <v>387</v>
      </c>
      <c r="T3" s="27" t="s">
        <v>388</v>
      </c>
      <c r="U3" s="27" t="s">
        <v>389</v>
      </c>
    </row>
    <row r="4" spans="1:21">
      <c r="A4" t="s">
        <v>201</v>
      </c>
      <c r="B4" s="16">
        <v>3</v>
      </c>
      <c r="C4" s="16">
        <v>20</v>
      </c>
      <c r="D4" s="16">
        <v>16</v>
      </c>
      <c r="E4" s="16">
        <v>18.666666666666668</v>
      </c>
      <c r="F4" s="16">
        <v>8.6666666666666661</v>
      </c>
      <c r="G4" s="16">
        <v>8.6666666666666661</v>
      </c>
      <c r="H4" s="16">
        <v>8.6666666666666661</v>
      </c>
      <c r="I4" s="16">
        <v>8.6666666666666661</v>
      </c>
      <c r="J4" s="28">
        <f>(C4+D4+E4+F4+G4+H4+I4)</f>
        <v>89.333333333333343</v>
      </c>
      <c r="K4" s="29" t="str" cm="1">
        <f t="array" ref="K4">_xlfn.IFS(J4&gt;=90,"Excelente",J4&gt;=80,"Muy Bueno",J4&gt;=75,"Bueno",J4&gt;=65,"Regular",J4&gt;=55,"Insuficiente")</f>
        <v>Muy Bueno</v>
      </c>
      <c r="L4" s="30" t="str" cm="1">
        <f t="array" ref="L4">_xlfn.IFS(C4&gt;=18,"Excelente",C4&gt;=14,"Muy bueno",C4&gt;=10,"Bueno",C4&gt;=6,"Regular",C4&lt;6,"Insuficiente")</f>
        <v>Excelente</v>
      </c>
      <c r="M4" s="30" t="str" cm="1">
        <f t="array" ref="M4">_xlfn.IFS(D4&gt;=18,"Excelente",D4&gt;=14,"Muy bueno",D4&gt;=10,"Bueno",D4&gt;=6,"Regular",D4&lt;6,"Insuficiente")</f>
        <v>Muy bueno</v>
      </c>
      <c r="N4" s="30" t="str" cm="1">
        <f t="array" ref="N4">_xlfn.IFS(E4&gt;=18,"Excelente",E4&gt;=14,"Muy bueno",E4&gt;=10,"Bueno",E4&gt;=6,"Regular",E4&lt;6,"Insuficiente")</f>
        <v>Excelente</v>
      </c>
      <c r="O4" s="30" t="str" cm="1">
        <f t="array" ref="O4">_xlfn.IFS(F4&gt;=9,"Excelente",F4&gt;=7,"Muy bueno",F4&gt;=5,"Bueno",F4&gt;=3,"Regular",F4&lt;3,"Insuficiente")</f>
        <v>Muy bueno</v>
      </c>
      <c r="P4" s="30" t="str" cm="1">
        <f t="array" ref="P4">_xlfn.IFS(G4&gt;=9,"Excelente",G4&gt;=7,"Muy bueno",G4&gt;=5,"Bueno",G4&gt;=3,"Regular",G4&lt;3,"Insuficiente")</f>
        <v>Muy bueno</v>
      </c>
      <c r="Q4" s="30" t="str" cm="1">
        <f t="array" ref="Q4">_xlfn.IFS(H4&gt;=9,"Excelente",H4&gt;=7,"Muy bueno",H4&gt;=5,"Bueno",H4&gt;=3,"Regular",H4&lt;3,"Insuficiente")</f>
        <v>Muy bueno</v>
      </c>
      <c r="R4" s="30" t="str" cm="1">
        <f t="array" ref="R4">_xlfn.IFS(I4&gt;=9,"Excelente",I4&gt;=7,"Muy bueno",I4&gt;=5,"Bueno",I4&gt;=3,"Regular",I4&lt;3,"Insuficiente")</f>
        <v>Muy bueno</v>
      </c>
    </row>
    <row r="5" spans="1:21">
      <c r="A5" t="s">
        <v>326</v>
      </c>
      <c r="B5" s="16">
        <v>3</v>
      </c>
      <c r="C5" s="16">
        <v>18.666666666666668</v>
      </c>
      <c r="D5" s="16">
        <v>17.333333333333332</v>
      </c>
      <c r="E5" s="16">
        <v>16</v>
      </c>
      <c r="F5" s="16">
        <v>8.6666666666666661</v>
      </c>
      <c r="G5" s="16">
        <v>8.6666666666666661</v>
      </c>
      <c r="H5" s="16">
        <v>8</v>
      </c>
      <c r="I5" s="16">
        <v>8.6666666666666661</v>
      </c>
      <c r="J5" s="28">
        <f t="shared" ref="J5:J68" si="0">(C5+D5+E5+F5+G5+H5+I5)</f>
        <v>86</v>
      </c>
      <c r="K5" s="29" t="str" cm="1">
        <f t="array" ref="K5">_xlfn.IFS(J5&gt;=90,"Excelente",J5&gt;=80,"Muy Bueno",J5&gt;=75,"Bueno",J5&gt;=65,"Regular",J5&gt;=55,"Insuficiente")</f>
        <v>Muy Bueno</v>
      </c>
      <c r="L5" s="30" t="str" cm="1">
        <f t="array" ref="L5">_xlfn.IFS(C5&gt;=18,"Excelente",C5&gt;=14,"Muy bueno",C5&gt;=10,"Bueno",C5&gt;=6,"Regular",C5&lt;6,"Insuficiente")</f>
        <v>Excelente</v>
      </c>
      <c r="M5" s="30" t="str" cm="1">
        <f t="array" ref="M5">_xlfn.IFS(D5&gt;=18,"Excelente",D5&gt;=14,"Muy bueno",D5&gt;=10,"Bueno",D5&gt;=6,"Regular",D5&lt;6,"Insuficiente")</f>
        <v>Muy bueno</v>
      </c>
      <c r="N5" s="30" t="str" cm="1">
        <f t="array" ref="N5">_xlfn.IFS(E5&gt;=18,"Excelente",E5&gt;=14,"Muy bueno",E5&gt;=10,"Bueno",E5&gt;=6,"Regular",E5&lt;6,"Insuficiente")</f>
        <v>Muy bueno</v>
      </c>
      <c r="O5" s="30" t="str" cm="1">
        <f t="array" ref="O5">_xlfn.IFS(F5&gt;=9,"Excelente",F5&gt;=7,"Muy bueno",F5&gt;=5,"Bueno",F5&gt;=3,"Regular",F5&lt;3,"Insuficiente")</f>
        <v>Muy bueno</v>
      </c>
      <c r="P5" s="30" t="str" cm="1">
        <f t="array" ref="P5">_xlfn.IFS(G5&gt;=9,"Excelente",G5&gt;=7,"Muy bueno",G5&gt;=5,"Bueno",G5&gt;=3,"Regular",G5&lt;3,"Insuficiente")</f>
        <v>Muy bueno</v>
      </c>
      <c r="Q5" s="30" t="str" cm="1">
        <f t="array" ref="Q5">_xlfn.IFS(H5&gt;=9,"Excelente",H5&gt;=7,"Muy bueno",H5&gt;=5,"Bueno",H5&gt;=3,"Regular",H5&lt;3,"Insuficiente")</f>
        <v>Muy bueno</v>
      </c>
      <c r="R5" s="30" t="str" cm="1">
        <f t="array" ref="R5">_xlfn.IFS(I5&gt;=9,"Excelente",I5&gt;=7,"Muy bueno",I5&gt;=5,"Bueno",I5&gt;=3,"Regular",I5&lt;3,"Insuficiente")</f>
        <v>Muy bueno</v>
      </c>
    </row>
    <row r="6" spans="1:21">
      <c r="A6" t="s">
        <v>334</v>
      </c>
      <c r="B6" s="16">
        <v>3</v>
      </c>
      <c r="C6" s="16">
        <v>18.666666666666668</v>
      </c>
      <c r="D6" s="16">
        <v>18.666666666666668</v>
      </c>
      <c r="E6" s="16">
        <v>18.666666666666668</v>
      </c>
      <c r="F6" s="16">
        <v>9.3333333333333339</v>
      </c>
      <c r="G6" s="16">
        <v>8.6666666666666661</v>
      </c>
      <c r="H6" s="16">
        <v>8.6666666666666661</v>
      </c>
      <c r="I6" s="16">
        <v>9.3333333333333339</v>
      </c>
      <c r="J6" s="28">
        <f t="shared" si="0"/>
        <v>92</v>
      </c>
      <c r="K6" s="29" t="str" cm="1">
        <f t="array" ref="K6">_xlfn.IFS(J6&gt;=90,"Excelente",J6&gt;=80,"Muy Bueno",J6&gt;=75,"Bueno",J6&gt;=65,"Regular",J6&gt;=55,"Insuficiente")</f>
        <v>Excelente</v>
      </c>
      <c r="L6" s="30" t="str" cm="1">
        <f t="array" ref="L6">_xlfn.IFS(C6&gt;=18,"Excelente",C6&gt;=14,"Muy bueno",C6&gt;=10,"Bueno",C6&gt;=6,"Regular",C6&lt;6,"Insuficiente")</f>
        <v>Excelente</v>
      </c>
      <c r="M6" s="30" t="str" cm="1">
        <f t="array" ref="M6">_xlfn.IFS(D6&gt;=18,"Excelente",D6&gt;=14,"Muy bueno",D6&gt;=10,"Bueno",D6&gt;=6,"Regular",D6&lt;6,"Insuficiente")</f>
        <v>Excelente</v>
      </c>
      <c r="N6" s="30" t="str" cm="1">
        <f t="array" ref="N6">_xlfn.IFS(E6&gt;=18,"Excelente",E6&gt;=14,"Muy bueno",E6&gt;=10,"Bueno",E6&gt;=6,"Regular",E6&lt;6,"Insuficiente")</f>
        <v>Excelente</v>
      </c>
      <c r="O6" s="30" t="str" cm="1">
        <f t="array" ref="O6">_xlfn.IFS(F6&gt;=9,"Excelente",F6&gt;=7,"Muy bueno",F6&gt;=5,"Bueno",F6&gt;=3,"Regular",F6&lt;3,"Insuficiente")</f>
        <v>Excelente</v>
      </c>
      <c r="P6" s="30" t="str" cm="1">
        <f t="array" ref="P6">_xlfn.IFS(G6&gt;=9,"Excelente",G6&gt;=7,"Muy bueno",G6&gt;=5,"Bueno",G6&gt;=3,"Regular",G6&lt;3,"Insuficiente")</f>
        <v>Muy bueno</v>
      </c>
      <c r="Q6" s="30" t="str" cm="1">
        <f t="array" ref="Q6">_xlfn.IFS(H6&gt;=9,"Excelente",H6&gt;=7,"Muy bueno",H6&gt;=5,"Bueno",H6&gt;=3,"Regular",H6&lt;3,"Insuficiente")</f>
        <v>Muy bueno</v>
      </c>
      <c r="R6" s="30" t="str" cm="1">
        <f t="array" ref="R6">_xlfn.IFS(I6&gt;=9,"Excelente",I6&gt;=7,"Muy bueno",I6&gt;=5,"Bueno",I6&gt;=3,"Regular",I6&lt;3,"Insuficiente")</f>
        <v>Excelente</v>
      </c>
    </row>
    <row r="7" spans="1:21">
      <c r="A7" t="s">
        <v>253</v>
      </c>
      <c r="B7" s="16">
        <v>3</v>
      </c>
      <c r="C7" s="16">
        <v>20</v>
      </c>
      <c r="D7" s="16">
        <v>20</v>
      </c>
      <c r="E7" s="16">
        <v>20</v>
      </c>
      <c r="F7" s="16">
        <v>10</v>
      </c>
      <c r="G7" s="16">
        <v>10</v>
      </c>
      <c r="H7" s="16">
        <v>10</v>
      </c>
      <c r="I7" s="16">
        <v>10</v>
      </c>
      <c r="J7" s="28">
        <f t="shared" si="0"/>
        <v>100</v>
      </c>
      <c r="K7" s="29" t="str" cm="1">
        <f t="array" ref="K7">_xlfn.IFS(J7&gt;=90,"Excelente",J7&gt;=80,"Muy Bueno",J7&gt;=75,"Bueno",J7&gt;=65,"Regular",J7&gt;=55,"Insuficiente")</f>
        <v>Excelente</v>
      </c>
      <c r="L7" s="30" t="str" cm="1">
        <f t="array" ref="L7">_xlfn.IFS(C7&gt;=18,"Excelente",C7&gt;=14,"Muy bueno",C7&gt;=10,"Bueno",C7&gt;=6,"Regular",C7&lt;6,"Insuficiente")</f>
        <v>Excelente</v>
      </c>
      <c r="M7" s="30" t="str" cm="1">
        <f t="array" ref="M7">_xlfn.IFS(D7&gt;=18,"Excelente",D7&gt;=14,"Muy bueno",D7&gt;=10,"Bueno",D7&gt;=6,"Regular",D7&lt;6,"Insuficiente")</f>
        <v>Excelente</v>
      </c>
      <c r="N7" s="30" t="str" cm="1">
        <f t="array" ref="N7">_xlfn.IFS(E7&gt;=18,"Excelente",E7&gt;=14,"Muy bueno",E7&gt;=10,"Bueno",E7&gt;=6,"Regular",E7&lt;6,"Insuficiente")</f>
        <v>Excelente</v>
      </c>
      <c r="O7" s="30" t="str" cm="1">
        <f t="array" ref="O7">_xlfn.IFS(F7&gt;=9,"Excelente",F7&gt;=7,"Muy bueno",F7&gt;=5,"Bueno",F7&gt;=3,"Regular",F7&lt;3,"Insuficiente")</f>
        <v>Excelente</v>
      </c>
      <c r="P7" s="30" t="str" cm="1">
        <f t="array" ref="P7">_xlfn.IFS(G7&gt;=9,"Excelente",G7&gt;=7,"Muy bueno",G7&gt;=5,"Bueno",G7&gt;=3,"Regular",G7&lt;3,"Insuficiente")</f>
        <v>Excelente</v>
      </c>
      <c r="Q7" s="30" t="str" cm="1">
        <f t="array" ref="Q7">_xlfn.IFS(H7&gt;=9,"Excelente",H7&gt;=7,"Muy bueno",H7&gt;=5,"Bueno",H7&gt;=3,"Regular",H7&lt;3,"Insuficiente")</f>
        <v>Excelente</v>
      </c>
      <c r="R7" s="30" t="str" cm="1">
        <f t="array" ref="R7">_xlfn.IFS(I7&gt;=9,"Excelente",I7&gt;=7,"Muy bueno",I7&gt;=5,"Bueno",I7&gt;=3,"Regular",I7&lt;3,"Insuficiente")</f>
        <v>Excelente</v>
      </c>
    </row>
    <row r="8" spans="1:21">
      <c r="A8" t="s">
        <v>329</v>
      </c>
      <c r="B8" s="16">
        <v>3</v>
      </c>
      <c r="C8" s="16">
        <v>20</v>
      </c>
      <c r="D8" s="16">
        <v>18.666666666666668</v>
      </c>
      <c r="E8" s="16">
        <v>18.666666666666668</v>
      </c>
      <c r="F8" s="16">
        <v>10</v>
      </c>
      <c r="G8" s="16">
        <v>10</v>
      </c>
      <c r="H8" s="16">
        <v>8</v>
      </c>
      <c r="I8" s="16">
        <v>10</v>
      </c>
      <c r="J8" s="28">
        <f t="shared" si="0"/>
        <v>95.333333333333343</v>
      </c>
      <c r="K8" s="29" t="str" cm="1">
        <f t="array" ref="K8">_xlfn.IFS(J8&gt;=90,"Excelente",J8&gt;=80,"Muy Bueno",J8&gt;=75,"Bueno",J8&gt;=65,"Regular",J8&gt;=55,"Insuficiente")</f>
        <v>Excelente</v>
      </c>
      <c r="L8" s="30" t="str" cm="1">
        <f t="array" ref="L8">_xlfn.IFS(C8&gt;=18,"Excelente",C8&gt;=14,"Muy bueno",C8&gt;=10,"Bueno",C8&gt;=6,"Regular",C8&lt;6,"Insuficiente")</f>
        <v>Excelente</v>
      </c>
      <c r="M8" s="30" t="str" cm="1">
        <f t="array" ref="M8">_xlfn.IFS(D8&gt;=18,"Excelente",D8&gt;=14,"Muy bueno",D8&gt;=10,"Bueno",D8&gt;=6,"Regular",D8&lt;6,"Insuficiente")</f>
        <v>Excelente</v>
      </c>
      <c r="N8" s="30" t="str" cm="1">
        <f t="array" ref="N8">_xlfn.IFS(E8&gt;=18,"Excelente",E8&gt;=14,"Muy bueno",E8&gt;=10,"Bueno",E8&gt;=6,"Regular",E8&lt;6,"Insuficiente")</f>
        <v>Excelente</v>
      </c>
      <c r="O8" s="30" t="str" cm="1">
        <f t="array" ref="O8">_xlfn.IFS(F8&gt;=9,"Excelente",F8&gt;=7,"Muy bueno",F8&gt;=5,"Bueno",F8&gt;=3,"Regular",F8&lt;3,"Insuficiente")</f>
        <v>Excelente</v>
      </c>
      <c r="P8" s="30" t="str" cm="1">
        <f t="array" ref="P8">_xlfn.IFS(G8&gt;=9,"Excelente",G8&gt;=7,"Muy bueno",G8&gt;=5,"Bueno",G8&gt;=3,"Regular",G8&lt;3,"Insuficiente")</f>
        <v>Excelente</v>
      </c>
      <c r="Q8" s="30" t="str" cm="1">
        <f t="array" ref="Q8">_xlfn.IFS(H8&gt;=9,"Excelente",H8&gt;=7,"Muy bueno",H8&gt;=5,"Bueno",H8&gt;=3,"Regular",H8&lt;3,"Insuficiente")</f>
        <v>Muy bueno</v>
      </c>
      <c r="R8" s="30" t="str" cm="1">
        <f t="array" ref="R8">_xlfn.IFS(I8&gt;=9,"Excelente",I8&gt;=7,"Muy bueno",I8&gt;=5,"Bueno",I8&gt;=3,"Regular",I8&lt;3,"Insuficiente")</f>
        <v>Excelente</v>
      </c>
    </row>
    <row r="9" spans="1:21">
      <c r="A9" t="s">
        <v>112</v>
      </c>
      <c r="B9" s="16">
        <v>3</v>
      </c>
      <c r="C9" s="16">
        <v>18.666666666666668</v>
      </c>
      <c r="D9" s="16">
        <v>16</v>
      </c>
      <c r="E9" s="16">
        <v>16</v>
      </c>
      <c r="F9" s="16">
        <v>8.6666666666666661</v>
      </c>
      <c r="G9" s="16">
        <v>10</v>
      </c>
      <c r="H9" s="16">
        <v>7.333333333333333</v>
      </c>
      <c r="I9" s="16">
        <v>9.3333333333333339</v>
      </c>
      <c r="J9" s="28">
        <f t="shared" si="0"/>
        <v>86</v>
      </c>
      <c r="K9" s="29" t="str" cm="1">
        <f t="array" ref="K9">_xlfn.IFS(J9&gt;=90,"Excelente",J9&gt;=80,"Muy Bueno",J9&gt;=75,"Bueno",J9&gt;=65,"Regular",J9&gt;=55,"Insuficiente")</f>
        <v>Muy Bueno</v>
      </c>
      <c r="L9" s="30" t="str" cm="1">
        <f t="array" ref="L9">_xlfn.IFS(C9&gt;=18,"Excelente",C9&gt;=14,"Muy bueno",C9&gt;=10,"Bueno",C9&gt;=6,"Regular",C9&lt;6,"Insuficiente")</f>
        <v>Excelente</v>
      </c>
      <c r="M9" s="30" t="str" cm="1">
        <f t="array" ref="M9">_xlfn.IFS(D9&gt;=18,"Excelente",D9&gt;=14,"Muy bueno",D9&gt;=10,"Bueno",D9&gt;=6,"Regular",D9&lt;6,"Insuficiente")</f>
        <v>Muy bueno</v>
      </c>
      <c r="N9" s="30" t="str" cm="1">
        <f t="array" ref="N9">_xlfn.IFS(E9&gt;=18,"Excelente",E9&gt;=14,"Muy bueno",E9&gt;=10,"Bueno",E9&gt;=6,"Regular",E9&lt;6,"Insuficiente")</f>
        <v>Muy bueno</v>
      </c>
      <c r="O9" s="30" t="str" cm="1">
        <f t="array" ref="O9">_xlfn.IFS(F9&gt;=9,"Excelente",F9&gt;=7,"Muy bueno",F9&gt;=5,"Bueno",F9&gt;=3,"Regular",F9&lt;3,"Insuficiente")</f>
        <v>Muy bueno</v>
      </c>
      <c r="P9" s="30" t="str" cm="1">
        <f t="array" ref="P9">_xlfn.IFS(G9&gt;=9,"Excelente",G9&gt;=7,"Muy bueno",G9&gt;=5,"Bueno",G9&gt;=3,"Regular",G9&lt;3,"Insuficiente")</f>
        <v>Excelente</v>
      </c>
      <c r="Q9" s="30" t="str" cm="1">
        <f t="array" ref="Q9">_xlfn.IFS(H9&gt;=9,"Excelente",H9&gt;=7,"Muy bueno",H9&gt;=5,"Bueno",H9&gt;=3,"Regular",H9&lt;3,"Insuficiente")</f>
        <v>Muy bueno</v>
      </c>
      <c r="R9" s="30" t="str" cm="1">
        <f t="array" ref="R9">_xlfn.IFS(I9&gt;=9,"Excelente",I9&gt;=7,"Muy bueno",I9&gt;=5,"Bueno",I9&gt;=3,"Regular",I9&lt;3,"Insuficiente")</f>
        <v>Excelente</v>
      </c>
    </row>
    <row r="10" spans="1:21">
      <c r="A10" t="s">
        <v>283</v>
      </c>
      <c r="B10" s="16">
        <v>3</v>
      </c>
      <c r="C10" s="16">
        <v>20</v>
      </c>
      <c r="D10" s="16">
        <v>20</v>
      </c>
      <c r="E10" s="16">
        <v>18.666666666666668</v>
      </c>
      <c r="F10" s="16">
        <v>10</v>
      </c>
      <c r="G10" s="16">
        <v>10</v>
      </c>
      <c r="H10" s="16">
        <v>10</v>
      </c>
      <c r="I10" s="16">
        <v>10</v>
      </c>
      <c r="J10" s="28">
        <f t="shared" si="0"/>
        <v>98.666666666666671</v>
      </c>
      <c r="K10" s="29" t="str" cm="1">
        <f t="array" ref="K10">_xlfn.IFS(J10&gt;=90,"Excelente",J10&gt;=80,"Muy Bueno",J10&gt;=75,"Bueno",J10&gt;=65,"Regular",J10&gt;=55,"Insuficiente")</f>
        <v>Excelente</v>
      </c>
      <c r="L10" s="30" t="str" cm="1">
        <f t="array" ref="L10">_xlfn.IFS(C10&gt;=18,"Excelente",C10&gt;=14,"Muy bueno",C10&gt;=10,"Bueno",C10&gt;=6,"Regular",C10&lt;6,"Insuficiente")</f>
        <v>Excelente</v>
      </c>
      <c r="M10" s="30" t="str" cm="1">
        <f t="array" ref="M10">_xlfn.IFS(D10&gt;=18,"Excelente",D10&gt;=14,"Muy bueno",D10&gt;=10,"Bueno",D10&gt;=6,"Regular",D10&lt;6,"Insuficiente")</f>
        <v>Excelente</v>
      </c>
      <c r="N10" s="30" t="str" cm="1">
        <f t="array" ref="N10">_xlfn.IFS(E10&gt;=18,"Excelente",E10&gt;=14,"Muy bueno",E10&gt;=10,"Bueno",E10&gt;=6,"Regular",E10&lt;6,"Insuficiente")</f>
        <v>Excelente</v>
      </c>
      <c r="O10" s="30" t="str" cm="1">
        <f t="array" ref="O10">_xlfn.IFS(F10&gt;=9,"Excelente",F10&gt;=7,"Muy bueno",F10&gt;=5,"Bueno",F10&gt;=3,"Regular",F10&lt;3,"Insuficiente")</f>
        <v>Excelente</v>
      </c>
      <c r="P10" s="30" t="str" cm="1">
        <f t="array" ref="P10">_xlfn.IFS(G10&gt;=9,"Excelente",G10&gt;=7,"Muy bueno",G10&gt;=5,"Bueno",G10&gt;=3,"Regular",G10&lt;3,"Insuficiente")</f>
        <v>Excelente</v>
      </c>
      <c r="Q10" s="30" t="str" cm="1">
        <f t="array" ref="Q10">_xlfn.IFS(H10&gt;=9,"Excelente",H10&gt;=7,"Muy bueno",H10&gt;=5,"Bueno",H10&gt;=3,"Regular",H10&lt;3,"Insuficiente")</f>
        <v>Excelente</v>
      </c>
      <c r="R10" s="30" t="str" cm="1">
        <f t="array" ref="R10">_xlfn.IFS(I10&gt;=9,"Excelente",I10&gt;=7,"Muy bueno",I10&gt;=5,"Bueno",I10&gt;=3,"Regular",I10&lt;3,"Insuficiente")</f>
        <v>Excelente</v>
      </c>
    </row>
    <row r="11" spans="1:21">
      <c r="A11" t="s">
        <v>289</v>
      </c>
      <c r="B11" s="16">
        <v>3</v>
      </c>
      <c r="C11" s="16">
        <v>20</v>
      </c>
      <c r="D11" s="16">
        <v>18.666666666666668</v>
      </c>
      <c r="E11" s="16">
        <v>20</v>
      </c>
      <c r="F11" s="16">
        <v>10</v>
      </c>
      <c r="G11" s="16">
        <v>10</v>
      </c>
      <c r="H11" s="16">
        <v>9.3333333333333339</v>
      </c>
      <c r="I11" s="16">
        <v>10</v>
      </c>
      <c r="J11" s="28">
        <f t="shared" si="0"/>
        <v>98</v>
      </c>
      <c r="K11" s="29" t="str" cm="1">
        <f t="array" ref="K11">_xlfn.IFS(J11&gt;=90,"Excelente",J11&gt;=80,"Muy Bueno",J11&gt;=75,"Bueno",J11&gt;=65,"Regular",J11&gt;=55,"Insuficiente")</f>
        <v>Excelente</v>
      </c>
      <c r="L11" s="30" t="str" cm="1">
        <f t="array" ref="L11">_xlfn.IFS(C11&gt;=18,"Excelente",C11&gt;=14,"Muy bueno",C11&gt;=10,"Bueno",C11&gt;=6,"Regular",C11&lt;6,"Insuficiente")</f>
        <v>Excelente</v>
      </c>
      <c r="M11" s="30" t="str" cm="1">
        <f t="array" ref="M11">_xlfn.IFS(D11&gt;=18,"Excelente",D11&gt;=14,"Muy bueno",D11&gt;=10,"Bueno",D11&gt;=6,"Regular",D11&lt;6,"Insuficiente")</f>
        <v>Excelente</v>
      </c>
      <c r="N11" s="30" t="str" cm="1">
        <f t="array" ref="N11">_xlfn.IFS(E11&gt;=18,"Excelente",E11&gt;=14,"Muy bueno",E11&gt;=10,"Bueno",E11&gt;=6,"Regular",E11&lt;6,"Insuficiente")</f>
        <v>Excelente</v>
      </c>
      <c r="O11" s="30" t="str" cm="1">
        <f t="array" ref="O11">_xlfn.IFS(F11&gt;=9,"Excelente",F11&gt;=7,"Muy bueno",F11&gt;=5,"Bueno",F11&gt;=3,"Regular",F11&lt;3,"Insuficiente")</f>
        <v>Excelente</v>
      </c>
      <c r="P11" s="30" t="str" cm="1">
        <f t="array" ref="P11">_xlfn.IFS(G11&gt;=9,"Excelente",G11&gt;=7,"Muy bueno",G11&gt;=5,"Bueno",G11&gt;=3,"Regular",G11&lt;3,"Insuficiente")</f>
        <v>Excelente</v>
      </c>
      <c r="Q11" s="30" t="str" cm="1">
        <f t="array" ref="Q11">_xlfn.IFS(H11&gt;=9,"Excelente",H11&gt;=7,"Muy bueno",H11&gt;=5,"Bueno",H11&gt;=3,"Regular",H11&lt;3,"Insuficiente")</f>
        <v>Excelente</v>
      </c>
      <c r="R11" s="30" t="str" cm="1">
        <f t="array" ref="R11">_xlfn.IFS(I11&gt;=9,"Excelente",I11&gt;=7,"Muy bueno",I11&gt;=5,"Bueno",I11&gt;=3,"Regular",I11&lt;3,"Insuficiente")</f>
        <v>Excelente</v>
      </c>
    </row>
    <row r="12" spans="1:21">
      <c r="A12" t="s">
        <v>183</v>
      </c>
      <c r="B12" s="16">
        <v>3</v>
      </c>
      <c r="C12" s="16">
        <v>20</v>
      </c>
      <c r="D12" s="16">
        <v>20</v>
      </c>
      <c r="E12" s="16">
        <v>20</v>
      </c>
      <c r="F12" s="16">
        <v>9.3333333333333339</v>
      </c>
      <c r="G12" s="16">
        <v>8.6666666666666661</v>
      </c>
      <c r="H12" s="16">
        <v>8.6666666666666661</v>
      </c>
      <c r="I12" s="16">
        <v>9.3333333333333339</v>
      </c>
      <c r="J12" s="28">
        <f t="shared" si="0"/>
        <v>96</v>
      </c>
      <c r="K12" s="29" t="str" cm="1">
        <f t="array" ref="K12">_xlfn.IFS(J12&gt;=90,"Excelente",J12&gt;=80,"Muy Bueno",J12&gt;=75,"Bueno",J12&gt;=65,"Regular",J12&gt;=55,"Insuficiente")</f>
        <v>Excelente</v>
      </c>
      <c r="L12" s="30" t="str" cm="1">
        <f t="array" ref="L12">_xlfn.IFS(C12&gt;=18,"Excelente",C12&gt;=14,"Muy bueno",C12&gt;=10,"Bueno",C12&gt;=6,"Regular",C12&lt;6,"Insuficiente")</f>
        <v>Excelente</v>
      </c>
      <c r="M12" s="30" t="str" cm="1">
        <f t="array" ref="M12">_xlfn.IFS(D12&gt;=18,"Excelente",D12&gt;=14,"Muy bueno",D12&gt;=10,"Bueno",D12&gt;=6,"Regular",D12&lt;6,"Insuficiente")</f>
        <v>Excelente</v>
      </c>
      <c r="N12" s="30" t="str" cm="1">
        <f t="array" ref="N12">_xlfn.IFS(E12&gt;=18,"Excelente",E12&gt;=14,"Muy bueno",E12&gt;=10,"Bueno",E12&gt;=6,"Regular",E12&lt;6,"Insuficiente")</f>
        <v>Excelente</v>
      </c>
      <c r="O12" s="30" t="str" cm="1">
        <f t="array" ref="O12">_xlfn.IFS(F12&gt;=9,"Excelente",F12&gt;=7,"Muy bueno",F12&gt;=5,"Bueno",F12&gt;=3,"Regular",F12&lt;3,"Insuficiente")</f>
        <v>Excelente</v>
      </c>
      <c r="P12" s="30" t="str" cm="1">
        <f t="array" ref="P12">_xlfn.IFS(G12&gt;=9,"Excelente",G12&gt;=7,"Muy bueno",G12&gt;=5,"Bueno",G12&gt;=3,"Regular",G12&lt;3,"Insuficiente")</f>
        <v>Muy bueno</v>
      </c>
      <c r="Q12" s="30" t="str" cm="1">
        <f t="array" ref="Q12">_xlfn.IFS(H12&gt;=9,"Excelente",H12&gt;=7,"Muy bueno",H12&gt;=5,"Bueno",H12&gt;=3,"Regular",H12&lt;3,"Insuficiente")</f>
        <v>Muy bueno</v>
      </c>
      <c r="R12" s="30" t="str" cm="1">
        <f t="array" ref="R12">_xlfn.IFS(I12&gt;=9,"Excelente",I12&gt;=7,"Muy bueno",I12&gt;=5,"Bueno",I12&gt;=3,"Regular",I12&lt;3,"Insuficiente")</f>
        <v>Excelente</v>
      </c>
    </row>
    <row r="13" spans="1:21">
      <c r="A13" t="s">
        <v>162</v>
      </c>
      <c r="B13" s="16">
        <v>3</v>
      </c>
      <c r="C13" s="16">
        <v>20</v>
      </c>
      <c r="D13" s="16">
        <v>20</v>
      </c>
      <c r="E13" s="16">
        <v>20</v>
      </c>
      <c r="F13" s="16">
        <v>10</v>
      </c>
      <c r="G13" s="16">
        <v>10</v>
      </c>
      <c r="H13" s="16">
        <v>10</v>
      </c>
      <c r="I13" s="16">
        <v>10</v>
      </c>
      <c r="J13" s="28">
        <f t="shared" si="0"/>
        <v>100</v>
      </c>
      <c r="K13" s="29" t="str" cm="1">
        <f t="array" ref="K13">_xlfn.IFS(J13&gt;=90,"Excelente",J13&gt;=80,"Muy Bueno",J13&gt;=75,"Bueno",J13&gt;=65,"Regular",J13&gt;=55,"Insuficiente")</f>
        <v>Excelente</v>
      </c>
      <c r="L13" s="30" t="str" cm="1">
        <f t="array" ref="L13">_xlfn.IFS(C13&gt;=18,"Excelente",C13&gt;=14,"Muy bueno",C13&gt;=10,"Bueno",C13&gt;=6,"Regular",C13&lt;6,"Insuficiente")</f>
        <v>Excelente</v>
      </c>
      <c r="M13" s="30" t="str" cm="1">
        <f t="array" ref="M13">_xlfn.IFS(D13&gt;=18,"Excelente",D13&gt;=14,"Muy bueno",D13&gt;=10,"Bueno",D13&gt;=6,"Regular",D13&lt;6,"Insuficiente")</f>
        <v>Excelente</v>
      </c>
      <c r="N13" s="30" t="str" cm="1">
        <f t="array" ref="N13">_xlfn.IFS(E13&gt;=18,"Excelente",E13&gt;=14,"Muy bueno",E13&gt;=10,"Bueno",E13&gt;=6,"Regular",E13&lt;6,"Insuficiente")</f>
        <v>Excelente</v>
      </c>
      <c r="O13" s="30" t="str" cm="1">
        <f t="array" ref="O13">_xlfn.IFS(F13&gt;=9,"Excelente",F13&gt;=7,"Muy bueno",F13&gt;=5,"Bueno",F13&gt;=3,"Regular",F13&lt;3,"Insuficiente")</f>
        <v>Excelente</v>
      </c>
      <c r="P13" s="30" t="str" cm="1">
        <f t="array" ref="P13">_xlfn.IFS(G13&gt;=9,"Excelente",G13&gt;=7,"Muy bueno",G13&gt;=5,"Bueno",G13&gt;=3,"Regular",G13&lt;3,"Insuficiente")</f>
        <v>Excelente</v>
      </c>
      <c r="Q13" s="30" t="str" cm="1">
        <f t="array" ref="Q13">_xlfn.IFS(H13&gt;=9,"Excelente",H13&gt;=7,"Muy bueno",H13&gt;=5,"Bueno",H13&gt;=3,"Regular",H13&lt;3,"Insuficiente")</f>
        <v>Excelente</v>
      </c>
      <c r="R13" s="30" t="str" cm="1">
        <f t="array" ref="R13">_xlfn.IFS(I13&gt;=9,"Excelente",I13&gt;=7,"Muy bueno",I13&gt;=5,"Bueno",I13&gt;=3,"Regular",I13&lt;3,"Insuficiente")</f>
        <v>Excelente</v>
      </c>
    </row>
    <row r="14" spans="1:21">
      <c r="A14" t="s">
        <v>135</v>
      </c>
      <c r="B14" s="16">
        <v>3</v>
      </c>
      <c r="C14" s="16">
        <v>20</v>
      </c>
      <c r="D14" s="16">
        <v>20</v>
      </c>
      <c r="E14" s="16">
        <v>20</v>
      </c>
      <c r="F14" s="16">
        <v>9.3333333333333339</v>
      </c>
      <c r="G14" s="16">
        <v>8.6666666666666661</v>
      </c>
      <c r="H14" s="16">
        <v>9.3333333333333339</v>
      </c>
      <c r="I14" s="16">
        <v>10</v>
      </c>
      <c r="J14" s="28">
        <f t="shared" si="0"/>
        <v>97.333333333333329</v>
      </c>
      <c r="K14" s="29" t="str" cm="1">
        <f t="array" ref="K14">_xlfn.IFS(J14&gt;=90,"Excelente",J14&gt;=80,"Muy Bueno",J14&gt;=75,"Bueno",J14&gt;=65,"Regular",J14&gt;=55,"Insuficiente")</f>
        <v>Excelente</v>
      </c>
      <c r="L14" s="30" t="str" cm="1">
        <f t="array" ref="L14">_xlfn.IFS(C14&gt;=18,"Excelente",C14&gt;=14,"Muy bueno",C14&gt;=10,"Bueno",C14&gt;=6,"Regular",C14&lt;6,"Insuficiente")</f>
        <v>Excelente</v>
      </c>
      <c r="M14" s="30" t="str" cm="1">
        <f t="array" ref="M14">_xlfn.IFS(D14&gt;=18,"Excelente",D14&gt;=14,"Muy bueno",D14&gt;=10,"Bueno",D14&gt;=6,"Regular",D14&lt;6,"Insuficiente")</f>
        <v>Excelente</v>
      </c>
      <c r="N14" s="30" t="str" cm="1">
        <f t="array" ref="N14">_xlfn.IFS(E14&gt;=18,"Excelente",E14&gt;=14,"Muy bueno",E14&gt;=10,"Bueno",E14&gt;=6,"Regular",E14&lt;6,"Insuficiente")</f>
        <v>Excelente</v>
      </c>
      <c r="O14" s="30" t="str" cm="1">
        <f t="array" ref="O14">_xlfn.IFS(F14&gt;=9,"Excelente",F14&gt;=7,"Muy bueno",F14&gt;=5,"Bueno",F14&gt;=3,"Regular",F14&lt;3,"Insuficiente")</f>
        <v>Excelente</v>
      </c>
      <c r="P14" s="30" t="str" cm="1">
        <f t="array" ref="P14">_xlfn.IFS(G14&gt;=9,"Excelente",G14&gt;=7,"Muy bueno",G14&gt;=5,"Bueno",G14&gt;=3,"Regular",G14&lt;3,"Insuficiente")</f>
        <v>Muy bueno</v>
      </c>
      <c r="Q14" s="30" t="str" cm="1">
        <f t="array" ref="Q14">_xlfn.IFS(H14&gt;=9,"Excelente",H14&gt;=7,"Muy bueno",H14&gt;=5,"Bueno",H14&gt;=3,"Regular",H14&lt;3,"Insuficiente")</f>
        <v>Excelente</v>
      </c>
      <c r="R14" s="30" t="str" cm="1">
        <f t="array" ref="R14">_xlfn.IFS(I14&gt;=9,"Excelente",I14&gt;=7,"Muy bueno",I14&gt;=5,"Bueno",I14&gt;=3,"Regular",I14&lt;3,"Insuficiente")</f>
        <v>Excelente</v>
      </c>
    </row>
    <row r="15" spans="1:21">
      <c r="A15" t="s">
        <v>293</v>
      </c>
      <c r="B15" s="16">
        <v>3</v>
      </c>
      <c r="C15" s="16">
        <v>20</v>
      </c>
      <c r="D15" s="16">
        <v>20</v>
      </c>
      <c r="E15" s="16">
        <v>20</v>
      </c>
      <c r="F15" s="16">
        <v>10</v>
      </c>
      <c r="G15" s="16">
        <v>10</v>
      </c>
      <c r="H15" s="16">
        <v>10</v>
      </c>
      <c r="I15" s="16">
        <v>10</v>
      </c>
      <c r="J15" s="28">
        <f t="shared" si="0"/>
        <v>100</v>
      </c>
      <c r="K15" s="29" t="str" cm="1">
        <f t="array" ref="K15">_xlfn.IFS(J15&gt;=90,"Excelente",J15&gt;=80,"Muy Bueno",J15&gt;=75,"Bueno",J15&gt;=65,"Regular",J15&gt;=55,"Insuficiente")</f>
        <v>Excelente</v>
      </c>
      <c r="L15" s="30" t="str" cm="1">
        <f t="array" ref="L15">_xlfn.IFS(C15&gt;=18,"Excelente",C15&gt;=14,"Muy bueno",C15&gt;=10,"Bueno",C15&gt;=6,"Regular",C15&lt;6,"Insuficiente")</f>
        <v>Excelente</v>
      </c>
      <c r="M15" s="30" t="str" cm="1">
        <f t="array" ref="M15">_xlfn.IFS(D15&gt;=18,"Excelente",D15&gt;=14,"Muy bueno",D15&gt;=10,"Bueno",D15&gt;=6,"Regular",D15&lt;6,"Insuficiente")</f>
        <v>Excelente</v>
      </c>
      <c r="N15" s="30" t="str" cm="1">
        <f t="array" ref="N15">_xlfn.IFS(E15&gt;=18,"Excelente",E15&gt;=14,"Muy bueno",E15&gt;=10,"Bueno",E15&gt;=6,"Regular",E15&lt;6,"Insuficiente")</f>
        <v>Excelente</v>
      </c>
      <c r="O15" s="30" t="str" cm="1">
        <f t="array" ref="O15">_xlfn.IFS(F15&gt;=9,"Excelente",F15&gt;=7,"Muy bueno",F15&gt;=5,"Bueno",F15&gt;=3,"Regular",F15&lt;3,"Insuficiente")</f>
        <v>Excelente</v>
      </c>
      <c r="P15" s="30" t="str" cm="1">
        <f t="array" ref="P15">_xlfn.IFS(G15&gt;=9,"Excelente",G15&gt;=7,"Muy bueno",G15&gt;=5,"Bueno",G15&gt;=3,"Regular",G15&lt;3,"Insuficiente")</f>
        <v>Excelente</v>
      </c>
      <c r="Q15" s="30" t="str" cm="1">
        <f t="array" ref="Q15">_xlfn.IFS(H15&gt;=9,"Excelente",H15&gt;=7,"Muy bueno",H15&gt;=5,"Bueno",H15&gt;=3,"Regular",H15&lt;3,"Insuficiente")</f>
        <v>Excelente</v>
      </c>
      <c r="R15" s="30" t="str" cm="1">
        <f t="array" ref="R15">_xlfn.IFS(I15&gt;=9,"Excelente",I15&gt;=7,"Muy bueno",I15&gt;=5,"Bueno",I15&gt;=3,"Regular",I15&lt;3,"Insuficiente")</f>
        <v>Excelente</v>
      </c>
    </row>
    <row r="16" spans="1:21">
      <c r="A16" t="s">
        <v>268</v>
      </c>
      <c r="B16" s="16">
        <v>3</v>
      </c>
      <c r="C16" s="16">
        <v>20</v>
      </c>
      <c r="D16" s="16">
        <v>20</v>
      </c>
      <c r="E16" s="16">
        <v>20</v>
      </c>
      <c r="F16" s="16">
        <v>9.3333333333333339</v>
      </c>
      <c r="G16" s="16">
        <v>10</v>
      </c>
      <c r="H16" s="16">
        <v>8.6666666666666661</v>
      </c>
      <c r="I16" s="16">
        <v>10</v>
      </c>
      <c r="J16" s="28">
        <f t="shared" si="0"/>
        <v>98</v>
      </c>
      <c r="K16" s="29" t="str" cm="1">
        <f t="array" ref="K16">_xlfn.IFS(J16&gt;=90,"Excelente",J16&gt;=80,"Muy Bueno",J16&gt;=75,"Bueno",J16&gt;=65,"Regular",J16&gt;=55,"Insuficiente")</f>
        <v>Excelente</v>
      </c>
      <c r="L16" s="30" t="str" cm="1">
        <f t="array" ref="L16">_xlfn.IFS(C16&gt;=18,"Excelente",C16&gt;=14,"Muy bueno",C16&gt;=10,"Bueno",C16&gt;=6,"Regular",C16&lt;6,"Insuficiente")</f>
        <v>Excelente</v>
      </c>
      <c r="M16" s="30" t="str" cm="1">
        <f t="array" ref="M16">_xlfn.IFS(D16&gt;=18,"Excelente",D16&gt;=14,"Muy bueno",D16&gt;=10,"Bueno",D16&gt;=6,"Regular",D16&lt;6,"Insuficiente")</f>
        <v>Excelente</v>
      </c>
      <c r="N16" s="30" t="str" cm="1">
        <f t="array" ref="N16">_xlfn.IFS(E16&gt;=18,"Excelente",E16&gt;=14,"Muy bueno",E16&gt;=10,"Bueno",E16&gt;=6,"Regular",E16&lt;6,"Insuficiente")</f>
        <v>Excelente</v>
      </c>
      <c r="O16" s="30" t="str" cm="1">
        <f t="array" ref="O16">_xlfn.IFS(F16&gt;=9,"Excelente",F16&gt;=7,"Muy bueno",F16&gt;=5,"Bueno",F16&gt;=3,"Regular",F16&lt;3,"Insuficiente")</f>
        <v>Excelente</v>
      </c>
      <c r="P16" s="30" t="str" cm="1">
        <f t="array" ref="P16">_xlfn.IFS(G16&gt;=9,"Excelente",G16&gt;=7,"Muy bueno",G16&gt;=5,"Bueno",G16&gt;=3,"Regular",G16&lt;3,"Insuficiente")</f>
        <v>Excelente</v>
      </c>
      <c r="Q16" s="30" t="str" cm="1">
        <f t="array" ref="Q16">_xlfn.IFS(H16&gt;=9,"Excelente",H16&gt;=7,"Muy bueno",H16&gt;=5,"Bueno",H16&gt;=3,"Regular",H16&lt;3,"Insuficiente")</f>
        <v>Muy bueno</v>
      </c>
      <c r="R16" s="30" t="str" cm="1">
        <f t="array" ref="R16">_xlfn.IFS(I16&gt;=9,"Excelente",I16&gt;=7,"Muy bueno",I16&gt;=5,"Bueno",I16&gt;=3,"Regular",I16&lt;3,"Insuficiente")</f>
        <v>Excelente</v>
      </c>
    </row>
    <row r="17" spans="1:18">
      <c r="A17" t="s">
        <v>217</v>
      </c>
      <c r="B17" s="16">
        <v>3</v>
      </c>
      <c r="C17" s="16">
        <v>20</v>
      </c>
      <c r="D17" s="16">
        <v>20</v>
      </c>
      <c r="E17" s="16">
        <v>18.666666666666668</v>
      </c>
      <c r="F17" s="16">
        <v>9.3333333333333339</v>
      </c>
      <c r="G17" s="16">
        <v>9.3333333333333339</v>
      </c>
      <c r="H17" s="16">
        <v>10</v>
      </c>
      <c r="I17" s="16">
        <v>9.3333333333333339</v>
      </c>
      <c r="J17" s="28">
        <f t="shared" si="0"/>
        <v>96.666666666666657</v>
      </c>
      <c r="K17" s="29" t="str" cm="1">
        <f t="array" ref="K17">_xlfn.IFS(J17&gt;=90,"Excelente",J17&gt;=80,"Muy Bueno",J17&gt;=75,"Bueno",J17&gt;=65,"Regular",J17&gt;=55,"Insuficiente")</f>
        <v>Excelente</v>
      </c>
      <c r="L17" s="30" t="str" cm="1">
        <f t="array" ref="L17">_xlfn.IFS(C17&gt;=18,"Excelente",C17&gt;=14,"Muy bueno",C17&gt;=10,"Bueno",C17&gt;=6,"Regular",C17&lt;6,"Insuficiente")</f>
        <v>Excelente</v>
      </c>
      <c r="M17" s="30" t="str" cm="1">
        <f t="array" ref="M17">_xlfn.IFS(D17&gt;=18,"Excelente",D17&gt;=14,"Muy bueno",D17&gt;=10,"Bueno",D17&gt;=6,"Regular",D17&lt;6,"Insuficiente")</f>
        <v>Excelente</v>
      </c>
      <c r="N17" s="30" t="str" cm="1">
        <f t="array" ref="N17">_xlfn.IFS(E17&gt;=18,"Excelente",E17&gt;=14,"Muy bueno",E17&gt;=10,"Bueno",E17&gt;=6,"Regular",E17&lt;6,"Insuficiente")</f>
        <v>Excelente</v>
      </c>
      <c r="O17" s="30" t="str" cm="1">
        <f t="array" ref="O17">_xlfn.IFS(F17&gt;=9,"Excelente",F17&gt;=7,"Muy bueno",F17&gt;=5,"Bueno",F17&gt;=3,"Regular",F17&lt;3,"Insuficiente")</f>
        <v>Excelente</v>
      </c>
      <c r="P17" s="30" t="str" cm="1">
        <f t="array" ref="P17">_xlfn.IFS(G17&gt;=9,"Excelente",G17&gt;=7,"Muy bueno",G17&gt;=5,"Bueno",G17&gt;=3,"Regular",G17&lt;3,"Insuficiente")</f>
        <v>Excelente</v>
      </c>
      <c r="Q17" s="30" t="str" cm="1">
        <f t="array" ref="Q17">_xlfn.IFS(H17&gt;=9,"Excelente",H17&gt;=7,"Muy bueno",H17&gt;=5,"Bueno",H17&gt;=3,"Regular",H17&lt;3,"Insuficiente")</f>
        <v>Excelente</v>
      </c>
      <c r="R17" s="30" t="str" cm="1">
        <f t="array" ref="R17">_xlfn.IFS(I17&gt;=9,"Excelente",I17&gt;=7,"Muy bueno",I17&gt;=5,"Bueno",I17&gt;=3,"Regular",I17&lt;3,"Insuficiente")</f>
        <v>Excelente</v>
      </c>
    </row>
    <row r="18" spans="1:18">
      <c r="A18" t="s">
        <v>319</v>
      </c>
      <c r="B18" s="16">
        <v>3</v>
      </c>
      <c r="C18" s="16">
        <v>20</v>
      </c>
      <c r="D18" s="16">
        <v>20</v>
      </c>
      <c r="E18" s="16">
        <v>20</v>
      </c>
      <c r="F18" s="16">
        <v>10</v>
      </c>
      <c r="G18" s="16">
        <v>10</v>
      </c>
      <c r="H18" s="16">
        <v>8.6666666666666661</v>
      </c>
      <c r="I18" s="16">
        <v>10</v>
      </c>
      <c r="J18" s="28">
        <f t="shared" si="0"/>
        <v>98.666666666666671</v>
      </c>
      <c r="K18" s="29" t="str" cm="1">
        <f t="array" ref="K18">_xlfn.IFS(J18&gt;=90,"Excelente",J18&gt;=80,"Muy Bueno",J18&gt;=75,"Bueno",J18&gt;=65,"Regular",J18&gt;=55,"Insuficiente")</f>
        <v>Excelente</v>
      </c>
      <c r="L18" s="30" t="str" cm="1">
        <f t="array" ref="L18">_xlfn.IFS(C18&gt;=18,"Excelente",C18&gt;=14,"Muy bueno",C18&gt;=10,"Bueno",C18&gt;=6,"Regular",C18&lt;6,"Insuficiente")</f>
        <v>Excelente</v>
      </c>
      <c r="M18" s="30" t="str" cm="1">
        <f t="array" ref="M18">_xlfn.IFS(D18&gt;=18,"Excelente",D18&gt;=14,"Muy bueno",D18&gt;=10,"Bueno",D18&gt;=6,"Regular",D18&lt;6,"Insuficiente")</f>
        <v>Excelente</v>
      </c>
      <c r="N18" s="30" t="str" cm="1">
        <f t="array" ref="N18">_xlfn.IFS(E18&gt;=18,"Excelente",E18&gt;=14,"Muy bueno",E18&gt;=10,"Bueno",E18&gt;=6,"Regular",E18&lt;6,"Insuficiente")</f>
        <v>Excelente</v>
      </c>
      <c r="O18" s="30" t="str" cm="1">
        <f t="array" ref="O18">_xlfn.IFS(F18&gt;=9,"Excelente",F18&gt;=7,"Muy bueno",F18&gt;=5,"Bueno",F18&gt;=3,"Regular",F18&lt;3,"Insuficiente")</f>
        <v>Excelente</v>
      </c>
      <c r="P18" s="30" t="str" cm="1">
        <f t="array" ref="P18">_xlfn.IFS(G18&gt;=9,"Excelente",G18&gt;=7,"Muy bueno",G18&gt;=5,"Bueno",G18&gt;=3,"Regular",G18&lt;3,"Insuficiente")</f>
        <v>Excelente</v>
      </c>
      <c r="Q18" s="30" t="str" cm="1">
        <f t="array" ref="Q18">_xlfn.IFS(H18&gt;=9,"Excelente",H18&gt;=7,"Muy bueno",H18&gt;=5,"Bueno",H18&gt;=3,"Regular",H18&lt;3,"Insuficiente")</f>
        <v>Muy bueno</v>
      </c>
      <c r="R18" s="30" t="str" cm="1">
        <f t="array" ref="R18">_xlfn.IFS(I18&gt;=9,"Excelente",I18&gt;=7,"Muy bueno",I18&gt;=5,"Bueno",I18&gt;=3,"Regular",I18&lt;3,"Insuficiente")</f>
        <v>Excelente</v>
      </c>
    </row>
    <row r="19" spans="1:18">
      <c r="A19" t="s">
        <v>300</v>
      </c>
      <c r="B19" s="16">
        <v>3</v>
      </c>
      <c r="C19" s="16">
        <v>18.666666666666668</v>
      </c>
      <c r="D19" s="16">
        <v>18.666666666666668</v>
      </c>
      <c r="E19" s="16">
        <v>18.666666666666668</v>
      </c>
      <c r="F19" s="16">
        <v>9.3333333333333339</v>
      </c>
      <c r="G19" s="16">
        <v>9.3333333333333339</v>
      </c>
      <c r="H19" s="16">
        <v>8.6666666666666661</v>
      </c>
      <c r="I19" s="16">
        <v>9.3333333333333339</v>
      </c>
      <c r="J19" s="28">
        <f t="shared" si="0"/>
        <v>92.666666666666657</v>
      </c>
      <c r="K19" s="29" t="str" cm="1">
        <f t="array" ref="K19">_xlfn.IFS(J19&gt;=90,"Excelente",J19&gt;=80,"Muy Bueno",J19&gt;=75,"Bueno",J19&gt;=65,"Regular",J19&gt;=55,"Insuficiente")</f>
        <v>Excelente</v>
      </c>
      <c r="L19" s="30" t="str" cm="1">
        <f t="array" ref="L19">_xlfn.IFS(C19&gt;=18,"Excelente",C19&gt;=14,"Muy bueno",C19&gt;=10,"Bueno",C19&gt;=6,"Regular",C19&lt;6,"Insuficiente")</f>
        <v>Excelente</v>
      </c>
      <c r="M19" s="30" t="str" cm="1">
        <f t="array" ref="M19">_xlfn.IFS(D19&gt;=18,"Excelente",D19&gt;=14,"Muy bueno",D19&gt;=10,"Bueno",D19&gt;=6,"Regular",D19&lt;6,"Insuficiente")</f>
        <v>Excelente</v>
      </c>
      <c r="N19" s="30" t="str" cm="1">
        <f t="array" ref="N19">_xlfn.IFS(E19&gt;=18,"Excelente",E19&gt;=14,"Muy bueno",E19&gt;=10,"Bueno",E19&gt;=6,"Regular",E19&lt;6,"Insuficiente")</f>
        <v>Excelente</v>
      </c>
      <c r="O19" s="30" t="str" cm="1">
        <f t="array" ref="O19">_xlfn.IFS(F19&gt;=9,"Excelente",F19&gt;=7,"Muy bueno",F19&gt;=5,"Bueno",F19&gt;=3,"Regular",F19&lt;3,"Insuficiente")</f>
        <v>Excelente</v>
      </c>
      <c r="P19" s="30" t="str" cm="1">
        <f t="array" ref="P19">_xlfn.IFS(G19&gt;=9,"Excelente",G19&gt;=7,"Muy bueno",G19&gt;=5,"Bueno",G19&gt;=3,"Regular",G19&lt;3,"Insuficiente")</f>
        <v>Excelente</v>
      </c>
      <c r="Q19" s="30" t="str" cm="1">
        <f t="array" ref="Q19">_xlfn.IFS(H19&gt;=9,"Excelente",H19&gt;=7,"Muy bueno",H19&gt;=5,"Bueno",H19&gt;=3,"Regular",H19&lt;3,"Insuficiente")</f>
        <v>Muy bueno</v>
      </c>
      <c r="R19" s="30" t="str" cm="1">
        <f t="array" ref="R19">_xlfn.IFS(I19&gt;=9,"Excelente",I19&gt;=7,"Muy bueno",I19&gt;=5,"Bueno",I19&gt;=3,"Regular",I19&lt;3,"Insuficiente")</f>
        <v>Excelente</v>
      </c>
    </row>
    <row r="20" spans="1:18">
      <c r="A20" t="s">
        <v>142</v>
      </c>
      <c r="B20" s="16">
        <v>3</v>
      </c>
      <c r="C20" s="16">
        <v>20</v>
      </c>
      <c r="D20" s="16">
        <v>20</v>
      </c>
      <c r="E20" s="16">
        <v>20</v>
      </c>
      <c r="F20" s="16">
        <v>10</v>
      </c>
      <c r="G20" s="16">
        <v>10</v>
      </c>
      <c r="H20" s="16">
        <v>9.3333333333333339</v>
      </c>
      <c r="I20" s="16">
        <v>10</v>
      </c>
      <c r="J20" s="28">
        <f t="shared" si="0"/>
        <v>99.333333333333329</v>
      </c>
      <c r="K20" s="29" t="str" cm="1">
        <f t="array" ref="K20">_xlfn.IFS(J20&gt;=90,"Excelente",J20&gt;=80,"Muy Bueno",J20&gt;=75,"Bueno",J20&gt;=65,"Regular",J20&gt;=55,"Insuficiente")</f>
        <v>Excelente</v>
      </c>
      <c r="L20" s="30" t="str" cm="1">
        <f t="array" ref="L20">_xlfn.IFS(C20&gt;=18,"Excelente",C20&gt;=14,"Muy bueno",C20&gt;=10,"Bueno",C20&gt;=6,"Regular",C20&lt;6,"Insuficiente")</f>
        <v>Excelente</v>
      </c>
      <c r="M20" s="30" t="str" cm="1">
        <f t="array" ref="M20">_xlfn.IFS(D20&gt;=18,"Excelente",D20&gt;=14,"Muy bueno",D20&gt;=10,"Bueno",D20&gt;=6,"Regular",D20&lt;6,"Insuficiente")</f>
        <v>Excelente</v>
      </c>
      <c r="N20" s="30" t="str" cm="1">
        <f t="array" ref="N20">_xlfn.IFS(E20&gt;=18,"Excelente",E20&gt;=14,"Muy bueno",E20&gt;=10,"Bueno",E20&gt;=6,"Regular",E20&lt;6,"Insuficiente")</f>
        <v>Excelente</v>
      </c>
      <c r="O20" s="30" t="str" cm="1">
        <f t="array" ref="O20">_xlfn.IFS(F20&gt;=9,"Excelente",F20&gt;=7,"Muy bueno",F20&gt;=5,"Bueno",F20&gt;=3,"Regular",F20&lt;3,"Insuficiente")</f>
        <v>Excelente</v>
      </c>
      <c r="P20" s="30" t="str" cm="1">
        <f t="array" ref="P20">_xlfn.IFS(G20&gt;=9,"Excelente",G20&gt;=7,"Muy bueno",G20&gt;=5,"Bueno",G20&gt;=3,"Regular",G20&lt;3,"Insuficiente")</f>
        <v>Excelente</v>
      </c>
      <c r="Q20" s="30" t="str" cm="1">
        <f t="array" ref="Q20">_xlfn.IFS(H20&gt;=9,"Excelente",H20&gt;=7,"Muy bueno",H20&gt;=5,"Bueno",H20&gt;=3,"Regular",H20&lt;3,"Insuficiente")</f>
        <v>Excelente</v>
      </c>
      <c r="R20" s="30" t="str" cm="1">
        <f t="array" ref="R20">_xlfn.IFS(I20&gt;=9,"Excelente",I20&gt;=7,"Muy bueno",I20&gt;=5,"Bueno",I20&gt;=3,"Regular",I20&lt;3,"Insuficiente")</f>
        <v>Excelente</v>
      </c>
    </row>
    <row r="21" spans="1:18">
      <c r="A21" t="s">
        <v>250</v>
      </c>
      <c r="B21" s="16">
        <v>3</v>
      </c>
      <c r="C21" s="16">
        <v>20</v>
      </c>
      <c r="D21" s="16">
        <v>18.666666666666668</v>
      </c>
      <c r="E21" s="16">
        <v>20</v>
      </c>
      <c r="F21" s="16">
        <v>6</v>
      </c>
      <c r="G21" s="16">
        <v>10</v>
      </c>
      <c r="H21" s="16">
        <v>8.6666666666666661</v>
      </c>
      <c r="I21" s="16">
        <v>9.3333333333333339</v>
      </c>
      <c r="J21" s="28">
        <f t="shared" si="0"/>
        <v>92.666666666666671</v>
      </c>
      <c r="K21" s="29" t="str" cm="1">
        <f t="array" ref="K21">_xlfn.IFS(J21&gt;=90,"Excelente",J21&gt;=80,"Muy Bueno",J21&gt;=75,"Bueno",J21&gt;=65,"Regular",J21&gt;=55,"Insuficiente")</f>
        <v>Excelente</v>
      </c>
      <c r="L21" s="30" t="str" cm="1">
        <f t="array" ref="L21">_xlfn.IFS(C21&gt;=18,"Excelente",C21&gt;=14,"Muy bueno",C21&gt;=10,"Bueno",C21&gt;=6,"Regular",C21&lt;6,"Insuficiente")</f>
        <v>Excelente</v>
      </c>
      <c r="M21" s="30" t="str" cm="1">
        <f t="array" ref="M21">_xlfn.IFS(D21&gt;=18,"Excelente",D21&gt;=14,"Muy bueno",D21&gt;=10,"Bueno",D21&gt;=6,"Regular",D21&lt;6,"Insuficiente")</f>
        <v>Excelente</v>
      </c>
      <c r="N21" s="30" t="str" cm="1">
        <f t="array" ref="N21">_xlfn.IFS(E21&gt;=18,"Excelente",E21&gt;=14,"Muy bueno",E21&gt;=10,"Bueno",E21&gt;=6,"Regular",E21&lt;6,"Insuficiente")</f>
        <v>Excelente</v>
      </c>
      <c r="O21" s="30" t="str" cm="1">
        <f t="array" ref="O21">_xlfn.IFS(F21&gt;=9,"Excelente",F21&gt;=7,"Muy bueno",F21&gt;=5,"Bueno",F21&gt;=3,"Regular",F21&lt;3,"Insuficiente")</f>
        <v>Bueno</v>
      </c>
      <c r="P21" s="30" t="str" cm="1">
        <f t="array" ref="P21">_xlfn.IFS(G21&gt;=9,"Excelente",G21&gt;=7,"Muy bueno",G21&gt;=5,"Bueno",G21&gt;=3,"Regular",G21&lt;3,"Insuficiente")</f>
        <v>Excelente</v>
      </c>
      <c r="Q21" s="30" t="str" cm="1">
        <f t="array" ref="Q21">_xlfn.IFS(H21&gt;=9,"Excelente",H21&gt;=7,"Muy bueno",H21&gt;=5,"Bueno",H21&gt;=3,"Regular",H21&lt;3,"Insuficiente")</f>
        <v>Muy bueno</v>
      </c>
      <c r="R21" s="30" t="str" cm="1">
        <f t="array" ref="R21">_xlfn.IFS(I21&gt;=9,"Excelente",I21&gt;=7,"Muy bueno",I21&gt;=5,"Bueno",I21&gt;=3,"Regular",I21&lt;3,"Insuficiente")</f>
        <v>Excelente</v>
      </c>
    </row>
    <row r="22" spans="1:18">
      <c r="A22" t="s">
        <v>170</v>
      </c>
      <c r="B22" s="16">
        <v>3</v>
      </c>
      <c r="C22" s="16">
        <v>17.333333333333332</v>
      </c>
      <c r="D22" s="16">
        <v>18.666666666666668</v>
      </c>
      <c r="E22" s="16">
        <v>16</v>
      </c>
      <c r="F22" s="16">
        <v>9.3333333333333339</v>
      </c>
      <c r="G22" s="16">
        <v>8</v>
      </c>
      <c r="H22" s="16">
        <v>7.333333333333333</v>
      </c>
      <c r="I22" s="16">
        <v>9.3333333333333339</v>
      </c>
      <c r="J22" s="28">
        <f t="shared" si="0"/>
        <v>86</v>
      </c>
      <c r="K22" s="29" t="str" cm="1">
        <f t="array" ref="K22">_xlfn.IFS(J22&gt;=90,"Excelente",J22&gt;=80,"Muy Bueno",J22&gt;=75,"Bueno",J22&gt;=65,"Regular",J22&gt;=55,"Insuficiente")</f>
        <v>Muy Bueno</v>
      </c>
      <c r="L22" s="30" t="str" cm="1">
        <f t="array" ref="L22">_xlfn.IFS(C22&gt;=18,"Excelente",C22&gt;=14,"Muy bueno",C22&gt;=10,"Bueno",C22&gt;=6,"Regular",C22&lt;6,"Insuficiente")</f>
        <v>Muy bueno</v>
      </c>
      <c r="M22" s="30" t="str" cm="1">
        <f t="array" ref="M22">_xlfn.IFS(D22&gt;=18,"Excelente",D22&gt;=14,"Muy bueno",D22&gt;=10,"Bueno",D22&gt;=6,"Regular",D22&lt;6,"Insuficiente")</f>
        <v>Excelente</v>
      </c>
      <c r="N22" s="30" t="str" cm="1">
        <f t="array" ref="N22">_xlfn.IFS(E22&gt;=18,"Excelente",E22&gt;=14,"Muy bueno",E22&gt;=10,"Bueno",E22&gt;=6,"Regular",E22&lt;6,"Insuficiente")</f>
        <v>Muy bueno</v>
      </c>
      <c r="O22" s="30" t="str" cm="1">
        <f t="array" ref="O22">_xlfn.IFS(F22&gt;=9,"Excelente",F22&gt;=7,"Muy bueno",F22&gt;=5,"Bueno",F22&gt;=3,"Regular",F22&lt;3,"Insuficiente")</f>
        <v>Excelente</v>
      </c>
      <c r="P22" s="30" t="str" cm="1">
        <f t="array" ref="P22">_xlfn.IFS(G22&gt;=9,"Excelente",G22&gt;=7,"Muy bueno",G22&gt;=5,"Bueno",G22&gt;=3,"Regular",G22&lt;3,"Insuficiente")</f>
        <v>Muy bueno</v>
      </c>
      <c r="Q22" s="30" t="str" cm="1">
        <f t="array" ref="Q22">_xlfn.IFS(H22&gt;=9,"Excelente",H22&gt;=7,"Muy bueno",H22&gt;=5,"Bueno",H22&gt;=3,"Regular",H22&lt;3,"Insuficiente")</f>
        <v>Muy bueno</v>
      </c>
      <c r="R22" s="30" t="str" cm="1">
        <f t="array" ref="R22">_xlfn.IFS(I22&gt;=9,"Excelente",I22&gt;=7,"Muy bueno",I22&gt;=5,"Bueno",I22&gt;=3,"Regular",I22&lt;3,"Insuficiente")</f>
        <v>Excelente</v>
      </c>
    </row>
    <row r="23" spans="1:18">
      <c r="A23" t="s">
        <v>237</v>
      </c>
      <c r="B23" s="16">
        <v>3</v>
      </c>
      <c r="C23" s="16">
        <v>18.666666666666668</v>
      </c>
      <c r="D23" s="16">
        <v>18.666666666666668</v>
      </c>
      <c r="E23" s="16">
        <v>17.333333333333332</v>
      </c>
      <c r="F23" s="16">
        <v>8</v>
      </c>
      <c r="G23" s="16">
        <v>8.6666666666666661</v>
      </c>
      <c r="H23" s="16">
        <v>7.333333333333333</v>
      </c>
      <c r="I23" s="16">
        <v>8</v>
      </c>
      <c r="J23" s="28">
        <f t="shared" si="0"/>
        <v>86.666666666666671</v>
      </c>
      <c r="K23" s="29" t="str" cm="1">
        <f t="array" ref="K23">_xlfn.IFS(J23&gt;=90,"Excelente",J23&gt;=80,"Muy Bueno",J23&gt;=75,"Bueno",J23&gt;=65,"Regular",J23&gt;=55,"Insuficiente")</f>
        <v>Muy Bueno</v>
      </c>
      <c r="L23" s="30" t="str" cm="1">
        <f t="array" ref="L23">_xlfn.IFS(C23&gt;=18,"Excelente",C23&gt;=14,"Muy bueno",C23&gt;=10,"Bueno",C23&gt;=6,"Regular",C23&lt;6,"Insuficiente")</f>
        <v>Excelente</v>
      </c>
      <c r="M23" s="30" t="str" cm="1">
        <f t="array" ref="M23">_xlfn.IFS(D23&gt;=18,"Excelente",D23&gt;=14,"Muy bueno",D23&gt;=10,"Bueno",D23&gt;=6,"Regular",D23&lt;6,"Insuficiente")</f>
        <v>Excelente</v>
      </c>
      <c r="N23" s="30" t="str" cm="1">
        <f t="array" ref="N23">_xlfn.IFS(E23&gt;=18,"Excelente",E23&gt;=14,"Muy bueno",E23&gt;=10,"Bueno",E23&gt;=6,"Regular",E23&lt;6,"Insuficiente")</f>
        <v>Muy bueno</v>
      </c>
      <c r="O23" s="30" t="str" cm="1">
        <f t="array" ref="O23">_xlfn.IFS(F23&gt;=9,"Excelente",F23&gt;=7,"Muy bueno",F23&gt;=5,"Bueno",F23&gt;=3,"Regular",F23&lt;3,"Insuficiente")</f>
        <v>Muy bueno</v>
      </c>
      <c r="P23" s="30" t="str" cm="1">
        <f t="array" ref="P23">_xlfn.IFS(G23&gt;=9,"Excelente",G23&gt;=7,"Muy bueno",G23&gt;=5,"Bueno",G23&gt;=3,"Regular",G23&lt;3,"Insuficiente")</f>
        <v>Muy bueno</v>
      </c>
      <c r="Q23" s="30" t="str" cm="1">
        <f t="array" ref="Q23">_xlfn.IFS(H23&gt;=9,"Excelente",H23&gt;=7,"Muy bueno",H23&gt;=5,"Bueno",H23&gt;=3,"Regular",H23&lt;3,"Insuficiente")</f>
        <v>Muy bueno</v>
      </c>
      <c r="R23" s="30" t="str" cm="1">
        <f t="array" ref="R23">_xlfn.IFS(I23&gt;=9,"Excelente",I23&gt;=7,"Muy bueno",I23&gt;=5,"Bueno",I23&gt;=3,"Regular",I23&lt;3,"Insuficiente")</f>
        <v>Muy bueno</v>
      </c>
    </row>
    <row r="24" spans="1:18">
      <c r="A24" t="s">
        <v>121</v>
      </c>
      <c r="B24" s="16">
        <v>3</v>
      </c>
      <c r="C24" s="16">
        <v>20</v>
      </c>
      <c r="D24" s="16">
        <v>20</v>
      </c>
      <c r="E24" s="16">
        <v>20</v>
      </c>
      <c r="F24" s="16">
        <v>10</v>
      </c>
      <c r="G24" s="16">
        <v>9.3333333333333339</v>
      </c>
      <c r="H24" s="16">
        <v>8.6666666666666661</v>
      </c>
      <c r="I24" s="16">
        <v>10</v>
      </c>
      <c r="J24" s="28">
        <f t="shared" si="0"/>
        <v>98</v>
      </c>
      <c r="K24" s="29" t="str" cm="1">
        <f t="array" ref="K24">_xlfn.IFS(J24&gt;=90,"Excelente",J24&gt;=80,"Muy Bueno",J24&gt;=75,"Bueno",J24&gt;=65,"Regular",J24&gt;=55,"Insuficiente")</f>
        <v>Excelente</v>
      </c>
      <c r="L24" s="30" t="str" cm="1">
        <f t="array" ref="L24">_xlfn.IFS(C24&gt;=18,"Excelente",C24&gt;=14,"Muy bueno",C24&gt;=10,"Bueno",C24&gt;=6,"Regular",C24&lt;6,"Insuficiente")</f>
        <v>Excelente</v>
      </c>
      <c r="M24" s="30" t="str" cm="1">
        <f t="array" ref="M24">_xlfn.IFS(D24&gt;=18,"Excelente",D24&gt;=14,"Muy bueno",D24&gt;=10,"Bueno",D24&gt;=6,"Regular",D24&lt;6,"Insuficiente")</f>
        <v>Excelente</v>
      </c>
      <c r="N24" s="30" t="str" cm="1">
        <f t="array" ref="N24">_xlfn.IFS(E24&gt;=18,"Excelente",E24&gt;=14,"Muy bueno",E24&gt;=10,"Bueno",E24&gt;=6,"Regular",E24&lt;6,"Insuficiente")</f>
        <v>Excelente</v>
      </c>
      <c r="O24" s="30" t="str" cm="1">
        <f t="array" ref="O24">_xlfn.IFS(F24&gt;=9,"Excelente",F24&gt;=7,"Muy bueno",F24&gt;=5,"Bueno",F24&gt;=3,"Regular",F24&lt;3,"Insuficiente")</f>
        <v>Excelente</v>
      </c>
      <c r="P24" s="30" t="str" cm="1">
        <f t="array" ref="P24">_xlfn.IFS(G24&gt;=9,"Excelente",G24&gt;=7,"Muy bueno",G24&gt;=5,"Bueno",G24&gt;=3,"Regular",G24&lt;3,"Insuficiente")</f>
        <v>Excelente</v>
      </c>
      <c r="Q24" s="30" t="str" cm="1">
        <f t="array" ref="Q24">_xlfn.IFS(H24&gt;=9,"Excelente",H24&gt;=7,"Muy bueno",H24&gt;=5,"Bueno",H24&gt;=3,"Regular",H24&lt;3,"Insuficiente")</f>
        <v>Muy bueno</v>
      </c>
      <c r="R24" s="30" t="str" cm="1">
        <f t="array" ref="R24">_xlfn.IFS(I24&gt;=9,"Excelente",I24&gt;=7,"Muy bueno",I24&gt;=5,"Bueno",I24&gt;=3,"Regular",I24&lt;3,"Insuficiente")</f>
        <v>Excelente</v>
      </c>
    </row>
    <row r="25" spans="1:18">
      <c r="A25" t="s">
        <v>141</v>
      </c>
      <c r="B25" s="16">
        <v>3</v>
      </c>
      <c r="C25" s="16">
        <v>18.666666666666668</v>
      </c>
      <c r="D25" s="16">
        <v>18.666666666666668</v>
      </c>
      <c r="E25" s="16">
        <v>18.666666666666668</v>
      </c>
      <c r="F25" s="16">
        <v>10</v>
      </c>
      <c r="G25" s="16">
        <v>9.3333333333333339</v>
      </c>
      <c r="H25" s="16">
        <v>9.3333333333333339</v>
      </c>
      <c r="I25" s="16">
        <v>9.3333333333333339</v>
      </c>
      <c r="J25" s="28">
        <f t="shared" si="0"/>
        <v>93.999999999999986</v>
      </c>
      <c r="K25" s="29" t="str" cm="1">
        <f t="array" ref="K25">_xlfn.IFS(J25&gt;=90,"Excelente",J25&gt;=80,"Muy Bueno",J25&gt;=75,"Bueno",J25&gt;=65,"Regular",J25&gt;=55,"Insuficiente")</f>
        <v>Excelente</v>
      </c>
      <c r="L25" s="30" t="str" cm="1">
        <f t="array" ref="L25">_xlfn.IFS(C25&gt;=18,"Excelente",C25&gt;=14,"Muy bueno",C25&gt;=10,"Bueno",C25&gt;=6,"Regular",C25&lt;6,"Insuficiente")</f>
        <v>Excelente</v>
      </c>
      <c r="M25" s="30" t="str" cm="1">
        <f t="array" ref="M25">_xlfn.IFS(D25&gt;=18,"Excelente",D25&gt;=14,"Muy bueno",D25&gt;=10,"Bueno",D25&gt;=6,"Regular",D25&lt;6,"Insuficiente")</f>
        <v>Excelente</v>
      </c>
      <c r="N25" s="30" t="str" cm="1">
        <f t="array" ref="N25">_xlfn.IFS(E25&gt;=18,"Excelente",E25&gt;=14,"Muy bueno",E25&gt;=10,"Bueno",E25&gt;=6,"Regular",E25&lt;6,"Insuficiente")</f>
        <v>Excelente</v>
      </c>
      <c r="O25" s="30" t="str" cm="1">
        <f t="array" ref="O25">_xlfn.IFS(F25&gt;=9,"Excelente",F25&gt;=7,"Muy bueno",F25&gt;=5,"Bueno",F25&gt;=3,"Regular",F25&lt;3,"Insuficiente")</f>
        <v>Excelente</v>
      </c>
      <c r="P25" s="30" t="str" cm="1">
        <f t="array" ref="P25">_xlfn.IFS(G25&gt;=9,"Excelente",G25&gt;=7,"Muy bueno",G25&gt;=5,"Bueno",G25&gt;=3,"Regular",G25&lt;3,"Insuficiente")</f>
        <v>Excelente</v>
      </c>
      <c r="Q25" s="30" t="str" cm="1">
        <f t="array" ref="Q25">_xlfn.IFS(H25&gt;=9,"Excelente",H25&gt;=7,"Muy bueno",H25&gt;=5,"Bueno",H25&gt;=3,"Regular",H25&lt;3,"Insuficiente")</f>
        <v>Excelente</v>
      </c>
      <c r="R25" s="30" t="str" cm="1">
        <f t="array" ref="R25">_xlfn.IFS(I25&gt;=9,"Excelente",I25&gt;=7,"Muy bueno",I25&gt;=5,"Bueno",I25&gt;=3,"Regular",I25&lt;3,"Insuficiente")</f>
        <v>Excelente</v>
      </c>
    </row>
    <row r="26" spans="1:18">
      <c r="A26" t="s">
        <v>265</v>
      </c>
      <c r="B26" s="16">
        <v>3</v>
      </c>
      <c r="C26" s="16">
        <v>18.666666666666668</v>
      </c>
      <c r="D26" s="16">
        <v>18.666666666666668</v>
      </c>
      <c r="E26" s="16">
        <v>18.666666666666668</v>
      </c>
      <c r="F26" s="16">
        <v>8</v>
      </c>
      <c r="G26" s="16">
        <v>8.6666666666666661</v>
      </c>
      <c r="H26" s="16">
        <v>9.3333333333333339</v>
      </c>
      <c r="I26" s="16">
        <v>9.3333333333333339</v>
      </c>
      <c r="J26" s="28">
        <f t="shared" si="0"/>
        <v>91.333333333333329</v>
      </c>
      <c r="K26" s="29" t="str" cm="1">
        <f t="array" ref="K26">_xlfn.IFS(J26&gt;=90,"Excelente",J26&gt;=80,"Muy Bueno",J26&gt;=75,"Bueno",J26&gt;=65,"Regular",J26&gt;=55,"Insuficiente")</f>
        <v>Excelente</v>
      </c>
      <c r="L26" s="30" t="str" cm="1">
        <f t="array" ref="L26">_xlfn.IFS(C26&gt;=18,"Excelente",C26&gt;=14,"Muy bueno",C26&gt;=10,"Bueno",C26&gt;=6,"Regular",C26&lt;6,"Insuficiente")</f>
        <v>Excelente</v>
      </c>
      <c r="M26" s="30" t="str" cm="1">
        <f t="array" ref="M26">_xlfn.IFS(D26&gt;=18,"Excelente",D26&gt;=14,"Muy bueno",D26&gt;=10,"Bueno",D26&gt;=6,"Regular",D26&lt;6,"Insuficiente")</f>
        <v>Excelente</v>
      </c>
      <c r="N26" s="30" t="str" cm="1">
        <f t="array" ref="N26">_xlfn.IFS(E26&gt;=18,"Excelente",E26&gt;=14,"Muy bueno",E26&gt;=10,"Bueno",E26&gt;=6,"Regular",E26&lt;6,"Insuficiente")</f>
        <v>Excelente</v>
      </c>
      <c r="O26" s="30" t="str" cm="1">
        <f t="array" ref="O26">_xlfn.IFS(F26&gt;=9,"Excelente",F26&gt;=7,"Muy bueno",F26&gt;=5,"Bueno",F26&gt;=3,"Regular",F26&lt;3,"Insuficiente")</f>
        <v>Muy bueno</v>
      </c>
      <c r="P26" s="30" t="str" cm="1">
        <f t="array" ref="P26">_xlfn.IFS(G26&gt;=9,"Excelente",G26&gt;=7,"Muy bueno",G26&gt;=5,"Bueno",G26&gt;=3,"Regular",G26&lt;3,"Insuficiente")</f>
        <v>Muy bueno</v>
      </c>
      <c r="Q26" s="30" t="str" cm="1">
        <f t="array" ref="Q26">_xlfn.IFS(H26&gt;=9,"Excelente",H26&gt;=7,"Muy bueno",H26&gt;=5,"Bueno",H26&gt;=3,"Regular",H26&lt;3,"Insuficiente")</f>
        <v>Excelente</v>
      </c>
      <c r="R26" s="30" t="str" cm="1">
        <f t="array" ref="R26">_xlfn.IFS(I26&gt;=9,"Excelente",I26&gt;=7,"Muy bueno",I26&gt;=5,"Bueno",I26&gt;=3,"Regular",I26&lt;3,"Insuficiente")</f>
        <v>Excelente</v>
      </c>
    </row>
    <row r="27" spans="1:18">
      <c r="A27" t="s">
        <v>198</v>
      </c>
      <c r="B27" s="16">
        <v>3</v>
      </c>
      <c r="C27" s="16">
        <v>20</v>
      </c>
      <c r="D27" s="16">
        <v>20</v>
      </c>
      <c r="E27" s="16">
        <v>20</v>
      </c>
      <c r="F27" s="16">
        <v>9.3333333333333339</v>
      </c>
      <c r="G27" s="16">
        <v>9.3333333333333339</v>
      </c>
      <c r="H27" s="16">
        <v>10</v>
      </c>
      <c r="I27" s="16">
        <v>10</v>
      </c>
      <c r="J27" s="28">
        <f t="shared" si="0"/>
        <v>98.666666666666657</v>
      </c>
      <c r="K27" s="29" t="str" cm="1">
        <f t="array" ref="K27">_xlfn.IFS(J27&gt;=90,"Excelente",J27&gt;=80,"Muy Bueno",J27&gt;=75,"Bueno",J27&gt;=65,"Regular",J27&gt;=55,"Insuficiente")</f>
        <v>Excelente</v>
      </c>
      <c r="L27" s="30" t="str" cm="1">
        <f t="array" ref="L27">_xlfn.IFS(C27&gt;=18,"Excelente",C27&gt;=14,"Muy bueno",C27&gt;=10,"Bueno",C27&gt;=6,"Regular",C27&lt;6,"Insuficiente")</f>
        <v>Excelente</v>
      </c>
      <c r="M27" s="30" t="str" cm="1">
        <f t="array" ref="M27">_xlfn.IFS(D27&gt;=18,"Excelente",D27&gt;=14,"Muy bueno",D27&gt;=10,"Bueno",D27&gt;=6,"Regular",D27&lt;6,"Insuficiente")</f>
        <v>Excelente</v>
      </c>
      <c r="N27" s="30" t="str" cm="1">
        <f t="array" ref="N27">_xlfn.IFS(E27&gt;=18,"Excelente",E27&gt;=14,"Muy bueno",E27&gt;=10,"Bueno",E27&gt;=6,"Regular",E27&lt;6,"Insuficiente")</f>
        <v>Excelente</v>
      </c>
      <c r="O27" s="30" t="str" cm="1">
        <f t="array" ref="O27">_xlfn.IFS(F27&gt;=9,"Excelente",F27&gt;=7,"Muy bueno",F27&gt;=5,"Bueno",F27&gt;=3,"Regular",F27&lt;3,"Insuficiente")</f>
        <v>Excelente</v>
      </c>
      <c r="P27" s="30" t="str" cm="1">
        <f t="array" ref="P27">_xlfn.IFS(G27&gt;=9,"Excelente",G27&gt;=7,"Muy bueno",G27&gt;=5,"Bueno",G27&gt;=3,"Regular",G27&lt;3,"Insuficiente")</f>
        <v>Excelente</v>
      </c>
      <c r="Q27" s="30" t="str" cm="1">
        <f t="array" ref="Q27">_xlfn.IFS(H27&gt;=9,"Excelente",H27&gt;=7,"Muy bueno",H27&gt;=5,"Bueno",H27&gt;=3,"Regular",H27&lt;3,"Insuficiente")</f>
        <v>Excelente</v>
      </c>
      <c r="R27" s="30" t="str" cm="1">
        <f t="array" ref="R27">_xlfn.IFS(I27&gt;=9,"Excelente",I27&gt;=7,"Muy bueno",I27&gt;=5,"Bueno",I27&gt;=3,"Regular",I27&lt;3,"Insuficiente")</f>
        <v>Excelente</v>
      </c>
    </row>
    <row r="28" spans="1:18">
      <c r="A28" t="s">
        <v>139</v>
      </c>
      <c r="B28" s="16">
        <v>3</v>
      </c>
      <c r="C28" s="16">
        <v>18.666666666666668</v>
      </c>
      <c r="D28" s="16">
        <v>18.666666666666668</v>
      </c>
      <c r="E28" s="16">
        <v>18.666666666666668</v>
      </c>
      <c r="F28" s="16">
        <v>10</v>
      </c>
      <c r="G28" s="16">
        <v>9.3333333333333339</v>
      </c>
      <c r="H28" s="16">
        <v>9.3333333333333339</v>
      </c>
      <c r="I28" s="16">
        <v>9.3333333333333339</v>
      </c>
      <c r="J28" s="28">
        <f t="shared" si="0"/>
        <v>93.999999999999986</v>
      </c>
      <c r="K28" s="29" t="str" cm="1">
        <f t="array" ref="K28">_xlfn.IFS(J28&gt;=90,"Excelente",J28&gt;=80,"Muy Bueno",J28&gt;=75,"Bueno",J28&gt;=65,"Regular",J28&gt;=55,"Insuficiente")</f>
        <v>Excelente</v>
      </c>
      <c r="L28" s="30" t="str" cm="1">
        <f t="array" ref="L28">_xlfn.IFS(C28&gt;=18,"Excelente",C28&gt;=14,"Muy bueno",C28&gt;=10,"Bueno",C28&gt;=6,"Regular",C28&lt;6,"Insuficiente")</f>
        <v>Excelente</v>
      </c>
      <c r="M28" s="30" t="str" cm="1">
        <f t="array" ref="M28">_xlfn.IFS(D28&gt;=18,"Excelente",D28&gt;=14,"Muy bueno",D28&gt;=10,"Bueno",D28&gt;=6,"Regular",D28&lt;6,"Insuficiente")</f>
        <v>Excelente</v>
      </c>
      <c r="N28" s="30" t="str" cm="1">
        <f t="array" ref="N28">_xlfn.IFS(E28&gt;=18,"Excelente",E28&gt;=14,"Muy bueno",E28&gt;=10,"Bueno",E28&gt;=6,"Regular",E28&lt;6,"Insuficiente")</f>
        <v>Excelente</v>
      </c>
      <c r="O28" s="30" t="str" cm="1">
        <f t="array" ref="O28">_xlfn.IFS(F28&gt;=9,"Excelente",F28&gt;=7,"Muy bueno",F28&gt;=5,"Bueno",F28&gt;=3,"Regular",F28&lt;3,"Insuficiente")</f>
        <v>Excelente</v>
      </c>
      <c r="P28" s="30" t="str" cm="1">
        <f t="array" ref="P28">_xlfn.IFS(G28&gt;=9,"Excelente",G28&gt;=7,"Muy bueno",G28&gt;=5,"Bueno",G28&gt;=3,"Regular",G28&lt;3,"Insuficiente")</f>
        <v>Excelente</v>
      </c>
      <c r="Q28" s="30" t="str" cm="1">
        <f t="array" ref="Q28">_xlfn.IFS(H28&gt;=9,"Excelente",H28&gt;=7,"Muy bueno",H28&gt;=5,"Bueno",H28&gt;=3,"Regular",H28&lt;3,"Insuficiente")</f>
        <v>Excelente</v>
      </c>
      <c r="R28" s="30" t="str" cm="1">
        <f t="array" ref="R28">_xlfn.IFS(I28&gt;=9,"Excelente",I28&gt;=7,"Muy bueno",I28&gt;=5,"Bueno",I28&gt;=3,"Regular",I28&lt;3,"Insuficiente")</f>
        <v>Excelente</v>
      </c>
    </row>
    <row r="29" spans="1:18">
      <c r="A29" t="s">
        <v>57</v>
      </c>
      <c r="B29" s="16">
        <v>3</v>
      </c>
      <c r="C29" s="16">
        <v>20</v>
      </c>
      <c r="D29" s="16">
        <v>20</v>
      </c>
      <c r="E29" s="16">
        <v>18.666666666666668</v>
      </c>
      <c r="F29" s="16">
        <v>8.6666666666666661</v>
      </c>
      <c r="G29" s="16">
        <v>9.3333333333333339</v>
      </c>
      <c r="H29" s="16">
        <v>8.6666666666666661</v>
      </c>
      <c r="I29" s="16">
        <v>9.3333333333333339</v>
      </c>
      <c r="J29" s="28">
        <f t="shared" si="0"/>
        <v>94.666666666666671</v>
      </c>
      <c r="K29" s="29" t="str" cm="1">
        <f t="array" ref="K29">_xlfn.IFS(J29&gt;=90,"Excelente",J29&gt;=80,"Muy Bueno",J29&gt;=75,"Bueno",J29&gt;=65,"Regular",J29&gt;=55,"Insuficiente")</f>
        <v>Excelente</v>
      </c>
      <c r="L29" s="30" t="str" cm="1">
        <f t="array" ref="L29">_xlfn.IFS(C29&gt;=18,"Excelente",C29&gt;=14,"Muy bueno",C29&gt;=10,"Bueno",C29&gt;=6,"Regular",C29&lt;6,"Insuficiente")</f>
        <v>Excelente</v>
      </c>
      <c r="M29" s="30" t="str" cm="1">
        <f t="array" ref="M29">_xlfn.IFS(D29&gt;=18,"Excelente",D29&gt;=14,"Muy bueno",D29&gt;=10,"Bueno",D29&gt;=6,"Regular",D29&lt;6,"Insuficiente")</f>
        <v>Excelente</v>
      </c>
      <c r="N29" s="30" t="str" cm="1">
        <f t="array" ref="N29">_xlfn.IFS(E29&gt;=18,"Excelente",E29&gt;=14,"Muy bueno",E29&gt;=10,"Bueno",E29&gt;=6,"Regular",E29&lt;6,"Insuficiente")</f>
        <v>Excelente</v>
      </c>
      <c r="O29" s="30" t="str" cm="1">
        <f t="array" ref="O29">_xlfn.IFS(F29&gt;=9,"Excelente",F29&gt;=7,"Muy bueno",F29&gt;=5,"Bueno",F29&gt;=3,"Regular",F29&lt;3,"Insuficiente")</f>
        <v>Muy bueno</v>
      </c>
      <c r="P29" s="30" t="str" cm="1">
        <f t="array" ref="P29">_xlfn.IFS(G29&gt;=9,"Excelente",G29&gt;=7,"Muy bueno",G29&gt;=5,"Bueno",G29&gt;=3,"Regular",G29&lt;3,"Insuficiente")</f>
        <v>Excelente</v>
      </c>
      <c r="Q29" s="30" t="str" cm="1">
        <f t="array" ref="Q29">_xlfn.IFS(H29&gt;=9,"Excelente",H29&gt;=7,"Muy bueno",H29&gt;=5,"Bueno",H29&gt;=3,"Regular",H29&lt;3,"Insuficiente")</f>
        <v>Muy bueno</v>
      </c>
      <c r="R29" s="30" t="str" cm="1">
        <f t="array" ref="R29">_xlfn.IFS(I29&gt;=9,"Excelente",I29&gt;=7,"Muy bueno",I29&gt;=5,"Bueno",I29&gt;=3,"Regular",I29&lt;3,"Insuficiente")</f>
        <v>Excelente</v>
      </c>
    </row>
    <row r="30" spans="1:18">
      <c r="A30" t="s">
        <v>304</v>
      </c>
      <c r="B30" s="16">
        <v>3</v>
      </c>
      <c r="C30" s="16">
        <v>20</v>
      </c>
      <c r="D30" s="16">
        <v>20</v>
      </c>
      <c r="E30" s="16">
        <v>20</v>
      </c>
      <c r="F30" s="16">
        <v>10</v>
      </c>
      <c r="G30" s="16">
        <v>9.3333333333333339</v>
      </c>
      <c r="H30" s="16">
        <v>10</v>
      </c>
      <c r="I30" s="16">
        <v>10</v>
      </c>
      <c r="J30" s="28">
        <f t="shared" si="0"/>
        <v>99.333333333333329</v>
      </c>
      <c r="K30" s="29" t="str" cm="1">
        <f t="array" ref="K30">_xlfn.IFS(J30&gt;=90,"Excelente",J30&gt;=80,"Muy Bueno",J30&gt;=75,"Bueno",J30&gt;=65,"Regular",J30&gt;=55,"Insuficiente")</f>
        <v>Excelente</v>
      </c>
      <c r="L30" s="30" t="str" cm="1">
        <f t="array" ref="L30">_xlfn.IFS(C30&gt;=18,"Excelente",C30&gt;=14,"Muy bueno",C30&gt;=10,"Bueno",C30&gt;=6,"Regular",C30&lt;6,"Insuficiente")</f>
        <v>Excelente</v>
      </c>
      <c r="M30" s="30" t="str" cm="1">
        <f t="array" ref="M30">_xlfn.IFS(D30&gt;=18,"Excelente",D30&gt;=14,"Muy bueno",D30&gt;=10,"Bueno",D30&gt;=6,"Regular",D30&lt;6,"Insuficiente")</f>
        <v>Excelente</v>
      </c>
      <c r="N30" s="30" t="str" cm="1">
        <f t="array" ref="N30">_xlfn.IFS(E30&gt;=18,"Excelente",E30&gt;=14,"Muy bueno",E30&gt;=10,"Bueno",E30&gt;=6,"Regular",E30&lt;6,"Insuficiente")</f>
        <v>Excelente</v>
      </c>
      <c r="O30" s="30" t="str" cm="1">
        <f t="array" ref="O30">_xlfn.IFS(F30&gt;=9,"Excelente",F30&gt;=7,"Muy bueno",F30&gt;=5,"Bueno",F30&gt;=3,"Regular",F30&lt;3,"Insuficiente")</f>
        <v>Excelente</v>
      </c>
      <c r="P30" s="30" t="str" cm="1">
        <f t="array" ref="P30">_xlfn.IFS(G30&gt;=9,"Excelente",G30&gt;=7,"Muy bueno",G30&gt;=5,"Bueno",G30&gt;=3,"Regular",G30&lt;3,"Insuficiente")</f>
        <v>Excelente</v>
      </c>
      <c r="Q30" s="30" t="str" cm="1">
        <f t="array" ref="Q30">_xlfn.IFS(H30&gt;=9,"Excelente",H30&gt;=7,"Muy bueno",H30&gt;=5,"Bueno",H30&gt;=3,"Regular",H30&lt;3,"Insuficiente")</f>
        <v>Excelente</v>
      </c>
      <c r="R30" s="30" t="str" cm="1">
        <f t="array" ref="R30">_xlfn.IFS(I30&gt;=9,"Excelente",I30&gt;=7,"Muy bueno",I30&gt;=5,"Bueno",I30&gt;=3,"Regular",I30&lt;3,"Insuficiente")</f>
        <v>Excelente</v>
      </c>
    </row>
    <row r="31" spans="1:18">
      <c r="A31" t="s">
        <v>216</v>
      </c>
      <c r="B31" s="16">
        <v>3</v>
      </c>
      <c r="C31" s="16">
        <v>20</v>
      </c>
      <c r="D31" s="16">
        <v>20</v>
      </c>
      <c r="E31" s="16">
        <v>18.666666666666668</v>
      </c>
      <c r="F31" s="16">
        <v>9.3333333333333339</v>
      </c>
      <c r="G31" s="16">
        <v>9.3333333333333339</v>
      </c>
      <c r="H31" s="16">
        <v>10</v>
      </c>
      <c r="I31" s="16">
        <v>9.3333333333333339</v>
      </c>
      <c r="J31" s="28">
        <f t="shared" si="0"/>
        <v>96.666666666666657</v>
      </c>
      <c r="K31" s="29" t="str" cm="1">
        <f t="array" ref="K31">_xlfn.IFS(J31&gt;=90,"Excelente",J31&gt;=80,"Muy Bueno",J31&gt;=75,"Bueno",J31&gt;=65,"Regular",J31&gt;=55,"Insuficiente")</f>
        <v>Excelente</v>
      </c>
      <c r="L31" s="30" t="str" cm="1">
        <f t="array" ref="L31">_xlfn.IFS(C31&gt;=18,"Excelente",C31&gt;=14,"Muy bueno",C31&gt;=10,"Bueno",C31&gt;=6,"Regular",C31&lt;6,"Insuficiente")</f>
        <v>Excelente</v>
      </c>
      <c r="M31" s="30" t="str" cm="1">
        <f t="array" ref="M31">_xlfn.IFS(D31&gt;=18,"Excelente",D31&gt;=14,"Muy bueno",D31&gt;=10,"Bueno",D31&gt;=6,"Regular",D31&lt;6,"Insuficiente")</f>
        <v>Excelente</v>
      </c>
      <c r="N31" s="30" t="str" cm="1">
        <f t="array" ref="N31">_xlfn.IFS(E31&gt;=18,"Excelente",E31&gt;=14,"Muy bueno",E31&gt;=10,"Bueno",E31&gt;=6,"Regular",E31&lt;6,"Insuficiente")</f>
        <v>Excelente</v>
      </c>
      <c r="O31" s="30" t="str" cm="1">
        <f t="array" ref="O31">_xlfn.IFS(F31&gt;=9,"Excelente",F31&gt;=7,"Muy bueno",F31&gt;=5,"Bueno",F31&gt;=3,"Regular",F31&lt;3,"Insuficiente")</f>
        <v>Excelente</v>
      </c>
      <c r="P31" s="30" t="str" cm="1">
        <f t="array" ref="P31">_xlfn.IFS(G31&gt;=9,"Excelente",G31&gt;=7,"Muy bueno",G31&gt;=5,"Bueno",G31&gt;=3,"Regular",G31&lt;3,"Insuficiente")</f>
        <v>Excelente</v>
      </c>
      <c r="Q31" s="30" t="str" cm="1">
        <f t="array" ref="Q31">_xlfn.IFS(H31&gt;=9,"Excelente",H31&gt;=7,"Muy bueno",H31&gt;=5,"Bueno",H31&gt;=3,"Regular",H31&lt;3,"Insuficiente")</f>
        <v>Excelente</v>
      </c>
      <c r="R31" s="30" t="str" cm="1">
        <f t="array" ref="R31">_xlfn.IFS(I31&gt;=9,"Excelente",I31&gt;=7,"Muy bueno",I31&gt;=5,"Bueno",I31&gt;=3,"Regular",I31&lt;3,"Insuficiente")</f>
        <v>Excelente</v>
      </c>
    </row>
    <row r="32" spans="1:18">
      <c r="A32" t="s">
        <v>256</v>
      </c>
      <c r="B32" s="16">
        <v>3</v>
      </c>
      <c r="C32" s="16">
        <v>20</v>
      </c>
      <c r="D32" s="16">
        <v>18.666666666666668</v>
      </c>
      <c r="E32" s="16">
        <v>18.666666666666668</v>
      </c>
      <c r="F32" s="16">
        <v>10</v>
      </c>
      <c r="G32" s="16">
        <v>10</v>
      </c>
      <c r="H32" s="16">
        <v>7.333333333333333</v>
      </c>
      <c r="I32" s="16">
        <v>9.3333333333333339</v>
      </c>
      <c r="J32" s="28">
        <f t="shared" si="0"/>
        <v>94</v>
      </c>
      <c r="K32" s="29" t="str" cm="1">
        <f t="array" ref="K32">_xlfn.IFS(J32&gt;=90,"Excelente",J32&gt;=80,"Muy Bueno",J32&gt;=75,"Bueno",J32&gt;=65,"Regular",J32&gt;=55,"Insuficiente")</f>
        <v>Excelente</v>
      </c>
      <c r="L32" s="30" t="str" cm="1">
        <f t="array" ref="L32">_xlfn.IFS(C32&gt;=18,"Excelente",C32&gt;=14,"Muy bueno",C32&gt;=10,"Bueno",C32&gt;=6,"Regular",C32&lt;6,"Insuficiente")</f>
        <v>Excelente</v>
      </c>
      <c r="M32" s="30" t="str" cm="1">
        <f t="array" ref="M32">_xlfn.IFS(D32&gt;=18,"Excelente",D32&gt;=14,"Muy bueno",D32&gt;=10,"Bueno",D32&gt;=6,"Regular",D32&lt;6,"Insuficiente")</f>
        <v>Excelente</v>
      </c>
      <c r="N32" s="30" t="str" cm="1">
        <f t="array" ref="N32">_xlfn.IFS(E32&gt;=18,"Excelente",E32&gt;=14,"Muy bueno",E32&gt;=10,"Bueno",E32&gt;=6,"Regular",E32&lt;6,"Insuficiente")</f>
        <v>Excelente</v>
      </c>
      <c r="O32" s="30" t="str" cm="1">
        <f t="array" ref="O32">_xlfn.IFS(F32&gt;=9,"Excelente",F32&gt;=7,"Muy bueno",F32&gt;=5,"Bueno",F32&gt;=3,"Regular",F32&lt;3,"Insuficiente")</f>
        <v>Excelente</v>
      </c>
      <c r="P32" s="30" t="str" cm="1">
        <f t="array" ref="P32">_xlfn.IFS(G32&gt;=9,"Excelente",G32&gt;=7,"Muy bueno",G32&gt;=5,"Bueno",G32&gt;=3,"Regular",G32&lt;3,"Insuficiente")</f>
        <v>Excelente</v>
      </c>
      <c r="Q32" s="30" t="str" cm="1">
        <f t="array" ref="Q32">_xlfn.IFS(H32&gt;=9,"Excelente",H32&gt;=7,"Muy bueno",H32&gt;=5,"Bueno",H32&gt;=3,"Regular",H32&lt;3,"Insuficiente")</f>
        <v>Muy bueno</v>
      </c>
      <c r="R32" s="30" t="str" cm="1">
        <f t="array" ref="R32">_xlfn.IFS(I32&gt;=9,"Excelente",I32&gt;=7,"Muy bueno",I32&gt;=5,"Bueno",I32&gt;=3,"Regular",I32&lt;3,"Insuficiente")</f>
        <v>Excelente</v>
      </c>
    </row>
    <row r="33" spans="1:18">
      <c r="A33" t="s">
        <v>291</v>
      </c>
      <c r="B33" s="16">
        <v>3</v>
      </c>
      <c r="C33" s="16">
        <v>17.333333333333332</v>
      </c>
      <c r="D33" s="16">
        <v>17.333333333333332</v>
      </c>
      <c r="E33" s="16">
        <v>17.333333333333332</v>
      </c>
      <c r="F33" s="16">
        <v>9.3333333333333339</v>
      </c>
      <c r="G33" s="16">
        <v>8</v>
      </c>
      <c r="H33" s="16">
        <v>9.3333333333333339</v>
      </c>
      <c r="I33" s="16">
        <v>8.6666666666666661</v>
      </c>
      <c r="J33" s="28">
        <f t="shared" si="0"/>
        <v>87.333333333333343</v>
      </c>
      <c r="K33" s="29" t="str" cm="1">
        <f t="array" ref="K33">_xlfn.IFS(J33&gt;=90,"Excelente",J33&gt;=80,"Muy Bueno",J33&gt;=75,"Bueno",J33&gt;=65,"Regular",J33&gt;=55,"Insuficiente")</f>
        <v>Muy Bueno</v>
      </c>
      <c r="L33" s="30" t="str" cm="1">
        <f t="array" ref="L33">_xlfn.IFS(C33&gt;=18,"Excelente",C33&gt;=14,"Muy bueno",C33&gt;=10,"Bueno",C33&gt;=6,"Regular",C33&lt;6,"Insuficiente")</f>
        <v>Muy bueno</v>
      </c>
      <c r="M33" s="30" t="str" cm="1">
        <f t="array" ref="M33">_xlfn.IFS(D33&gt;=18,"Excelente",D33&gt;=14,"Muy bueno",D33&gt;=10,"Bueno",D33&gt;=6,"Regular",D33&lt;6,"Insuficiente")</f>
        <v>Muy bueno</v>
      </c>
      <c r="N33" s="30" t="str" cm="1">
        <f t="array" ref="N33">_xlfn.IFS(E33&gt;=18,"Excelente",E33&gt;=14,"Muy bueno",E33&gt;=10,"Bueno",E33&gt;=6,"Regular",E33&lt;6,"Insuficiente")</f>
        <v>Muy bueno</v>
      </c>
      <c r="O33" s="30" t="str" cm="1">
        <f t="array" ref="O33">_xlfn.IFS(F33&gt;=9,"Excelente",F33&gt;=7,"Muy bueno",F33&gt;=5,"Bueno",F33&gt;=3,"Regular",F33&lt;3,"Insuficiente")</f>
        <v>Excelente</v>
      </c>
      <c r="P33" s="30" t="str" cm="1">
        <f t="array" ref="P33">_xlfn.IFS(G33&gt;=9,"Excelente",G33&gt;=7,"Muy bueno",G33&gt;=5,"Bueno",G33&gt;=3,"Regular",G33&lt;3,"Insuficiente")</f>
        <v>Muy bueno</v>
      </c>
      <c r="Q33" s="30" t="str" cm="1">
        <f t="array" ref="Q33">_xlfn.IFS(H33&gt;=9,"Excelente",H33&gt;=7,"Muy bueno",H33&gt;=5,"Bueno",H33&gt;=3,"Regular",H33&lt;3,"Insuficiente")</f>
        <v>Excelente</v>
      </c>
      <c r="R33" s="30" t="str" cm="1">
        <f t="array" ref="R33">_xlfn.IFS(I33&gt;=9,"Excelente",I33&gt;=7,"Muy bueno",I33&gt;=5,"Bueno",I33&gt;=3,"Regular",I33&lt;3,"Insuficiente")</f>
        <v>Muy bueno</v>
      </c>
    </row>
    <row r="34" spans="1:18">
      <c r="A34" t="s">
        <v>273</v>
      </c>
      <c r="B34" s="16">
        <v>3</v>
      </c>
      <c r="C34" s="16">
        <v>18.666666666666668</v>
      </c>
      <c r="D34" s="16">
        <v>17.333333333333332</v>
      </c>
      <c r="E34" s="16">
        <v>17.333333333333332</v>
      </c>
      <c r="F34" s="16">
        <v>7.333333333333333</v>
      </c>
      <c r="G34" s="16">
        <v>8</v>
      </c>
      <c r="H34" s="16">
        <v>6.666666666666667</v>
      </c>
      <c r="I34" s="16">
        <v>8.6666666666666661</v>
      </c>
      <c r="J34" s="28">
        <f t="shared" si="0"/>
        <v>84</v>
      </c>
      <c r="K34" s="29" t="str" cm="1">
        <f t="array" ref="K34">_xlfn.IFS(J34&gt;=90,"Excelente",J34&gt;=80,"Muy Bueno",J34&gt;=75,"Bueno",J34&gt;=65,"Regular",J34&gt;=55,"Insuficiente")</f>
        <v>Muy Bueno</v>
      </c>
      <c r="L34" s="30" t="str" cm="1">
        <f t="array" ref="L34">_xlfn.IFS(C34&gt;=18,"Excelente",C34&gt;=14,"Muy bueno",C34&gt;=10,"Bueno",C34&gt;=6,"Regular",C34&lt;6,"Insuficiente")</f>
        <v>Excelente</v>
      </c>
      <c r="M34" s="30" t="str" cm="1">
        <f t="array" ref="M34">_xlfn.IFS(D34&gt;=18,"Excelente",D34&gt;=14,"Muy bueno",D34&gt;=10,"Bueno",D34&gt;=6,"Regular",D34&lt;6,"Insuficiente")</f>
        <v>Muy bueno</v>
      </c>
      <c r="N34" s="30" t="str" cm="1">
        <f t="array" ref="N34">_xlfn.IFS(E34&gt;=18,"Excelente",E34&gt;=14,"Muy bueno",E34&gt;=10,"Bueno",E34&gt;=6,"Regular",E34&lt;6,"Insuficiente")</f>
        <v>Muy bueno</v>
      </c>
      <c r="O34" s="30" t="str" cm="1">
        <f t="array" ref="O34">_xlfn.IFS(F34&gt;=9,"Excelente",F34&gt;=7,"Muy bueno",F34&gt;=5,"Bueno",F34&gt;=3,"Regular",F34&lt;3,"Insuficiente")</f>
        <v>Muy bueno</v>
      </c>
      <c r="P34" s="30" t="str" cm="1">
        <f t="array" ref="P34">_xlfn.IFS(G34&gt;=9,"Excelente",G34&gt;=7,"Muy bueno",G34&gt;=5,"Bueno",G34&gt;=3,"Regular",G34&lt;3,"Insuficiente")</f>
        <v>Muy bueno</v>
      </c>
      <c r="Q34" s="30" t="str" cm="1">
        <f t="array" ref="Q34">_xlfn.IFS(H34&gt;=9,"Excelente",H34&gt;=7,"Muy bueno",H34&gt;=5,"Bueno",H34&gt;=3,"Regular",H34&lt;3,"Insuficiente")</f>
        <v>Bueno</v>
      </c>
      <c r="R34" s="30" t="str" cm="1">
        <f t="array" ref="R34">_xlfn.IFS(I34&gt;=9,"Excelente",I34&gt;=7,"Muy bueno",I34&gt;=5,"Bueno",I34&gt;=3,"Regular",I34&lt;3,"Insuficiente")</f>
        <v>Muy bueno</v>
      </c>
    </row>
    <row r="35" spans="1:18">
      <c r="A35" t="s">
        <v>177</v>
      </c>
      <c r="B35" s="16">
        <v>3</v>
      </c>
      <c r="C35" s="16">
        <v>20</v>
      </c>
      <c r="D35" s="16">
        <v>17.333333333333332</v>
      </c>
      <c r="E35" s="16">
        <v>17.333333333333332</v>
      </c>
      <c r="F35" s="16">
        <v>10</v>
      </c>
      <c r="G35" s="16">
        <v>10</v>
      </c>
      <c r="H35" s="16">
        <v>8.6666666666666661</v>
      </c>
      <c r="I35" s="16">
        <v>8.6666666666666661</v>
      </c>
      <c r="J35" s="28">
        <f t="shared" si="0"/>
        <v>92</v>
      </c>
      <c r="K35" s="29" t="str" cm="1">
        <f t="array" ref="K35">_xlfn.IFS(J35&gt;=90,"Excelente",J35&gt;=80,"Muy Bueno",J35&gt;=75,"Bueno",J35&gt;=65,"Regular",J35&gt;=55,"Insuficiente")</f>
        <v>Excelente</v>
      </c>
      <c r="L35" s="30" t="str" cm="1">
        <f t="array" ref="L35">_xlfn.IFS(C35&gt;=18,"Excelente",C35&gt;=14,"Muy bueno",C35&gt;=10,"Bueno",C35&gt;=6,"Regular",C35&lt;6,"Insuficiente")</f>
        <v>Excelente</v>
      </c>
      <c r="M35" s="30" t="str" cm="1">
        <f t="array" ref="M35">_xlfn.IFS(D35&gt;=18,"Excelente",D35&gt;=14,"Muy bueno",D35&gt;=10,"Bueno",D35&gt;=6,"Regular",D35&lt;6,"Insuficiente")</f>
        <v>Muy bueno</v>
      </c>
      <c r="N35" s="30" t="str" cm="1">
        <f t="array" ref="N35">_xlfn.IFS(E35&gt;=18,"Excelente",E35&gt;=14,"Muy bueno",E35&gt;=10,"Bueno",E35&gt;=6,"Regular",E35&lt;6,"Insuficiente")</f>
        <v>Muy bueno</v>
      </c>
      <c r="O35" s="30" t="str" cm="1">
        <f t="array" ref="O35">_xlfn.IFS(F35&gt;=9,"Excelente",F35&gt;=7,"Muy bueno",F35&gt;=5,"Bueno",F35&gt;=3,"Regular",F35&lt;3,"Insuficiente")</f>
        <v>Excelente</v>
      </c>
      <c r="P35" s="30" t="str" cm="1">
        <f t="array" ref="P35">_xlfn.IFS(G35&gt;=9,"Excelente",G35&gt;=7,"Muy bueno",G35&gt;=5,"Bueno",G35&gt;=3,"Regular",G35&lt;3,"Insuficiente")</f>
        <v>Excelente</v>
      </c>
      <c r="Q35" s="30" t="str" cm="1">
        <f t="array" ref="Q35">_xlfn.IFS(H35&gt;=9,"Excelente",H35&gt;=7,"Muy bueno",H35&gt;=5,"Bueno",H35&gt;=3,"Regular",H35&lt;3,"Insuficiente")</f>
        <v>Muy bueno</v>
      </c>
      <c r="R35" s="30" t="str" cm="1">
        <f t="array" ref="R35">_xlfn.IFS(I35&gt;=9,"Excelente",I35&gt;=7,"Muy bueno",I35&gt;=5,"Bueno",I35&gt;=3,"Regular",I35&lt;3,"Insuficiente")</f>
        <v>Muy bueno</v>
      </c>
    </row>
    <row r="36" spans="1:18">
      <c r="A36" t="s">
        <v>189</v>
      </c>
      <c r="B36" s="16">
        <v>3</v>
      </c>
      <c r="C36" s="16">
        <v>20</v>
      </c>
      <c r="D36" s="16">
        <v>18.666666666666668</v>
      </c>
      <c r="E36" s="16">
        <v>20</v>
      </c>
      <c r="F36" s="16">
        <v>9.3333333333333339</v>
      </c>
      <c r="G36" s="16">
        <v>10</v>
      </c>
      <c r="H36" s="16">
        <v>10</v>
      </c>
      <c r="I36" s="16">
        <v>9.3333333333333339</v>
      </c>
      <c r="J36" s="28">
        <f t="shared" si="0"/>
        <v>97.333333333333329</v>
      </c>
      <c r="K36" s="29" t="str" cm="1">
        <f t="array" ref="K36">_xlfn.IFS(J36&gt;=90,"Excelente",J36&gt;=80,"Muy Bueno",J36&gt;=75,"Bueno",J36&gt;=65,"Regular",J36&gt;=55,"Insuficiente")</f>
        <v>Excelente</v>
      </c>
      <c r="L36" s="30" t="str" cm="1">
        <f t="array" ref="L36">_xlfn.IFS(C36&gt;=18,"Excelente",C36&gt;=14,"Muy bueno",C36&gt;=10,"Bueno",C36&gt;=6,"Regular",C36&lt;6,"Insuficiente")</f>
        <v>Excelente</v>
      </c>
      <c r="M36" s="30" t="str" cm="1">
        <f t="array" ref="M36">_xlfn.IFS(D36&gt;=18,"Excelente",D36&gt;=14,"Muy bueno",D36&gt;=10,"Bueno",D36&gt;=6,"Regular",D36&lt;6,"Insuficiente")</f>
        <v>Excelente</v>
      </c>
      <c r="N36" s="30" t="str" cm="1">
        <f t="array" ref="N36">_xlfn.IFS(E36&gt;=18,"Excelente",E36&gt;=14,"Muy bueno",E36&gt;=10,"Bueno",E36&gt;=6,"Regular",E36&lt;6,"Insuficiente")</f>
        <v>Excelente</v>
      </c>
      <c r="O36" s="30" t="str" cm="1">
        <f t="array" ref="O36">_xlfn.IFS(F36&gt;=9,"Excelente",F36&gt;=7,"Muy bueno",F36&gt;=5,"Bueno",F36&gt;=3,"Regular",F36&lt;3,"Insuficiente")</f>
        <v>Excelente</v>
      </c>
      <c r="P36" s="30" t="str" cm="1">
        <f t="array" ref="P36">_xlfn.IFS(G36&gt;=9,"Excelente",G36&gt;=7,"Muy bueno",G36&gt;=5,"Bueno",G36&gt;=3,"Regular",G36&lt;3,"Insuficiente")</f>
        <v>Excelente</v>
      </c>
      <c r="Q36" s="30" t="str" cm="1">
        <f t="array" ref="Q36">_xlfn.IFS(H36&gt;=9,"Excelente",H36&gt;=7,"Muy bueno",H36&gt;=5,"Bueno",H36&gt;=3,"Regular",H36&lt;3,"Insuficiente")</f>
        <v>Excelente</v>
      </c>
      <c r="R36" s="30" t="str" cm="1">
        <f t="array" ref="R36">_xlfn.IFS(I36&gt;=9,"Excelente",I36&gt;=7,"Muy bueno",I36&gt;=5,"Bueno",I36&gt;=3,"Regular",I36&lt;3,"Insuficiente")</f>
        <v>Excelente</v>
      </c>
    </row>
    <row r="37" spans="1:18">
      <c r="A37" t="s">
        <v>128</v>
      </c>
      <c r="B37" s="16">
        <v>3</v>
      </c>
      <c r="C37" s="16">
        <v>20</v>
      </c>
      <c r="D37" s="16">
        <v>20</v>
      </c>
      <c r="E37" s="16">
        <v>18.666666666666668</v>
      </c>
      <c r="F37" s="16">
        <v>10</v>
      </c>
      <c r="G37" s="16">
        <v>9.3333333333333339</v>
      </c>
      <c r="H37" s="16">
        <v>8.6666666666666661</v>
      </c>
      <c r="I37" s="16">
        <v>9.3333333333333339</v>
      </c>
      <c r="J37" s="28">
        <f t="shared" si="0"/>
        <v>96</v>
      </c>
      <c r="K37" s="29" t="str" cm="1">
        <f t="array" ref="K37">_xlfn.IFS(J37&gt;=90,"Excelente",J37&gt;=80,"Muy Bueno",J37&gt;=75,"Bueno",J37&gt;=65,"Regular",J37&gt;=55,"Insuficiente")</f>
        <v>Excelente</v>
      </c>
      <c r="L37" s="30" t="str" cm="1">
        <f t="array" ref="L37">_xlfn.IFS(C37&gt;=18,"Excelente",C37&gt;=14,"Muy bueno",C37&gt;=10,"Bueno",C37&gt;=6,"Regular",C37&lt;6,"Insuficiente")</f>
        <v>Excelente</v>
      </c>
      <c r="M37" s="30" t="str" cm="1">
        <f t="array" ref="M37">_xlfn.IFS(D37&gt;=18,"Excelente",D37&gt;=14,"Muy bueno",D37&gt;=10,"Bueno",D37&gt;=6,"Regular",D37&lt;6,"Insuficiente")</f>
        <v>Excelente</v>
      </c>
      <c r="N37" s="30" t="str" cm="1">
        <f t="array" ref="N37">_xlfn.IFS(E37&gt;=18,"Excelente",E37&gt;=14,"Muy bueno",E37&gt;=10,"Bueno",E37&gt;=6,"Regular",E37&lt;6,"Insuficiente")</f>
        <v>Excelente</v>
      </c>
      <c r="O37" s="30" t="str" cm="1">
        <f t="array" ref="O37">_xlfn.IFS(F37&gt;=9,"Excelente",F37&gt;=7,"Muy bueno",F37&gt;=5,"Bueno",F37&gt;=3,"Regular",F37&lt;3,"Insuficiente")</f>
        <v>Excelente</v>
      </c>
      <c r="P37" s="30" t="str" cm="1">
        <f t="array" ref="P37">_xlfn.IFS(G37&gt;=9,"Excelente",G37&gt;=7,"Muy bueno",G37&gt;=5,"Bueno",G37&gt;=3,"Regular",G37&lt;3,"Insuficiente")</f>
        <v>Excelente</v>
      </c>
      <c r="Q37" s="30" t="str" cm="1">
        <f t="array" ref="Q37">_xlfn.IFS(H37&gt;=9,"Excelente",H37&gt;=7,"Muy bueno",H37&gt;=5,"Bueno",H37&gt;=3,"Regular",H37&lt;3,"Insuficiente")</f>
        <v>Muy bueno</v>
      </c>
      <c r="R37" s="30" t="str" cm="1">
        <f t="array" ref="R37">_xlfn.IFS(I37&gt;=9,"Excelente",I37&gt;=7,"Muy bueno",I37&gt;=5,"Bueno",I37&gt;=3,"Regular",I37&lt;3,"Insuficiente")</f>
        <v>Excelente</v>
      </c>
    </row>
    <row r="38" spans="1:18">
      <c r="A38" t="s">
        <v>335</v>
      </c>
      <c r="B38" s="16">
        <v>3</v>
      </c>
      <c r="C38" s="16">
        <v>18.666666666666668</v>
      </c>
      <c r="D38" s="16">
        <v>18.666666666666668</v>
      </c>
      <c r="E38" s="16">
        <v>17.333333333333332</v>
      </c>
      <c r="F38" s="16">
        <v>9.3333333333333339</v>
      </c>
      <c r="G38" s="16">
        <v>9.3333333333333339</v>
      </c>
      <c r="H38" s="16">
        <v>8.6666666666666661</v>
      </c>
      <c r="I38" s="16">
        <v>9.3333333333333339</v>
      </c>
      <c r="J38" s="28">
        <f t="shared" si="0"/>
        <v>91.333333333333329</v>
      </c>
      <c r="K38" s="29" t="str" cm="1">
        <f t="array" ref="K38">_xlfn.IFS(J38&gt;=90,"Excelente",J38&gt;=80,"Muy Bueno",J38&gt;=75,"Bueno",J38&gt;=65,"Regular",J38&gt;=55,"Insuficiente")</f>
        <v>Excelente</v>
      </c>
      <c r="L38" s="30" t="str" cm="1">
        <f t="array" ref="L38">_xlfn.IFS(C38&gt;=18,"Excelente",C38&gt;=14,"Muy bueno",C38&gt;=10,"Bueno",C38&gt;=6,"Regular",C38&lt;6,"Insuficiente")</f>
        <v>Excelente</v>
      </c>
      <c r="M38" s="30" t="str" cm="1">
        <f t="array" ref="M38">_xlfn.IFS(D38&gt;=18,"Excelente",D38&gt;=14,"Muy bueno",D38&gt;=10,"Bueno",D38&gt;=6,"Regular",D38&lt;6,"Insuficiente")</f>
        <v>Excelente</v>
      </c>
      <c r="N38" s="30" t="str" cm="1">
        <f t="array" ref="N38">_xlfn.IFS(E38&gt;=18,"Excelente",E38&gt;=14,"Muy bueno",E38&gt;=10,"Bueno",E38&gt;=6,"Regular",E38&lt;6,"Insuficiente")</f>
        <v>Muy bueno</v>
      </c>
      <c r="O38" s="30" t="str" cm="1">
        <f t="array" ref="O38">_xlfn.IFS(F38&gt;=9,"Excelente",F38&gt;=7,"Muy bueno",F38&gt;=5,"Bueno",F38&gt;=3,"Regular",F38&lt;3,"Insuficiente")</f>
        <v>Excelente</v>
      </c>
      <c r="P38" s="30" t="str" cm="1">
        <f t="array" ref="P38">_xlfn.IFS(G38&gt;=9,"Excelente",G38&gt;=7,"Muy bueno",G38&gt;=5,"Bueno",G38&gt;=3,"Regular",G38&lt;3,"Insuficiente")</f>
        <v>Excelente</v>
      </c>
      <c r="Q38" s="30" t="str" cm="1">
        <f t="array" ref="Q38">_xlfn.IFS(H38&gt;=9,"Excelente",H38&gt;=7,"Muy bueno",H38&gt;=5,"Bueno",H38&gt;=3,"Regular",H38&lt;3,"Insuficiente")</f>
        <v>Muy bueno</v>
      </c>
      <c r="R38" s="30" t="str" cm="1">
        <f t="array" ref="R38">_xlfn.IFS(I38&gt;=9,"Excelente",I38&gt;=7,"Muy bueno",I38&gt;=5,"Bueno",I38&gt;=3,"Regular",I38&lt;3,"Insuficiente")</f>
        <v>Excelente</v>
      </c>
    </row>
    <row r="39" spans="1:18">
      <c r="A39" t="s">
        <v>292</v>
      </c>
      <c r="B39" s="16">
        <v>3</v>
      </c>
      <c r="C39" s="16">
        <v>20</v>
      </c>
      <c r="D39" s="16">
        <v>18.666666666666668</v>
      </c>
      <c r="E39" s="16">
        <v>20</v>
      </c>
      <c r="F39" s="16">
        <v>10</v>
      </c>
      <c r="G39" s="16">
        <v>10</v>
      </c>
      <c r="H39" s="16">
        <v>9.3333333333333339</v>
      </c>
      <c r="I39" s="16">
        <v>9.3333333333333339</v>
      </c>
      <c r="J39" s="28">
        <f t="shared" si="0"/>
        <v>97.333333333333329</v>
      </c>
      <c r="K39" s="29" t="str" cm="1">
        <f t="array" ref="K39">_xlfn.IFS(J39&gt;=90,"Excelente",J39&gt;=80,"Muy Bueno",J39&gt;=75,"Bueno",J39&gt;=65,"Regular",J39&gt;=55,"Insuficiente")</f>
        <v>Excelente</v>
      </c>
      <c r="L39" s="30" t="str" cm="1">
        <f t="array" ref="L39">_xlfn.IFS(C39&gt;=18,"Excelente",C39&gt;=14,"Muy bueno",C39&gt;=10,"Bueno",C39&gt;=6,"Regular",C39&lt;6,"Insuficiente")</f>
        <v>Excelente</v>
      </c>
      <c r="M39" s="30" t="str" cm="1">
        <f t="array" ref="M39">_xlfn.IFS(D39&gt;=18,"Excelente",D39&gt;=14,"Muy bueno",D39&gt;=10,"Bueno",D39&gt;=6,"Regular",D39&lt;6,"Insuficiente")</f>
        <v>Excelente</v>
      </c>
      <c r="N39" s="30" t="str" cm="1">
        <f t="array" ref="N39">_xlfn.IFS(E39&gt;=18,"Excelente",E39&gt;=14,"Muy bueno",E39&gt;=10,"Bueno",E39&gt;=6,"Regular",E39&lt;6,"Insuficiente")</f>
        <v>Excelente</v>
      </c>
      <c r="O39" s="30" t="str" cm="1">
        <f t="array" ref="O39">_xlfn.IFS(F39&gt;=9,"Excelente",F39&gt;=7,"Muy bueno",F39&gt;=5,"Bueno",F39&gt;=3,"Regular",F39&lt;3,"Insuficiente")</f>
        <v>Excelente</v>
      </c>
      <c r="P39" s="30" t="str" cm="1">
        <f t="array" ref="P39">_xlfn.IFS(G39&gt;=9,"Excelente",G39&gt;=7,"Muy bueno",G39&gt;=5,"Bueno",G39&gt;=3,"Regular",G39&lt;3,"Insuficiente")</f>
        <v>Excelente</v>
      </c>
      <c r="Q39" s="30" t="str" cm="1">
        <f t="array" ref="Q39">_xlfn.IFS(H39&gt;=9,"Excelente",H39&gt;=7,"Muy bueno",H39&gt;=5,"Bueno",H39&gt;=3,"Regular",H39&lt;3,"Insuficiente")</f>
        <v>Excelente</v>
      </c>
      <c r="R39" s="30" t="str" cm="1">
        <f t="array" ref="R39">_xlfn.IFS(I39&gt;=9,"Excelente",I39&gt;=7,"Muy bueno",I39&gt;=5,"Bueno",I39&gt;=3,"Regular",I39&lt;3,"Insuficiente")</f>
        <v>Excelente</v>
      </c>
    </row>
    <row r="40" spans="1:18">
      <c r="A40" t="s">
        <v>186</v>
      </c>
      <c r="B40" s="16">
        <v>3</v>
      </c>
      <c r="C40" s="16">
        <v>20</v>
      </c>
      <c r="D40" s="16">
        <v>20</v>
      </c>
      <c r="E40" s="16">
        <v>20</v>
      </c>
      <c r="F40" s="16">
        <v>9.3333333333333339</v>
      </c>
      <c r="G40" s="16">
        <v>8.6666666666666661</v>
      </c>
      <c r="H40" s="16">
        <v>9.3333333333333339</v>
      </c>
      <c r="I40" s="16">
        <v>9.3333333333333339</v>
      </c>
      <c r="J40" s="28">
        <f t="shared" si="0"/>
        <v>96.666666666666657</v>
      </c>
      <c r="K40" s="29" t="str" cm="1">
        <f t="array" ref="K40">_xlfn.IFS(J40&gt;=90,"Excelente",J40&gt;=80,"Muy Bueno",J40&gt;=75,"Bueno",J40&gt;=65,"Regular",J40&gt;=55,"Insuficiente")</f>
        <v>Excelente</v>
      </c>
      <c r="L40" s="30" t="str" cm="1">
        <f t="array" ref="L40">_xlfn.IFS(C40&gt;=18,"Excelente",C40&gt;=14,"Muy bueno",C40&gt;=10,"Bueno",C40&gt;=6,"Regular",C40&lt;6,"Insuficiente")</f>
        <v>Excelente</v>
      </c>
      <c r="M40" s="30" t="str" cm="1">
        <f t="array" ref="M40">_xlfn.IFS(D40&gt;=18,"Excelente",D40&gt;=14,"Muy bueno",D40&gt;=10,"Bueno",D40&gt;=6,"Regular",D40&lt;6,"Insuficiente")</f>
        <v>Excelente</v>
      </c>
      <c r="N40" s="30" t="str" cm="1">
        <f t="array" ref="N40">_xlfn.IFS(E40&gt;=18,"Excelente",E40&gt;=14,"Muy bueno",E40&gt;=10,"Bueno",E40&gt;=6,"Regular",E40&lt;6,"Insuficiente")</f>
        <v>Excelente</v>
      </c>
      <c r="O40" s="30" t="str" cm="1">
        <f t="array" ref="O40">_xlfn.IFS(F40&gt;=9,"Excelente",F40&gt;=7,"Muy bueno",F40&gt;=5,"Bueno",F40&gt;=3,"Regular",F40&lt;3,"Insuficiente")</f>
        <v>Excelente</v>
      </c>
      <c r="P40" s="30" t="str" cm="1">
        <f t="array" ref="P40">_xlfn.IFS(G40&gt;=9,"Excelente",G40&gt;=7,"Muy bueno",G40&gt;=5,"Bueno",G40&gt;=3,"Regular",G40&lt;3,"Insuficiente")</f>
        <v>Muy bueno</v>
      </c>
      <c r="Q40" s="30" t="str" cm="1">
        <f t="array" ref="Q40">_xlfn.IFS(H40&gt;=9,"Excelente",H40&gt;=7,"Muy bueno",H40&gt;=5,"Bueno",H40&gt;=3,"Regular",H40&lt;3,"Insuficiente")</f>
        <v>Excelente</v>
      </c>
      <c r="R40" s="30" t="str" cm="1">
        <f t="array" ref="R40">_xlfn.IFS(I40&gt;=9,"Excelente",I40&gt;=7,"Muy bueno",I40&gt;=5,"Bueno",I40&gt;=3,"Regular",I40&lt;3,"Insuficiente")</f>
        <v>Excelente</v>
      </c>
    </row>
    <row r="41" spans="1:18">
      <c r="A41" t="s">
        <v>221</v>
      </c>
      <c r="B41" s="16">
        <v>3</v>
      </c>
      <c r="C41" s="16">
        <v>16</v>
      </c>
      <c r="D41" s="16">
        <v>13.333333333333334</v>
      </c>
      <c r="E41" s="16">
        <v>12</v>
      </c>
      <c r="F41" s="16">
        <v>8.6666666666666661</v>
      </c>
      <c r="G41" s="16">
        <v>8</v>
      </c>
      <c r="H41" s="16">
        <v>6.666666666666667</v>
      </c>
      <c r="I41" s="16">
        <v>6.666666666666667</v>
      </c>
      <c r="J41" s="28">
        <f t="shared" si="0"/>
        <v>71.333333333333343</v>
      </c>
      <c r="K41" s="29" t="str" cm="1">
        <f t="array" ref="K41">_xlfn.IFS(J41&gt;=90,"Excelente",J41&gt;=80,"Muy Bueno",J41&gt;=75,"Bueno",J41&gt;=65,"Regular",J41&gt;=55,"Insuficiente")</f>
        <v>Regular</v>
      </c>
      <c r="L41" s="30" t="str" cm="1">
        <f t="array" ref="L41">_xlfn.IFS(C41&gt;=18,"Excelente",C41&gt;=14,"Muy bueno",C41&gt;=10,"Bueno",C41&gt;=6,"Regular",C41&lt;6,"Insuficiente")</f>
        <v>Muy bueno</v>
      </c>
      <c r="M41" s="30" t="str" cm="1">
        <f t="array" ref="M41">_xlfn.IFS(D41&gt;=18,"Excelente",D41&gt;=14,"Muy bueno",D41&gt;=10,"Bueno",D41&gt;=6,"Regular",D41&lt;6,"Insuficiente")</f>
        <v>Bueno</v>
      </c>
      <c r="N41" s="30" t="str" cm="1">
        <f t="array" ref="N41">_xlfn.IFS(E41&gt;=18,"Excelente",E41&gt;=14,"Muy bueno",E41&gt;=10,"Bueno",E41&gt;=6,"Regular",E41&lt;6,"Insuficiente")</f>
        <v>Bueno</v>
      </c>
      <c r="O41" s="30" t="str" cm="1">
        <f t="array" ref="O41">_xlfn.IFS(F41&gt;=9,"Excelente",F41&gt;=7,"Muy bueno",F41&gt;=5,"Bueno",F41&gt;=3,"Regular",F41&lt;3,"Insuficiente")</f>
        <v>Muy bueno</v>
      </c>
      <c r="P41" s="30" t="str" cm="1">
        <f t="array" ref="P41">_xlfn.IFS(G41&gt;=9,"Excelente",G41&gt;=7,"Muy bueno",G41&gt;=5,"Bueno",G41&gt;=3,"Regular",G41&lt;3,"Insuficiente")</f>
        <v>Muy bueno</v>
      </c>
      <c r="Q41" s="30" t="str" cm="1">
        <f t="array" ref="Q41">_xlfn.IFS(H41&gt;=9,"Excelente",H41&gt;=7,"Muy bueno",H41&gt;=5,"Bueno",H41&gt;=3,"Regular",H41&lt;3,"Insuficiente")</f>
        <v>Bueno</v>
      </c>
      <c r="R41" s="30" t="str" cm="1">
        <f t="array" ref="R41">_xlfn.IFS(I41&gt;=9,"Excelente",I41&gt;=7,"Muy bueno",I41&gt;=5,"Bueno",I41&gt;=3,"Regular",I41&lt;3,"Insuficiente")</f>
        <v>Bueno</v>
      </c>
    </row>
    <row r="42" spans="1:18">
      <c r="A42" t="s">
        <v>113</v>
      </c>
      <c r="B42" s="16">
        <v>3</v>
      </c>
      <c r="C42" s="16">
        <v>17.333333333333332</v>
      </c>
      <c r="D42" s="16">
        <v>18.666666666666668</v>
      </c>
      <c r="E42" s="16">
        <v>18.666666666666668</v>
      </c>
      <c r="F42" s="16">
        <v>9.3333333333333339</v>
      </c>
      <c r="G42" s="16">
        <v>9.3333333333333339</v>
      </c>
      <c r="H42" s="16">
        <v>9.3333333333333339</v>
      </c>
      <c r="I42" s="16">
        <v>8.6666666666666661</v>
      </c>
      <c r="J42" s="28">
        <f t="shared" si="0"/>
        <v>91.333333333333329</v>
      </c>
      <c r="K42" s="29" t="str" cm="1">
        <f t="array" ref="K42">_xlfn.IFS(J42&gt;=90,"Excelente",J42&gt;=80,"Muy Bueno",J42&gt;=75,"Bueno",J42&gt;=65,"Regular",J42&gt;=55,"Insuficiente")</f>
        <v>Excelente</v>
      </c>
      <c r="L42" s="30" t="str" cm="1">
        <f t="array" ref="L42">_xlfn.IFS(C42&gt;=18,"Excelente",C42&gt;=14,"Muy bueno",C42&gt;=10,"Bueno",C42&gt;=6,"Regular",C42&lt;6,"Insuficiente")</f>
        <v>Muy bueno</v>
      </c>
      <c r="M42" s="30" t="str" cm="1">
        <f t="array" ref="M42">_xlfn.IFS(D42&gt;=18,"Excelente",D42&gt;=14,"Muy bueno",D42&gt;=10,"Bueno",D42&gt;=6,"Regular",D42&lt;6,"Insuficiente")</f>
        <v>Excelente</v>
      </c>
      <c r="N42" s="30" t="str" cm="1">
        <f t="array" ref="N42">_xlfn.IFS(E42&gt;=18,"Excelente",E42&gt;=14,"Muy bueno",E42&gt;=10,"Bueno",E42&gt;=6,"Regular",E42&lt;6,"Insuficiente")</f>
        <v>Excelente</v>
      </c>
      <c r="O42" s="30" t="str" cm="1">
        <f t="array" ref="O42">_xlfn.IFS(F42&gt;=9,"Excelente",F42&gt;=7,"Muy bueno",F42&gt;=5,"Bueno",F42&gt;=3,"Regular",F42&lt;3,"Insuficiente")</f>
        <v>Excelente</v>
      </c>
      <c r="P42" s="30" t="str" cm="1">
        <f t="array" ref="P42">_xlfn.IFS(G42&gt;=9,"Excelente",G42&gt;=7,"Muy bueno",G42&gt;=5,"Bueno",G42&gt;=3,"Regular",G42&lt;3,"Insuficiente")</f>
        <v>Excelente</v>
      </c>
      <c r="Q42" s="30" t="str" cm="1">
        <f t="array" ref="Q42">_xlfn.IFS(H42&gt;=9,"Excelente",H42&gt;=7,"Muy bueno",H42&gt;=5,"Bueno",H42&gt;=3,"Regular",H42&lt;3,"Insuficiente")</f>
        <v>Excelente</v>
      </c>
      <c r="R42" s="30" t="str" cm="1">
        <f t="array" ref="R42">_xlfn.IFS(I42&gt;=9,"Excelente",I42&gt;=7,"Muy bueno",I42&gt;=5,"Bueno",I42&gt;=3,"Regular",I42&lt;3,"Insuficiente")</f>
        <v>Muy bueno</v>
      </c>
    </row>
    <row r="43" spans="1:18">
      <c r="A43" t="s">
        <v>331</v>
      </c>
      <c r="B43" s="16">
        <v>3</v>
      </c>
      <c r="C43" s="16">
        <v>20</v>
      </c>
      <c r="D43" s="16">
        <v>18.666666666666668</v>
      </c>
      <c r="E43" s="16">
        <v>18.666666666666668</v>
      </c>
      <c r="F43" s="16">
        <v>10</v>
      </c>
      <c r="G43" s="16">
        <v>10</v>
      </c>
      <c r="H43" s="16">
        <v>8.6666666666666661</v>
      </c>
      <c r="I43" s="16">
        <v>10</v>
      </c>
      <c r="J43" s="28">
        <f t="shared" si="0"/>
        <v>96.000000000000014</v>
      </c>
      <c r="K43" s="29" t="str" cm="1">
        <f t="array" ref="K43">_xlfn.IFS(J43&gt;=90,"Excelente",J43&gt;=80,"Muy Bueno",J43&gt;=75,"Bueno",J43&gt;=65,"Regular",J43&gt;=55,"Insuficiente")</f>
        <v>Excelente</v>
      </c>
      <c r="L43" s="30" t="str" cm="1">
        <f t="array" ref="L43">_xlfn.IFS(C43&gt;=18,"Excelente",C43&gt;=14,"Muy bueno",C43&gt;=10,"Bueno",C43&gt;=6,"Regular",C43&lt;6,"Insuficiente")</f>
        <v>Excelente</v>
      </c>
      <c r="M43" s="30" t="str" cm="1">
        <f t="array" ref="M43">_xlfn.IFS(D43&gt;=18,"Excelente",D43&gt;=14,"Muy bueno",D43&gt;=10,"Bueno",D43&gt;=6,"Regular",D43&lt;6,"Insuficiente")</f>
        <v>Excelente</v>
      </c>
      <c r="N43" s="30" t="str" cm="1">
        <f t="array" ref="N43">_xlfn.IFS(E43&gt;=18,"Excelente",E43&gt;=14,"Muy bueno",E43&gt;=10,"Bueno",E43&gt;=6,"Regular",E43&lt;6,"Insuficiente")</f>
        <v>Excelente</v>
      </c>
      <c r="O43" s="30" t="str" cm="1">
        <f t="array" ref="O43">_xlfn.IFS(F43&gt;=9,"Excelente",F43&gt;=7,"Muy bueno",F43&gt;=5,"Bueno",F43&gt;=3,"Regular",F43&lt;3,"Insuficiente")</f>
        <v>Excelente</v>
      </c>
      <c r="P43" s="30" t="str" cm="1">
        <f t="array" ref="P43">_xlfn.IFS(G43&gt;=9,"Excelente",G43&gt;=7,"Muy bueno",G43&gt;=5,"Bueno",G43&gt;=3,"Regular",G43&lt;3,"Insuficiente")</f>
        <v>Excelente</v>
      </c>
      <c r="Q43" s="30" t="str" cm="1">
        <f t="array" ref="Q43">_xlfn.IFS(H43&gt;=9,"Excelente",H43&gt;=7,"Muy bueno",H43&gt;=5,"Bueno",H43&gt;=3,"Regular",H43&lt;3,"Insuficiente")</f>
        <v>Muy bueno</v>
      </c>
      <c r="R43" s="30" t="str" cm="1">
        <f t="array" ref="R43">_xlfn.IFS(I43&gt;=9,"Excelente",I43&gt;=7,"Muy bueno",I43&gt;=5,"Bueno",I43&gt;=3,"Regular",I43&lt;3,"Insuficiente")</f>
        <v>Excelente</v>
      </c>
    </row>
    <row r="44" spans="1:18">
      <c r="A44" t="s">
        <v>224</v>
      </c>
      <c r="B44" s="16">
        <v>3</v>
      </c>
      <c r="C44" s="16">
        <v>18.666666666666668</v>
      </c>
      <c r="D44" s="16">
        <v>18.666666666666668</v>
      </c>
      <c r="E44" s="16">
        <v>20</v>
      </c>
      <c r="F44" s="16">
        <v>6.666666666666667</v>
      </c>
      <c r="G44" s="16">
        <v>9.3333333333333339</v>
      </c>
      <c r="H44" s="16">
        <v>9.3333333333333339</v>
      </c>
      <c r="I44" s="16">
        <v>7.333333333333333</v>
      </c>
      <c r="J44" s="28">
        <f t="shared" si="0"/>
        <v>89.999999999999986</v>
      </c>
      <c r="K44" s="29" t="str" cm="1">
        <f t="array" ref="K44">_xlfn.IFS(J44&gt;=90,"Excelente",J44&gt;=80,"Muy Bueno",J44&gt;=75,"Bueno",J44&gt;=65,"Regular",J44&gt;=55,"Insuficiente")</f>
        <v>Excelente</v>
      </c>
      <c r="L44" s="30" t="str" cm="1">
        <f t="array" ref="L44">_xlfn.IFS(C44&gt;=18,"Excelente",C44&gt;=14,"Muy bueno",C44&gt;=10,"Bueno",C44&gt;=6,"Regular",C44&lt;6,"Insuficiente")</f>
        <v>Excelente</v>
      </c>
      <c r="M44" s="30" t="str" cm="1">
        <f t="array" ref="M44">_xlfn.IFS(D44&gt;=18,"Excelente",D44&gt;=14,"Muy bueno",D44&gt;=10,"Bueno",D44&gt;=6,"Regular",D44&lt;6,"Insuficiente")</f>
        <v>Excelente</v>
      </c>
      <c r="N44" s="30" t="str" cm="1">
        <f t="array" ref="N44">_xlfn.IFS(E44&gt;=18,"Excelente",E44&gt;=14,"Muy bueno",E44&gt;=10,"Bueno",E44&gt;=6,"Regular",E44&lt;6,"Insuficiente")</f>
        <v>Excelente</v>
      </c>
      <c r="O44" s="30" t="str" cm="1">
        <f t="array" ref="O44">_xlfn.IFS(F44&gt;=9,"Excelente",F44&gt;=7,"Muy bueno",F44&gt;=5,"Bueno",F44&gt;=3,"Regular",F44&lt;3,"Insuficiente")</f>
        <v>Bueno</v>
      </c>
      <c r="P44" s="30" t="str" cm="1">
        <f t="array" ref="P44">_xlfn.IFS(G44&gt;=9,"Excelente",G44&gt;=7,"Muy bueno",G44&gt;=5,"Bueno",G44&gt;=3,"Regular",G44&lt;3,"Insuficiente")</f>
        <v>Excelente</v>
      </c>
      <c r="Q44" s="30" t="str" cm="1">
        <f t="array" ref="Q44">_xlfn.IFS(H44&gt;=9,"Excelente",H44&gt;=7,"Muy bueno",H44&gt;=5,"Bueno",H44&gt;=3,"Regular",H44&lt;3,"Insuficiente")</f>
        <v>Excelente</v>
      </c>
      <c r="R44" s="30" t="str" cm="1">
        <f t="array" ref="R44">_xlfn.IFS(I44&gt;=9,"Excelente",I44&gt;=7,"Muy bueno",I44&gt;=5,"Bueno",I44&gt;=3,"Regular",I44&lt;3,"Insuficiente")</f>
        <v>Muy bueno</v>
      </c>
    </row>
    <row r="45" spans="1:18">
      <c r="A45" t="s">
        <v>336</v>
      </c>
      <c r="B45" s="16">
        <v>3</v>
      </c>
      <c r="C45" s="16">
        <v>18.666666666666668</v>
      </c>
      <c r="D45" s="16">
        <v>18.666666666666668</v>
      </c>
      <c r="E45" s="16">
        <v>17.333333333333332</v>
      </c>
      <c r="F45" s="16">
        <v>9.3333333333333339</v>
      </c>
      <c r="G45" s="16">
        <v>9.3333333333333339</v>
      </c>
      <c r="H45" s="16">
        <v>8.6666666666666661</v>
      </c>
      <c r="I45" s="16">
        <v>9.3333333333333339</v>
      </c>
      <c r="J45" s="28">
        <f t="shared" si="0"/>
        <v>91.333333333333329</v>
      </c>
      <c r="K45" s="29" t="str" cm="1">
        <f t="array" ref="K45">_xlfn.IFS(J45&gt;=90,"Excelente",J45&gt;=80,"Muy Bueno",J45&gt;=75,"Bueno",J45&gt;=65,"Regular",J45&gt;=55,"Insuficiente")</f>
        <v>Excelente</v>
      </c>
      <c r="L45" s="30" t="str" cm="1">
        <f t="array" ref="L45">_xlfn.IFS(C45&gt;=18,"Excelente",C45&gt;=14,"Muy bueno",C45&gt;=10,"Bueno",C45&gt;=6,"Regular",C45&lt;6,"Insuficiente")</f>
        <v>Excelente</v>
      </c>
      <c r="M45" s="30" t="str" cm="1">
        <f t="array" ref="M45">_xlfn.IFS(D45&gt;=18,"Excelente",D45&gt;=14,"Muy bueno",D45&gt;=10,"Bueno",D45&gt;=6,"Regular",D45&lt;6,"Insuficiente")</f>
        <v>Excelente</v>
      </c>
      <c r="N45" s="30" t="str" cm="1">
        <f t="array" ref="N45">_xlfn.IFS(E45&gt;=18,"Excelente",E45&gt;=14,"Muy bueno",E45&gt;=10,"Bueno",E45&gt;=6,"Regular",E45&lt;6,"Insuficiente")</f>
        <v>Muy bueno</v>
      </c>
      <c r="O45" s="30" t="str" cm="1">
        <f t="array" ref="O45">_xlfn.IFS(F45&gt;=9,"Excelente",F45&gt;=7,"Muy bueno",F45&gt;=5,"Bueno",F45&gt;=3,"Regular",F45&lt;3,"Insuficiente")</f>
        <v>Excelente</v>
      </c>
      <c r="P45" s="30" t="str" cm="1">
        <f t="array" ref="P45">_xlfn.IFS(G45&gt;=9,"Excelente",G45&gt;=7,"Muy bueno",G45&gt;=5,"Bueno",G45&gt;=3,"Regular",G45&lt;3,"Insuficiente")</f>
        <v>Excelente</v>
      </c>
      <c r="Q45" s="30" t="str" cm="1">
        <f t="array" ref="Q45">_xlfn.IFS(H45&gt;=9,"Excelente",H45&gt;=7,"Muy bueno",H45&gt;=5,"Bueno",H45&gt;=3,"Regular",H45&lt;3,"Insuficiente")</f>
        <v>Muy bueno</v>
      </c>
      <c r="R45" s="30" t="str" cm="1">
        <f t="array" ref="R45">_xlfn.IFS(I45&gt;=9,"Excelente",I45&gt;=7,"Muy bueno",I45&gt;=5,"Bueno",I45&gt;=3,"Regular",I45&lt;3,"Insuficiente")</f>
        <v>Excelente</v>
      </c>
    </row>
    <row r="46" spans="1:18">
      <c r="A46" t="s">
        <v>309</v>
      </c>
      <c r="B46" s="16">
        <v>3</v>
      </c>
      <c r="C46" s="16">
        <v>20</v>
      </c>
      <c r="D46" s="16">
        <v>20</v>
      </c>
      <c r="E46" s="16">
        <v>20</v>
      </c>
      <c r="F46" s="16">
        <v>9.3333333333333339</v>
      </c>
      <c r="G46" s="16">
        <v>10</v>
      </c>
      <c r="H46" s="16">
        <v>10</v>
      </c>
      <c r="I46" s="16">
        <v>10</v>
      </c>
      <c r="J46" s="28">
        <f t="shared" si="0"/>
        <v>99.333333333333329</v>
      </c>
      <c r="K46" s="29" t="str" cm="1">
        <f t="array" ref="K46">_xlfn.IFS(J46&gt;=90,"Excelente",J46&gt;=80,"Muy Bueno",J46&gt;=75,"Bueno",J46&gt;=65,"Regular",J46&gt;=55,"Insuficiente")</f>
        <v>Excelente</v>
      </c>
      <c r="L46" s="30" t="str" cm="1">
        <f t="array" ref="L46">_xlfn.IFS(C46&gt;=18,"Excelente",C46&gt;=14,"Muy bueno",C46&gt;=10,"Bueno",C46&gt;=6,"Regular",C46&lt;6,"Insuficiente")</f>
        <v>Excelente</v>
      </c>
      <c r="M46" s="30" t="str" cm="1">
        <f t="array" ref="M46">_xlfn.IFS(D46&gt;=18,"Excelente",D46&gt;=14,"Muy bueno",D46&gt;=10,"Bueno",D46&gt;=6,"Regular",D46&lt;6,"Insuficiente")</f>
        <v>Excelente</v>
      </c>
      <c r="N46" s="30" t="str" cm="1">
        <f t="array" ref="N46">_xlfn.IFS(E46&gt;=18,"Excelente",E46&gt;=14,"Muy bueno",E46&gt;=10,"Bueno",E46&gt;=6,"Regular",E46&lt;6,"Insuficiente")</f>
        <v>Excelente</v>
      </c>
      <c r="O46" s="30" t="str" cm="1">
        <f t="array" ref="O46">_xlfn.IFS(F46&gt;=9,"Excelente",F46&gt;=7,"Muy bueno",F46&gt;=5,"Bueno",F46&gt;=3,"Regular",F46&lt;3,"Insuficiente")</f>
        <v>Excelente</v>
      </c>
      <c r="P46" s="30" t="str" cm="1">
        <f t="array" ref="P46">_xlfn.IFS(G46&gt;=9,"Excelente",G46&gt;=7,"Muy bueno",G46&gt;=5,"Bueno",G46&gt;=3,"Regular",G46&lt;3,"Insuficiente")</f>
        <v>Excelente</v>
      </c>
      <c r="Q46" s="30" t="str" cm="1">
        <f t="array" ref="Q46">_xlfn.IFS(H46&gt;=9,"Excelente",H46&gt;=7,"Muy bueno",H46&gt;=5,"Bueno",H46&gt;=3,"Regular",H46&lt;3,"Insuficiente")</f>
        <v>Excelente</v>
      </c>
      <c r="R46" s="30" t="str" cm="1">
        <f t="array" ref="R46">_xlfn.IFS(I46&gt;=9,"Excelente",I46&gt;=7,"Muy bueno",I46&gt;=5,"Bueno",I46&gt;=3,"Regular",I46&lt;3,"Insuficiente")</f>
        <v>Excelente</v>
      </c>
    </row>
    <row r="47" spans="1:18">
      <c r="A47" t="s">
        <v>89</v>
      </c>
      <c r="B47" s="16">
        <v>3</v>
      </c>
      <c r="C47" s="16">
        <v>20</v>
      </c>
      <c r="D47" s="16">
        <v>20</v>
      </c>
      <c r="E47" s="16">
        <v>20</v>
      </c>
      <c r="F47" s="16">
        <v>10</v>
      </c>
      <c r="G47" s="16">
        <v>10</v>
      </c>
      <c r="H47" s="16">
        <v>10</v>
      </c>
      <c r="I47" s="16">
        <v>10</v>
      </c>
      <c r="J47" s="28">
        <f t="shared" si="0"/>
        <v>100</v>
      </c>
      <c r="K47" s="29" t="str" cm="1">
        <f t="array" ref="K47">_xlfn.IFS(J47&gt;=90,"Excelente",J47&gt;=80,"Muy Bueno",J47&gt;=75,"Bueno",J47&gt;=65,"Regular",J47&gt;=55,"Insuficiente")</f>
        <v>Excelente</v>
      </c>
      <c r="L47" s="30" t="str" cm="1">
        <f t="array" ref="L47">_xlfn.IFS(C47&gt;=18,"Excelente",C47&gt;=14,"Muy bueno",C47&gt;=10,"Bueno",C47&gt;=6,"Regular",C47&lt;6,"Insuficiente")</f>
        <v>Excelente</v>
      </c>
      <c r="M47" s="30" t="str" cm="1">
        <f t="array" ref="M47">_xlfn.IFS(D47&gt;=18,"Excelente",D47&gt;=14,"Muy bueno",D47&gt;=10,"Bueno",D47&gt;=6,"Regular",D47&lt;6,"Insuficiente")</f>
        <v>Excelente</v>
      </c>
      <c r="N47" s="30" t="str" cm="1">
        <f t="array" ref="N47">_xlfn.IFS(E47&gt;=18,"Excelente",E47&gt;=14,"Muy bueno",E47&gt;=10,"Bueno",E47&gt;=6,"Regular",E47&lt;6,"Insuficiente")</f>
        <v>Excelente</v>
      </c>
      <c r="O47" s="30" t="str" cm="1">
        <f t="array" ref="O47">_xlfn.IFS(F47&gt;=9,"Excelente",F47&gt;=7,"Muy bueno",F47&gt;=5,"Bueno",F47&gt;=3,"Regular",F47&lt;3,"Insuficiente")</f>
        <v>Excelente</v>
      </c>
      <c r="P47" s="30" t="str" cm="1">
        <f t="array" ref="P47">_xlfn.IFS(G47&gt;=9,"Excelente",G47&gt;=7,"Muy bueno",G47&gt;=5,"Bueno",G47&gt;=3,"Regular",G47&lt;3,"Insuficiente")</f>
        <v>Excelente</v>
      </c>
      <c r="Q47" s="30" t="str" cm="1">
        <f t="array" ref="Q47">_xlfn.IFS(H47&gt;=9,"Excelente",H47&gt;=7,"Muy bueno",H47&gt;=5,"Bueno",H47&gt;=3,"Regular",H47&lt;3,"Insuficiente")</f>
        <v>Excelente</v>
      </c>
      <c r="R47" s="30" t="str" cm="1">
        <f t="array" ref="R47">_xlfn.IFS(I47&gt;=9,"Excelente",I47&gt;=7,"Muy bueno",I47&gt;=5,"Bueno",I47&gt;=3,"Regular",I47&lt;3,"Insuficiente")</f>
        <v>Excelente</v>
      </c>
    </row>
    <row r="48" spans="1:18">
      <c r="A48" t="s">
        <v>172</v>
      </c>
      <c r="B48" s="16">
        <v>3</v>
      </c>
      <c r="C48" s="16">
        <v>20</v>
      </c>
      <c r="D48" s="16">
        <v>20</v>
      </c>
      <c r="E48" s="16">
        <v>20</v>
      </c>
      <c r="F48" s="16">
        <v>10</v>
      </c>
      <c r="G48" s="16">
        <v>8.6666666666666661</v>
      </c>
      <c r="H48" s="16">
        <v>10</v>
      </c>
      <c r="I48" s="16">
        <v>10</v>
      </c>
      <c r="J48" s="28">
        <f t="shared" si="0"/>
        <v>98.666666666666671</v>
      </c>
      <c r="K48" s="29" t="str" cm="1">
        <f t="array" ref="K48">_xlfn.IFS(J48&gt;=90,"Excelente",J48&gt;=80,"Muy Bueno",J48&gt;=75,"Bueno",J48&gt;=65,"Regular",J48&gt;=55,"Insuficiente")</f>
        <v>Excelente</v>
      </c>
      <c r="L48" s="30" t="str" cm="1">
        <f t="array" ref="L48">_xlfn.IFS(C48&gt;=18,"Excelente",C48&gt;=14,"Muy bueno",C48&gt;=10,"Bueno",C48&gt;=6,"Regular",C48&lt;6,"Insuficiente")</f>
        <v>Excelente</v>
      </c>
      <c r="M48" s="30" t="str" cm="1">
        <f t="array" ref="M48">_xlfn.IFS(D48&gt;=18,"Excelente",D48&gt;=14,"Muy bueno",D48&gt;=10,"Bueno",D48&gt;=6,"Regular",D48&lt;6,"Insuficiente")</f>
        <v>Excelente</v>
      </c>
      <c r="N48" s="30" t="str" cm="1">
        <f t="array" ref="N48">_xlfn.IFS(E48&gt;=18,"Excelente",E48&gt;=14,"Muy bueno",E48&gt;=10,"Bueno",E48&gt;=6,"Regular",E48&lt;6,"Insuficiente")</f>
        <v>Excelente</v>
      </c>
      <c r="O48" s="30" t="str" cm="1">
        <f t="array" ref="O48">_xlfn.IFS(F48&gt;=9,"Excelente",F48&gt;=7,"Muy bueno",F48&gt;=5,"Bueno",F48&gt;=3,"Regular",F48&lt;3,"Insuficiente")</f>
        <v>Excelente</v>
      </c>
      <c r="P48" s="30" t="str" cm="1">
        <f t="array" ref="P48">_xlfn.IFS(G48&gt;=9,"Excelente",G48&gt;=7,"Muy bueno",G48&gt;=5,"Bueno",G48&gt;=3,"Regular",G48&lt;3,"Insuficiente")</f>
        <v>Muy bueno</v>
      </c>
      <c r="Q48" s="30" t="str" cm="1">
        <f t="array" ref="Q48">_xlfn.IFS(H48&gt;=9,"Excelente",H48&gt;=7,"Muy bueno",H48&gt;=5,"Bueno",H48&gt;=3,"Regular",H48&lt;3,"Insuficiente")</f>
        <v>Excelente</v>
      </c>
      <c r="R48" s="30" t="str" cm="1">
        <f t="array" ref="R48">_xlfn.IFS(I48&gt;=9,"Excelente",I48&gt;=7,"Muy bueno",I48&gt;=5,"Bueno",I48&gt;=3,"Regular",I48&lt;3,"Insuficiente")</f>
        <v>Excelente</v>
      </c>
    </row>
    <row r="49" spans="1:18">
      <c r="A49" t="s">
        <v>306</v>
      </c>
      <c r="B49" s="16">
        <v>3</v>
      </c>
      <c r="C49" s="16">
        <v>20</v>
      </c>
      <c r="D49" s="16">
        <v>20</v>
      </c>
      <c r="E49" s="16">
        <v>20</v>
      </c>
      <c r="F49" s="16">
        <v>10</v>
      </c>
      <c r="G49" s="16">
        <v>10</v>
      </c>
      <c r="H49" s="16">
        <v>8</v>
      </c>
      <c r="I49" s="16">
        <v>10</v>
      </c>
      <c r="J49" s="28">
        <f t="shared" si="0"/>
        <v>98</v>
      </c>
      <c r="K49" s="29" t="str" cm="1">
        <f t="array" ref="K49">_xlfn.IFS(J49&gt;=90,"Excelente",J49&gt;=80,"Muy Bueno",J49&gt;=75,"Bueno",J49&gt;=65,"Regular",J49&gt;=55,"Insuficiente")</f>
        <v>Excelente</v>
      </c>
      <c r="L49" s="30" t="str" cm="1">
        <f t="array" ref="L49">_xlfn.IFS(C49&gt;=18,"Excelente",C49&gt;=14,"Muy bueno",C49&gt;=10,"Bueno",C49&gt;=6,"Regular",C49&lt;6,"Insuficiente")</f>
        <v>Excelente</v>
      </c>
      <c r="M49" s="30" t="str" cm="1">
        <f t="array" ref="M49">_xlfn.IFS(D49&gt;=18,"Excelente",D49&gt;=14,"Muy bueno",D49&gt;=10,"Bueno",D49&gt;=6,"Regular",D49&lt;6,"Insuficiente")</f>
        <v>Excelente</v>
      </c>
      <c r="N49" s="30" t="str" cm="1">
        <f t="array" ref="N49">_xlfn.IFS(E49&gt;=18,"Excelente",E49&gt;=14,"Muy bueno",E49&gt;=10,"Bueno",E49&gt;=6,"Regular",E49&lt;6,"Insuficiente")</f>
        <v>Excelente</v>
      </c>
      <c r="O49" s="30" t="str" cm="1">
        <f t="array" ref="O49">_xlfn.IFS(F49&gt;=9,"Excelente",F49&gt;=7,"Muy bueno",F49&gt;=5,"Bueno",F49&gt;=3,"Regular",F49&lt;3,"Insuficiente")</f>
        <v>Excelente</v>
      </c>
      <c r="P49" s="30" t="str" cm="1">
        <f t="array" ref="P49">_xlfn.IFS(G49&gt;=9,"Excelente",G49&gt;=7,"Muy bueno",G49&gt;=5,"Bueno",G49&gt;=3,"Regular",G49&lt;3,"Insuficiente")</f>
        <v>Excelente</v>
      </c>
      <c r="Q49" s="30" t="str" cm="1">
        <f t="array" ref="Q49">_xlfn.IFS(H49&gt;=9,"Excelente",H49&gt;=7,"Muy bueno",H49&gt;=5,"Bueno",H49&gt;=3,"Regular",H49&lt;3,"Insuficiente")</f>
        <v>Muy bueno</v>
      </c>
      <c r="R49" s="30" t="str" cm="1">
        <f t="array" ref="R49">_xlfn.IFS(I49&gt;=9,"Excelente",I49&gt;=7,"Muy bueno",I49&gt;=5,"Bueno",I49&gt;=3,"Regular",I49&lt;3,"Insuficiente")</f>
        <v>Excelente</v>
      </c>
    </row>
    <row r="50" spans="1:18">
      <c r="A50" t="s">
        <v>317</v>
      </c>
      <c r="B50" s="16">
        <v>3</v>
      </c>
      <c r="C50" s="16">
        <v>18.666666666666668</v>
      </c>
      <c r="D50" s="16">
        <v>17.333333333333332</v>
      </c>
      <c r="E50" s="16">
        <v>14.666666666666666</v>
      </c>
      <c r="F50" s="16">
        <v>9.3333333333333339</v>
      </c>
      <c r="G50" s="16">
        <v>8.6666666666666661</v>
      </c>
      <c r="H50" s="16">
        <v>8</v>
      </c>
      <c r="I50" s="16">
        <v>9.3333333333333339</v>
      </c>
      <c r="J50" s="28">
        <f t="shared" si="0"/>
        <v>86</v>
      </c>
      <c r="K50" s="29" t="str" cm="1">
        <f t="array" ref="K50">_xlfn.IFS(J50&gt;=90,"Excelente",J50&gt;=80,"Muy Bueno",J50&gt;=75,"Bueno",J50&gt;=65,"Regular",J50&gt;=55,"Insuficiente")</f>
        <v>Muy Bueno</v>
      </c>
      <c r="L50" s="30" t="str" cm="1">
        <f t="array" ref="L50">_xlfn.IFS(C50&gt;=18,"Excelente",C50&gt;=14,"Muy bueno",C50&gt;=10,"Bueno",C50&gt;=6,"Regular",C50&lt;6,"Insuficiente")</f>
        <v>Excelente</v>
      </c>
      <c r="M50" s="30" t="str" cm="1">
        <f t="array" ref="M50">_xlfn.IFS(D50&gt;=18,"Excelente",D50&gt;=14,"Muy bueno",D50&gt;=10,"Bueno",D50&gt;=6,"Regular",D50&lt;6,"Insuficiente")</f>
        <v>Muy bueno</v>
      </c>
      <c r="N50" s="30" t="str" cm="1">
        <f t="array" ref="N50">_xlfn.IFS(E50&gt;=18,"Excelente",E50&gt;=14,"Muy bueno",E50&gt;=10,"Bueno",E50&gt;=6,"Regular",E50&lt;6,"Insuficiente")</f>
        <v>Muy bueno</v>
      </c>
      <c r="O50" s="30" t="str" cm="1">
        <f t="array" ref="O50">_xlfn.IFS(F50&gt;=9,"Excelente",F50&gt;=7,"Muy bueno",F50&gt;=5,"Bueno",F50&gt;=3,"Regular",F50&lt;3,"Insuficiente")</f>
        <v>Excelente</v>
      </c>
      <c r="P50" s="30" t="str" cm="1">
        <f t="array" ref="P50">_xlfn.IFS(G50&gt;=9,"Excelente",G50&gt;=7,"Muy bueno",G50&gt;=5,"Bueno",G50&gt;=3,"Regular",G50&lt;3,"Insuficiente")</f>
        <v>Muy bueno</v>
      </c>
      <c r="Q50" s="30" t="str" cm="1">
        <f t="array" ref="Q50">_xlfn.IFS(H50&gt;=9,"Excelente",H50&gt;=7,"Muy bueno",H50&gt;=5,"Bueno",H50&gt;=3,"Regular",H50&lt;3,"Insuficiente")</f>
        <v>Muy bueno</v>
      </c>
      <c r="R50" s="30" t="str" cm="1">
        <f t="array" ref="R50">_xlfn.IFS(I50&gt;=9,"Excelente",I50&gt;=7,"Muy bueno",I50&gt;=5,"Bueno",I50&gt;=3,"Regular",I50&lt;3,"Insuficiente")</f>
        <v>Excelente</v>
      </c>
    </row>
    <row r="51" spans="1:18">
      <c r="A51" t="s">
        <v>169</v>
      </c>
      <c r="B51" s="16">
        <v>3</v>
      </c>
      <c r="C51" s="16">
        <v>17.333333333333332</v>
      </c>
      <c r="D51" s="16">
        <v>18.666666666666668</v>
      </c>
      <c r="E51" s="16">
        <v>16</v>
      </c>
      <c r="F51" s="16">
        <v>9.3333333333333339</v>
      </c>
      <c r="G51" s="16">
        <v>8</v>
      </c>
      <c r="H51" s="16">
        <v>7.333333333333333</v>
      </c>
      <c r="I51" s="16">
        <v>9.3333333333333339</v>
      </c>
      <c r="J51" s="28">
        <f t="shared" si="0"/>
        <v>86</v>
      </c>
      <c r="K51" s="29" t="str" cm="1">
        <f t="array" ref="K51">_xlfn.IFS(J51&gt;=90,"Excelente",J51&gt;=80,"Muy Bueno",J51&gt;=75,"Bueno",J51&gt;=65,"Regular",J51&gt;=55,"Insuficiente")</f>
        <v>Muy Bueno</v>
      </c>
      <c r="L51" s="30" t="str" cm="1">
        <f t="array" ref="L51">_xlfn.IFS(C51&gt;=18,"Excelente",C51&gt;=14,"Muy bueno",C51&gt;=10,"Bueno",C51&gt;=6,"Regular",C51&lt;6,"Insuficiente")</f>
        <v>Muy bueno</v>
      </c>
      <c r="M51" s="30" t="str" cm="1">
        <f t="array" ref="M51">_xlfn.IFS(D51&gt;=18,"Excelente",D51&gt;=14,"Muy bueno",D51&gt;=10,"Bueno",D51&gt;=6,"Regular",D51&lt;6,"Insuficiente")</f>
        <v>Excelente</v>
      </c>
      <c r="N51" s="30" t="str" cm="1">
        <f t="array" ref="N51">_xlfn.IFS(E51&gt;=18,"Excelente",E51&gt;=14,"Muy bueno",E51&gt;=10,"Bueno",E51&gt;=6,"Regular",E51&lt;6,"Insuficiente")</f>
        <v>Muy bueno</v>
      </c>
      <c r="O51" s="30" t="str" cm="1">
        <f t="array" ref="O51">_xlfn.IFS(F51&gt;=9,"Excelente",F51&gt;=7,"Muy bueno",F51&gt;=5,"Bueno",F51&gt;=3,"Regular",F51&lt;3,"Insuficiente")</f>
        <v>Excelente</v>
      </c>
      <c r="P51" s="30" t="str" cm="1">
        <f t="array" ref="P51">_xlfn.IFS(G51&gt;=9,"Excelente",G51&gt;=7,"Muy bueno",G51&gt;=5,"Bueno",G51&gt;=3,"Regular",G51&lt;3,"Insuficiente")</f>
        <v>Muy bueno</v>
      </c>
      <c r="Q51" s="30" t="str" cm="1">
        <f t="array" ref="Q51">_xlfn.IFS(H51&gt;=9,"Excelente",H51&gt;=7,"Muy bueno",H51&gt;=5,"Bueno",H51&gt;=3,"Regular",H51&lt;3,"Insuficiente")</f>
        <v>Muy bueno</v>
      </c>
      <c r="R51" s="30" t="str" cm="1">
        <f t="array" ref="R51">_xlfn.IFS(I51&gt;=9,"Excelente",I51&gt;=7,"Muy bueno",I51&gt;=5,"Bueno",I51&gt;=3,"Regular",I51&lt;3,"Insuficiente")</f>
        <v>Excelente</v>
      </c>
    </row>
    <row r="52" spans="1:18">
      <c r="A52" t="s">
        <v>171</v>
      </c>
      <c r="B52" s="16">
        <v>3</v>
      </c>
      <c r="C52" s="16">
        <v>18.666666666666668</v>
      </c>
      <c r="D52" s="16">
        <v>18.666666666666668</v>
      </c>
      <c r="E52" s="16">
        <v>16</v>
      </c>
      <c r="F52" s="16">
        <v>9.3333333333333339</v>
      </c>
      <c r="G52" s="16">
        <v>8</v>
      </c>
      <c r="H52" s="16">
        <v>7.333333333333333</v>
      </c>
      <c r="I52" s="16">
        <v>9.3333333333333339</v>
      </c>
      <c r="J52" s="28">
        <f t="shared" si="0"/>
        <v>87.333333333333329</v>
      </c>
      <c r="K52" s="29" t="str" cm="1">
        <f t="array" ref="K52">_xlfn.IFS(J52&gt;=90,"Excelente",J52&gt;=80,"Muy Bueno",J52&gt;=75,"Bueno",J52&gt;=65,"Regular",J52&gt;=55,"Insuficiente")</f>
        <v>Muy Bueno</v>
      </c>
      <c r="L52" s="30" t="str" cm="1">
        <f t="array" ref="L52">_xlfn.IFS(C52&gt;=18,"Excelente",C52&gt;=14,"Muy bueno",C52&gt;=10,"Bueno",C52&gt;=6,"Regular",C52&lt;6,"Insuficiente")</f>
        <v>Excelente</v>
      </c>
      <c r="M52" s="30" t="str" cm="1">
        <f t="array" ref="M52">_xlfn.IFS(D52&gt;=18,"Excelente",D52&gt;=14,"Muy bueno",D52&gt;=10,"Bueno",D52&gt;=6,"Regular",D52&lt;6,"Insuficiente")</f>
        <v>Excelente</v>
      </c>
      <c r="N52" s="30" t="str" cm="1">
        <f t="array" ref="N52">_xlfn.IFS(E52&gt;=18,"Excelente",E52&gt;=14,"Muy bueno",E52&gt;=10,"Bueno",E52&gt;=6,"Regular",E52&lt;6,"Insuficiente")</f>
        <v>Muy bueno</v>
      </c>
      <c r="O52" s="30" t="str" cm="1">
        <f t="array" ref="O52">_xlfn.IFS(F52&gt;=9,"Excelente",F52&gt;=7,"Muy bueno",F52&gt;=5,"Bueno",F52&gt;=3,"Regular",F52&lt;3,"Insuficiente")</f>
        <v>Excelente</v>
      </c>
      <c r="P52" s="30" t="str" cm="1">
        <f t="array" ref="P52">_xlfn.IFS(G52&gt;=9,"Excelente",G52&gt;=7,"Muy bueno",G52&gt;=5,"Bueno",G52&gt;=3,"Regular",G52&lt;3,"Insuficiente")</f>
        <v>Muy bueno</v>
      </c>
      <c r="Q52" s="30" t="str" cm="1">
        <f t="array" ref="Q52">_xlfn.IFS(H52&gt;=9,"Excelente",H52&gt;=7,"Muy bueno",H52&gt;=5,"Bueno",H52&gt;=3,"Regular",H52&lt;3,"Insuficiente")</f>
        <v>Muy bueno</v>
      </c>
      <c r="R52" s="30" t="str" cm="1">
        <f t="array" ref="R52">_xlfn.IFS(I52&gt;=9,"Excelente",I52&gt;=7,"Muy bueno",I52&gt;=5,"Bueno",I52&gt;=3,"Regular",I52&lt;3,"Insuficiente")</f>
        <v>Excelente</v>
      </c>
    </row>
    <row r="53" spans="1:18">
      <c r="A53" t="s">
        <v>280</v>
      </c>
      <c r="B53" s="16">
        <v>3</v>
      </c>
      <c r="C53" s="16">
        <v>18.666666666666668</v>
      </c>
      <c r="D53" s="16">
        <v>18.666666666666668</v>
      </c>
      <c r="E53" s="16">
        <v>17.333333333333332</v>
      </c>
      <c r="F53" s="16">
        <v>8</v>
      </c>
      <c r="G53" s="16">
        <v>9.3333333333333339</v>
      </c>
      <c r="H53" s="16">
        <v>8.6666666666666661</v>
      </c>
      <c r="I53" s="16">
        <v>8.6666666666666661</v>
      </c>
      <c r="J53" s="28">
        <f t="shared" si="0"/>
        <v>89.333333333333343</v>
      </c>
      <c r="K53" s="29" t="str" cm="1">
        <f t="array" ref="K53">_xlfn.IFS(J53&gt;=90,"Excelente",J53&gt;=80,"Muy Bueno",J53&gt;=75,"Bueno",J53&gt;=65,"Regular",J53&gt;=55,"Insuficiente")</f>
        <v>Muy Bueno</v>
      </c>
      <c r="L53" s="30" t="str" cm="1">
        <f t="array" ref="L53">_xlfn.IFS(C53&gt;=18,"Excelente",C53&gt;=14,"Muy bueno",C53&gt;=10,"Bueno",C53&gt;=6,"Regular",C53&lt;6,"Insuficiente")</f>
        <v>Excelente</v>
      </c>
      <c r="M53" s="30" t="str" cm="1">
        <f t="array" ref="M53">_xlfn.IFS(D53&gt;=18,"Excelente",D53&gt;=14,"Muy bueno",D53&gt;=10,"Bueno",D53&gt;=6,"Regular",D53&lt;6,"Insuficiente")</f>
        <v>Excelente</v>
      </c>
      <c r="N53" s="30" t="str" cm="1">
        <f t="array" ref="N53">_xlfn.IFS(E53&gt;=18,"Excelente",E53&gt;=14,"Muy bueno",E53&gt;=10,"Bueno",E53&gt;=6,"Regular",E53&lt;6,"Insuficiente")</f>
        <v>Muy bueno</v>
      </c>
      <c r="O53" s="30" t="str" cm="1">
        <f t="array" ref="O53">_xlfn.IFS(F53&gt;=9,"Excelente",F53&gt;=7,"Muy bueno",F53&gt;=5,"Bueno",F53&gt;=3,"Regular",F53&lt;3,"Insuficiente")</f>
        <v>Muy bueno</v>
      </c>
      <c r="P53" s="30" t="str" cm="1">
        <f t="array" ref="P53">_xlfn.IFS(G53&gt;=9,"Excelente",G53&gt;=7,"Muy bueno",G53&gt;=5,"Bueno",G53&gt;=3,"Regular",G53&lt;3,"Insuficiente")</f>
        <v>Excelente</v>
      </c>
      <c r="Q53" s="30" t="str" cm="1">
        <f t="array" ref="Q53">_xlfn.IFS(H53&gt;=9,"Excelente",H53&gt;=7,"Muy bueno",H53&gt;=5,"Bueno",H53&gt;=3,"Regular",H53&lt;3,"Insuficiente")</f>
        <v>Muy bueno</v>
      </c>
      <c r="R53" s="30" t="str" cm="1">
        <f t="array" ref="R53">_xlfn.IFS(I53&gt;=9,"Excelente",I53&gt;=7,"Muy bueno",I53&gt;=5,"Bueno",I53&gt;=3,"Regular",I53&lt;3,"Insuficiente")</f>
        <v>Muy bueno</v>
      </c>
    </row>
    <row r="54" spans="1:18">
      <c r="A54" t="s">
        <v>63</v>
      </c>
      <c r="B54" s="16">
        <v>3</v>
      </c>
      <c r="C54" s="16">
        <v>20</v>
      </c>
      <c r="D54" s="16">
        <v>20</v>
      </c>
      <c r="E54" s="16">
        <v>20</v>
      </c>
      <c r="F54" s="16">
        <v>10</v>
      </c>
      <c r="G54" s="16">
        <v>10</v>
      </c>
      <c r="H54" s="16">
        <v>10</v>
      </c>
      <c r="I54" s="16">
        <v>10</v>
      </c>
      <c r="J54" s="28">
        <f t="shared" si="0"/>
        <v>100</v>
      </c>
      <c r="K54" s="29" t="str" cm="1">
        <f t="array" ref="K54">_xlfn.IFS(J54&gt;=90,"Excelente",J54&gt;=80,"Muy Bueno",J54&gt;=75,"Bueno",J54&gt;=65,"Regular",J54&gt;=55,"Insuficiente")</f>
        <v>Excelente</v>
      </c>
      <c r="L54" s="30" t="str" cm="1">
        <f t="array" ref="L54">_xlfn.IFS(C54&gt;=18,"Excelente",C54&gt;=14,"Muy bueno",C54&gt;=10,"Bueno",C54&gt;=6,"Regular",C54&lt;6,"Insuficiente")</f>
        <v>Excelente</v>
      </c>
      <c r="M54" s="30" t="str" cm="1">
        <f t="array" ref="M54">_xlfn.IFS(D54&gt;=18,"Excelente",D54&gt;=14,"Muy bueno",D54&gt;=10,"Bueno",D54&gt;=6,"Regular",D54&lt;6,"Insuficiente")</f>
        <v>Excelente</v>
      </c>
      <c r="N54" s="30" t="str" cm="1">
        <f t="array" ref="N54">_xlfn.IFS(E54&gt;=18,"Excelente",E54&gt;=14,"Muy bueno",E54&gt;=10,"Bueno",E54&gt;=6,"Regular",E54&lt;6,"Insuficiente")</f>
        <v>Excelente</v>
      </c>
      <c r="O54" s="30" t="str" cm="1">
        <f t="array" ref="O54">_xlfn.IFS(F54&gt;=9,"Excelente",F54&gt;=7,"Muy bueno",F54&gt;=5,"Bueno",F54&gt;=3,"Regular",F54&lt;3,"Insuficiente")</f>
        <v>Excelente</v>
      </c>
      <c r="P54" s="30" t="str" cm="1">
        <f t="array" ref="P54">_xlfn.IFS(G54&gt;=9,"Excelente",G54&gt;=7,"Muy bueno",G54&gt;=5,"Bueno",G54&gt;=3,"Regular",G54&lt;3,"Insuficiente")</f>
        <v>Excelente</v>
      </c>
      <c r="Q54" s="30" t="str" cm="1">
        <f t="array" ref="Q54">_xlfn.IFS(H54&gt;=9,"Excelente",H54&gt;=7,"Muy bueno",H54&gt;=5,"Bueno",H54&gt;=3,"Regular",H54&lt;3,"Insuficiente")</f>
        <v>Excelente</v>
      </c>
      <c r="R54" s="30" t="str" cm="1">
        <f t="array" ref="R54">_xlfn.IFS(I54&gt;=9,"Excelente",I54&gt;=7,"Muy bueno",I54&gt;=5,"Bueno",I54&gt;=3,"Regular",I54&lt;3,"Insuficiente")</f>
        <v>Excelente</v>
      </c>
    </row>
    <row r="55" spans="1:18">
      <c r="A55" t="s">
        <v>191</v>
      </c>
      <c r="B55" s="16">
        <v>3</v>
      </c>
      <c r="C55" s="16">
        <v>20</v>
      </c>
      <c r="D55" s="16">
        <v>18.666666666666668</v>
      </c>
      <c r="E55" s="16">
        <v>20</v>
      </c>
      <c r="F55" s="16">
        <v>9.3333333333333339</v>
      </c>
      <c r="G55" s="16">
        <v>10</v>
      </c>
      <c r="H55" s="16">
        <v>10</v>
      </c>
      <c r="I55" s="16">
        <v>9.3333333333333339</v>
      </c>
      <c r="J55" s="28">
        <f t="shared" si="0"/>
        <v>97.333333333333329</v>
      </c>
      <c r="K55" s="29" t="str" cm="1">
        <f t="array" ref="K55">_xlfn.IFS(J55&gt;=90,"Excelente",J55&gt;=80,"Muy Bueno",J55&gt;=75,"Bueno",J55&gt;=65,"Regular",J55&gt;=55,"Insuficiente")</f>
        <v>Excelente</v>
      </c>
      <c r="L55" s="30" t="str" cm="1">
        <f t="array" ref="L55">_xlfn.IFS(C55&gt;=18,"Excelente",C55&gt;=14,"Muy bueno",C55&gt;=10,"Bueno",C55&gt;=6,"Regular",C55&lt;6,"Insuficiente")</f>
        <v>Excelente</v>
      </c>
      <c r="M55" s="30" t="str" cm="1">
        <f t="array" ref="M55">_xlfn.IFS(D55&gt;=18,"Excelente",D55&gt;=14,"Muy bueno",D55&gt;=10,"Bueno",D55&gt;=6,"Regular",D55&lt;6,"Insuficiente")</f>
        <v>Excelente</v>
      </c>
      <c r="N55" s="30" t="str" cm="1">
        <f t="array" ref="N55">_xlfn.IFS(E55&gt;=18,"Excelente",E55&gt;=14,"Muy bueno",E55&gt;=10,"Bueno",E55&gt;=6,"Regular",E55&lt;6,"Insuficiente")</f>
        <v>Excelente</v>
      </c>
      <c r="O55" s="30" t="str" cm="1">
        <f t="array" ref="O55">_xlfn.IFS(F55&gt;=9,"Excelente",F55&gt;=7,"Muy bueno",F55&gt;=5,"Bueno",F55&gt;=3,"Regular",F55&lt;3,"Insuficiente")</f>
        <v>Excelente</v>
      </c>
      <c r="P55" s="30" t="str" cm="1">
        <f t="array" ref="P55">_xlfn.IFS(G55&gt;=9,"Excelente",G55&gt;=7,"Muy bueno",G55&gt;=5,"Bueno",G55&gt;=3,"Regular",G55&lt;3,"Insuficiente")</f>
        <v>Excelente</v>
      </c>
      <c r="Q55" s="30" t="str" cm="1">
        <f t="array" ref="Q55">_xlfn.IFS(H55&gt;=9,"Excelente",H55&gt;=7,"Muy bueno",H55&gt;=5,"Bueno",H55&gt;=3,"Regular",H55&lt;3,"Insuficiente")</f>
        <v>Excelente</v>
      </c>
      <c r="R55" s="30" t="str" cm="1">
        <f t="array" ref="R55">_xlfn.IFS(I55&gt;=9,"Excelente",I55&gt;=7,"Muy bueno",I55&gt;=5,"Bueno",I55&gt;=3,"Regular",I55&lt;3,"Insuficiente")</f>
        <v>Excelente</v>
      </c>
    </row>
    <row r="56" spans="1:18">
      <c r="A56" t="s">
        <v>82</v>
      </c>
      <c r="B56" s="16">
        <v>3</v>
      </c>
      <c r="C56" s="16">
        <v>20</v>
      </c>
      <c r="D56" s="16">
        <v>20</v>
      </c>
      <c r="E56" s="16">
        <v>20</v>
      </c>
      <c r="F56" s="16">
        <v>9.3333333333333339</v>
      </c>
      <c r="G56" s="16">
        <v>9.3333333333333339</v>
      </c>
      <c r="H56" s="16">
        <v>8.6666666666666661</v>
      </c>
      <c r="I56" s="16">
        <v>10</v>
      </c>
      <c r="J56" s="28">
        <f t="shared" si="0"/>
        <v>97.333333333333329</v>
      </c>
      <c r="K56" s="29" t="str" cm="1">
        <f t="array" ref="K56">_xlfn.IFS(J56&gt;=90,"Excelente",J56&gt;=80,"Muy Bueno",J56&gt;=75,"Bueno",J56&gt;=65,"Regular",J56&gt;=55,"Insuficiente")</f>
        <v>Excelente</v>
      </c>
      <c r="L56" s="30" t="str" cm="1">
        <f t="array" ref="L56">_xlfn.IFS(C56&gt;=18,"Excelente",C56&gt;=14,"Muy bueno",C56&gt;=10,"Bueno",C56&gt;=6,"Regular",C56&lt;6,"Insuficiente")</f>
        <v>Excelente</v>
      </c>
      <c r="M56" s="30" t="str" cm="1">
        <f t="array" ref="M56">_xlfn.IFS(D56&gt;=18,"Excelente",D56&gt;=14,"Muy bueno",D56&gt;=10,"Bueno",D56&gt;=6,"Regular",D56&lt;6,"Insuficiente")</f>
        <v>Excelente</v>
      </c>
      <c r="N56" s="30" t="str" cm="1">
        <f t="array" ref="N56">_xlfn.IFS(E56&gt;=18,"Excelente",E56&gt;=14,"Muy bueno",E56&gt;=10,"Bueno",E56&gt;=6,"Regular",E56&lt;6,"Insuficiente")</f>
        <v>Excelente</v>
      </c>
      <c r="O56" s="30" t="str" cm="1">
        <f t="array" ref="O56">_xlfn.IFS(F56&gt;=9,"Excelente",F56&gt;=7,"Muy bueno",F56&gt;=5,"Bueno",F56&gt;=3,"Regular",F56&lt;3,"Insuficiente")</f>
        <v>Excelente</v>
      </c>
      <c r="P56" s="30" t="str" cm="1">
        <f t="array" ref="P56">_xlfn.IFS(G56&gt;=9,"Excelente",G56&gt;=7,"Muy bueno",G56&gt;=5,"Bueno",G56&gt;=3,"Regular",G56&lt;3,"Insuficiente")</f>
        <v>Excelente</v>
      </c>
      <c r="Q56" s="30" t="str" cm="1">
        <f t="array" ref="Q56">_xlfn.IFS(H56&gt;=9,"Excelente",H56&gt;=7,"Muy bueno",H56&gt;=5,"Bueno",H56&gt;=3,"Regular",H56&lt;3,"Insuficiente")</f>
        <v>Muy bueno</v>
      </c>
      <c r="R56" s="30" t="str" cm="1">
        <f t="array" ref="R56">_xlfn.IFS(I56&gt;=9,"Excelente",I56&gt;=7,"Muy bueno",I56&gt;=5,"Bueno",I56&gt;=3,"Regular",I56&lt;3,"Insuficiente")</f>
        <v>Excelente</v>
      </c>
    </row>
    <row r="57" spans="1:18">
      <c r="A57" t="s">
        <v>318</v>
      </c>
      <c r="B57" s="16">
        <v>3</v>
      </c>
      <c r="C57" s="16">
        <v>17.333333333333332</v>
      </c>
      <c r="D57" s="16">
        <v>16</v>
      </c>
      <c r="E57" s="16">
        <v>14.666666666666666</v>
      </c>
      <c r="F57" s="16">
        <v>8.6666666666666661</v>
      </c>
      <c r="G57" s="16">
        <v>8.6666666666666661</v>
      </c>
      <c r="H57" s="16">
        <v>7.333333333333333</v>
      </c>
      <c r="I57" s="16">
        <v>8.6666666666666661</v>
      </c>
      <c r="J57" s="28">
        <f t="shared" si="0"/>
        <v>81.333333333333329</v>
      </c>
      <c r="K57" s="29" t="str" cm="1">
        <f t="array" ref="K57">_xlfn.IFS(J57&gt;=90,"Excelente",J57&gt;=80,"Muy Bueno",J57&gt;=75,"Bueno",J57&gt;=65,"Regular",J57&gt;=55,"Insuficiente")</f>
        <v>Muy Bueno</v>
      </c>
      <c r="L57" s="30" t="str" cm="1">
        <f t="array" ref="L57">_xlfn.IFS(C57&gt;=18,"Excelente",C57&gt;=14,"Muy bueno",C57&gt;=10,"Bueno",C57&gt;=6,"Regular",C57&lt;6,"Insuficiente")</f>
        <v>Muy bueno</v>
      </c>
      <c r="M57" s="30" t="str" cm="1">
        <f t="array" ref="M57">_xlfn.IFS(D57&gt;=18,"Excelente",D57&gt;=14,"Muy bueno",D57&gt;=10,"Bueno",D57&gt;=6,"Regular",D57&lt;6,"Insuficiente")</f>
        <v>Muy bueno</v>
      </c>
      <c r="N57" s="30" t="str" cm="1">
        <f t="array" ref="N57">_xlfn.IFS(E57&gt;=18,"Excelente",E57&gt;=14,"Muy bueno",E57&gt;=10,"Bueno",E57&gt;=6,"Regular",E57&lt;6,"Insuficiente")</f>
        <v>Muy bueno</v>
      </c>
      <c r="O57" s="30" t="str" cm="1">
        <f t="array" ref="O57">_xlfn.IFS(F57&gt;=9,"Excelente",F57&gt;=7,"Muy bueno",F57&gt;=5,"Bueno",F57&gt;=3,"Regular",F57&lt;3,"Insuficiente")</f>
        <v>Muy bueno</v>
      </c>
      <c r="P57" s="30" t="str" cm="1">
        <f t="array" ref="P57">_xlfn.IFS(G57&gt;=9,"Excelente",G57&gt;=7,"Muy bueno",G57&gt;=5,"Bueno",G57&gt;=3,"Regular",G57&lt;3,"Insuficiente")</f>
        <v>Muy bueno</v>
      </c>
      <c r="Q57" s="30" t="str" cm="1">
        <f t="array" ref="Q57">_xlfn.IFS(H57&gt;=9,"Excelente",H57&gt;=7,"Muy bueno",H57&gt;=5,"Bueno",H57&gt;=3,"Regular",H57&lt;3,"Insuficiente")</f>
        <v>Muy bueno</v>
      </c>
      <c r="R57" s="30" t="str" cm="1">
        <f t="array" ref="R57">_xlfn.IFS(I57&gt;=9,"Excelente",I57&gt;=7,"Muy bueno",I57&gt;=5,"Bueno",I57&gt;=3,"Regular",I57&lt;3,"Insuficiente")</f>
        <v>Muy bueno</v>
      </c>
    </row>
    <row r="58" spans="1:18">
      <c r="A58" t="s">
        <v>129</v>
      </c>
      <c r="B58" s="16">
        <v>3</v>
      </c>
      <c r="C58" s="16">
        <v>18.666666666666668</v>
      </c>
      <c r="D58" s="16">
        <v>20</v>
      </c>
      <c r="E58" s="16">
        <v>18.666666666666668</v>
      </c>
      <c r="F58" s="16">
        <v>9.3333333333333339</v>
      </c>
      <c r="G58" s="16">
        <v>9.3333333333333339</v>
      </c>
      <c r="H58" s="16">
        <v>9.3333333333333339</v>
      </c>
      <c r="I58" s="16">
        <v>8.6666666666666661</v>
      </c>
      <c r="J58" s="28">
        <f t="shared" si="0"/>
        <v>94</v>
      </c>
      <c r="K58" s="29" t="str" cm="1">
        <f t="array" ref="K58">_xlfn.IFS(J58&gt;=90,"Excelente",J58&gt;=80,"Muy Bueno",J58&gt;=75,"Bueno",J58&gt;=65,"Regular",J58&gt;=55,"Insuficiente")</f>
        <v>Excelente</v>
      </c>
      <c r="L58" s="30" t="str" cm="1">
        <f t="array" ref="L58">_xlfn.IFS(C58&gt;=18,"Excelente",C58&gt;=14,"Muy bueno",C58&gt;=10,"Bueno",C58&gt;=6,"Regular",C58&lt;6,"Insuficiente")</f>
        <v>Excelente</v>
      </c>
      <c r="M58" s="30" t="str" cm="1">
        <f t="array" ref="M58">_xlfn.IFS(D58&gt;=18,"Excelente",D58&gt;=14,"Muy bueno",D58&gt;=10,"Bueno",D58&gt;=6,"Regular",D58&lt;6,"Insuficiente")</f>
        <v>Excelente</v>
      </c>
      <c r="N58" s="30" t="str" cm="1">
        <f t="array" ref="N58">_xlfn.IFS(E58&gt;=18,"Excelente",E58&gt;=14,"Muy bueno",E58&gt;=10,"Bueno",E58&gt;=6,"Regular",E58&lt;6,"Insuficiente")</f>
        <v>Excelente</v>
      </c>
      <c r="O58" s="30" t="str" cm="1">
        <f t="array" ref="O58">_xlfn.IFS(F58&gt;=9,"Excelente",F58&gt;=7,"Muy bueno",F58&gt;=5,"Bueno",F58&gt;=3,"Regular",F58&lt;3,"Insuficiente")</f>
        <v>Excelente</v>
      </c>
      <c r="P58" s="30" t="str" cm="1">
        <f t="array" ref="P58">_xlfn.IFS(G58&gt;=9,"Excelente",G58&gt;=7,"Muy bueno",G58&gt;=5,"Bueno",G58&gt;=3,"Regular",G58&lt;3,"Insuficiente")</f>
        <v>Excelente</v>
      </c>
      <c r="Q58" s="30" t="str" cm="1">
        <f t="array" ref="Q58">_xlfn.IFS(H58&gt;=9,"Excelente",H58&gt;=7,"Muy bueno",H58&gt;=5,"Bueno",H58&gt;=3,"Regular",H58&lt;3,"Insuficiente")</f>
        <v>Excelente</v>
      </c>
      <c r="R58" s="30" t="str" cm="1">
        <f t="array" ref="R58">_xlfn.IFS(I58&gt;=9,"Excelente",I58&gt;=7,"Muy bueno",I58&gt;=5,"Bueno",I58&gt;=3,"Regular",I58&lt;3,"Insuficiente")</f>
        <v>Muy bueno</v>
      </c>
    </row>
    <row r="59" spans="1:18">
      <c r="A59" t="s">
        <v>138</v>
      </c>
      <c r="B59" s="16">
        <v>3</v>
      </c>
      <c r="C59" s="16">
        <v>20</v>
      </c>
      <c r="D59" s="16">
        <v>20</v>
      </c>
      <c r="E59" s="16">
        <v>20</v>
      </c>
      <c r="F59" s="16">
        <v>10</v>
      </c>
      <c r="G59" s="16">
        <v>10</v>
      </c>
      <c r="H59" s="16">
        <v>10</v>
      </c>
      <c r="I59" s="16">
        <v>10</v>
      </c>
      <c r="J59" s="28">
        <f t="shared" si="0"/>
        <v>100</v>
      </c>
      <c r="K59" s="29" t="str" cm="1">
        <f t="array" ref="K59">_xlfn.IFS(J59&gt;=90,"Excelente",J59&gt;=80,"Muy Bueno",J59&gt;=75,"Bueno",J59&gt;=65,"Regular",J59&gt;=55,"Insuficiente")</f>
        <v>Excelente</v>
      </c>
      <c r="L59" s="30" t="str" cm="1">
        <f t="array" ref="L59">_xlfn.IFS(C59&gt;=18,"Excelente",C59&gt;=14,"Muy bueno",C59&gt;=10,"Bueno",C59&gt;=6,"Regular",C59&lt;6,"Insuficiente")</f>
        <v>Excelente</v>
      </c>
      <c r="M59" s="30" t="str" cm="1">
        <f t="array" ref="M59">_xlfn.IFS(D59&gt;=18,"Excelente",D59&gt;=14,"Muy bueno",D59&gt;=10,"Bueno",D59&gt;=6,"Regular",D59&lt;6,"Insuficiente")</f>
        <v>Excelente</v>
      </c>
      <c r="N59" s="30" t="str" cm="1">
        <f t="array" ref="N59">_xlfn.IFS(E59&gt;=18,"Excelente",E59&gt;=14,"Muy bueno",E59&gt;=10,"Bueno",E59&gt;=6,"Regular",E59&lt;6,"Insuficiente")</f>
        <v>Excelente</v>
      </c>
      <c r="O59" s="30" t="str" cm="1">
        <f t="array" ref="O59">_xlfn.IFS(F59&gt;=9,"Excelente",F59&gt;=7,"Muy bueno",F59&gt;=5,"Bueno",F59&gt;=3,"Regular",F59&lt;3,"Insuficiente")</f>
        <v>Excelente</v>
      </c>
      <c r="P59" s="30" t="str" cm="1">
        <f t="array" ref="P59">_xlfn.IFS(G59&gt;=9,"Excelente",G59&gt;=7,"Muy bueno",G59&gt;=5,"Bueno",G59&gt;=3,"Regular",G59&lt;3,"Insuficiente")</f>
        <v>Excelente</v>
      </c>
      <c r="Q59" s="30" t="str" cm="1">
        <f t="array" ref="Q59">_xlfn.IFS(H59&gt;=9,"Excelente",H59&gt;=7,"Muy bueno",H59&gt;=5,"Bueno",H59&gt;=3,"Regular",H59&lt;3,"Insuficiente")</f>
        <v>Excelente</v>
      </c>
      <c r="R59" s="30" t="str" cm="1">
        <f t="array" ref="R59">_xlfn.IFS(I59&gt;=9,"Excelente",I59&gt;=7,"Muy bueno",I59&gt;=5,"Bueno",I59&gt;=3,"Regular",I59&lt;3,"Insuficiente")</f>
        <v>Excelente</v>
      </c>
    </row>
    <row r="60" spans="1:18">
      <c r="A60" t="s">
        <v>315</v>
      </c>
      <c r="B60" s="16">
        <v>3</v>
      </c>
      <c r="C60" s="16">
        <v>20</v>
      </c>
      <c r="D60" s="16">
        <v>20</v>
      </c>
      <c r="E60" s="16">
        <v>20</v>
      </c>
      <c r="F60" s="16">
        <v>10</v>
      </c>
      <c r="G60" s="16">
        <v>10</v>
      </c>
      <c r="H60" s="16">
        <v>9.3333333333333339</v>
      </c>
      <c r="I60" s="16">
        <v>10</v>
      </c>
      <c r="J60" s="28">
        <f t="shared" si="0"/>
        <v>99.333333333333329</v>
      </c>
      <c r="K60" s="29" t="str" cm="1">
        <f t="array" ref="K60">_xlfn.IFS(J60&gt;=90,"Excelente",J60&gt;=80,"Muy Bueno",J60&gt;=75,"Bueno",J60&gt;=65,"Regular",J60&gt;=55,"Insuficiente")</f>
        <v>Excelente</v>
      </c>
      <c r="L60" s="30" t="str" cm="1">
        <f t="array" ref="L60">_xlfn.IFS(C60&gt;=18,"Excelente",C60&gt;=14,"Muy bueno",C60&gt;=10,"Bueno",C60&gt;=6,"Regular",C60&lt;6,"Insuficiente")</f>
        <v>Excelente</v>
      </c>
      <c r="M60" s="30" t="str" cm="1">
        <f t="array" ref="M60">_xlfn.IFS(D60&gt;=18,"Excelente",D60&gt;=14,"Muy bueno",D60&gt;=10,"Bueno",D60&gt;=6,"Regular",D60&lt;6,"Insuficiente")</f>
        <v>Excelente</v>
      </c>
      <c r="N60" s="30" t="str" cm="1">
        <f t="array" ref="N60">_xlfn.IFS(E60&gt;=18,"Excelente",E60&gt;=14,"Muy bueno",E60&gt;=10,"Bueno",E60&gt;=6,"Regular",E60&lt;6,"Insuficiente")</f>
        <v>Excelente</v>
      </c>
      <c r="O60" s="30" t="str" cm="1">
        <f t="array" ref="O60">_xlfn.IFS(F60&gt;=9,"Excelente",F60&gt;=7,"Muy bueno",F60&gt;=5,"Bueno",F60&gt;=3,"Regular",F60&lt;3,"Insuficiente")</f>
        <v>Excelente</v>
      </c>
      <c r="P60" s="30" t="str" cm="1">
        <f t="array" ref="P60">_xlfn.IFS(G60&gt;=9,"Excelente",G60&gt;=7,"Muy bueno",G60&gt;=5,"Bueno",G60&gt;=3,"Regular",G60&lt;3,"Insuficiente")</f>
        <v>Excelente</v>
      </c>
      <c r="Q60" s="30" t="str" cm="1">
        <f t="array" ref="Q60">_xlfn.IFS(H60&gt;=9,"Excelente",H60&gt;=7,"Muy bueno",H60&gt;=5,"Bueno",H60&gt;=3,"Regular",H60&lt;3,"Insuficiente")</f>
        <v>Excelente</v>
      </c>
      <c r="R60" s="30" t="str" cm="1">
        <f t="array" ref="R60">_xlfn.IFS(I60&gt;=9,"Excelente",I60&gt;=7,"Muy bueno",I60&gt;=5,"Bueno",I60&gt;=3,"Regular",I60&lt;3,"Insuficiente")</f>
        <v>Excelente</v>
      </c>
    </row>
    <row r="61" spans="1:18">
      <c r="A61" t="s">
        <v>284</v>
      </c>
      <c r="B61" s="16">
        <v>3</v>
      </c>
      <c r="C61" s="16">
        <v>20</v>
      </c>
      <c r="D61" s="16">
        <v>18.666666666666668</v>
      </c>
      <c r="E61" s="16">
        <v>20</v>
      </c>
      <c r="F61" s="16">
        <v>10</v>
      </c>
      <c r="G61" s="16">
        <v>10</v>
      </c>
      <c r="H61" s="16">
        <v>9.3333333333333339</v>
      </c>
      <c r="I61" s="16">
        <v>10</v>
      </c>
      <c r="J61" s="28">
        <f t="shared" si="0"/>
        <v>98</v>
      </c>
      <c r="K61" s="29" t="str" cm="1">
        <f t="array" ref="K61">_xlfn.IFS(J61&gt;=90,"Excelente",J61&gt;=80,"Muy Bueno",J61&gt;=75,"Bueno",J61&gt;=65,"Regular",J61&gt;=55,"Insuficiente")</f>
        <v>Excelente</v>
      </c>
      <c r="L61" s="30" t="str" cm="1">
        <f t="array" ref="L61">_xlfn.IFS(C61&gt;=18,"Excelente",C61&gt;=14,"Muy bueno",C61&gt;=10,"Bueno",C61&gt;=6,"Regular",C61&lt;6,"Insuficiente")</f>
        <v>Excelente</v>
      </c>
      <c r="M61" s="30" t="str" cm="1">
        <f t="array" ref="M61">_xlfn.IFS(D61&gt;=18,"Excelente",D61&gt;=14,"Muy bueno",D61&gt;=10,"Bueno",D61&gt;=6,"Regular",D61&lt;6,"Insuficiente")</f>
        <v>Excelente</v>
      </c>
      <c r="N61" s="30" t="str" cm="1">
        <f t="array" ref="N61">_xlfn.IFS(E61&gt;=18,"Excelente",E61&gt;=14,"Muy bueno",E61&gt;=10,"Bueno",E61&gt;=6,"Regular",E61&lt;6,"Insuficiente")</f>
        <v>Excelente</v>
      </c>
      <c r="O61" s="30" t="str" cm="1">
        <f t="array" ref="O61">_xlfn.IFS(F61&gt;=9,"Excelente",F61&gt;=7,"Muy bueno",F61&gt;=5,"Bueno",F61&gt;=3,"Regular",F61&lt;3,"Insuficiente")</f>
        <v>Excelente</v>
      </c>
      <c r="P61" s="30" t="str" cm="1">
        <f t="array" ref="P61">_xlfn.IFS(G61&gt;=9,"Excelente",G61&gt;=7,"Muy bueno",G61&gt;=5,"Bueno",G61&gt;=3,"Regular",G61&lt;3,"Insuficiente")</f>
        <v>Excelente</v>
      </c>
      <c r="Q61" s="30" t="str" cm="1">
        <f t="array" ref="Q61">_xlfn.IFS(H61&gt;=9,"Excelente",H61&gt;=7,"Muy bueno",H61&gt;=5,"Bueno",H61&gt;=3,"Regular",H61&lt;3,"Insuficiente")</f>
        <v>Excelente</v>
      </c>
      <c r="R61" s="30" t="str" cm="1">
        <f t="array" ref="R61">_xlfn.IFS(I61&gt;=9,"Excelente",I61&gt;=7,"Muy bueno",I61&gt;=5,"Bueno",I61&gt;=3,"Regular",I61&lt;3,"Insuficiente")</f>
        <v>Excelente</v>
      </c>
    </row>
    <row r="62" spans="1:18">
      <c r="A62" t="s">
        <v>52</v>
      </c>
      <c r="B62" s="16">
        <v>3</v>
      </c>
      <c r="C62" s="16">
        <v>20</v>
      </c>
      <c r="D62" s="16">
        <v>20</v>
      </c>
      <c r="E62" s="16">
        <v>18.666666666666668</v>
      </c>
      <c r="F62" s="16">
        <v>9.3333333333333339</v>
      </c>
      <c r="G62" s="16">
        <v>9.3333333333333339</v>
      </c>
      <c r="H62" s="16">
        <v>10</v>
      </c>
      <c r="I62" s="16">
        <v>9.3333333333333339</v>
      </c>
      <c r="J62" s="28">
        <f t="shared" si="0"/>
        <v>96.666666666666657</v>
      </c>
      <c r="K62" s="29" t="str" cm="1">
        <f t="array" ref="K62">_xlfn.IFS(J62&gt;=90,"Excelente",J62&gt;=80,"Muy Bueno",J62&gt;=75,"Bueno",J62&gt;=65,"Regular",J62&gt;=55,"Insuficiente")</f>
        <v>Excelente</v>
      </c>
      <c r="L62" s="30" t="str" cm="1">
        <f t="array" ref="L62">_xlfn.IFS(C62&gt;=18,"Excelente",C62&gt;=14,"Muy bueno",C62&gt;=10,"Bueno",C62&gt;=6,"Regular",C62&lt;6,"Insuficiente")</f>
        <v>Excelente</v>
      </c>
      <c r="M62" s="30" t="str" cm="1">
        <f t="array" ref="M62">_xlfn.IFS(D62&gt;=18,"Excelente",D62&gt;=14,"Muy bueno",D62&gt;=10,"Bueno",D62&gt;=6,"Regular",D62&lt;6,"Insuficiente")</f>
        <v>Excelente</v>
      </c>
      <c r="N62" s="30" t="str" cm="1">
        <f t="array" ref="N62">_xlfn.IFS(E62&gt;=18,"Excelente",E62&gt;=14,"Muy bueno",E62&gt;=10,"Bueno",E62&gt;=6,"Regular",E62&lt;6,"Insuficiente")</f>
        <v>Excelente</v>
      </c>
      <c r="O62" s="30" t="str" cm="1">
        <f t="array" ref="O62">_xlfn.IFS(F62&gt;=9,"Excelente",F62&gt;=7,"Muy bueno",F62&gt;=5,"Bueno",F62&gt;=3,"Regular",F62&lt;3,"Insuficiente")</f>
        <v>Excelente</v>
      </c>
      <c r="P62" s="30" t="str" cm="1">
        <f t="array" ref="P62">_xlfn.IFS(G62&gt;=9,"Excelente",G62&gt;=7,"Muy bueno",G62&gt;=5,"Bueno",G62&gt;=3,"Regular",G62&lt;3,"Insuficiente")</f>
        <v>Excelente</v>
      </c>
      <c r="Q62" s="30" t="str" cm="1">
        <f t="array" ref="Q62">_xlfn.IFS(H62&gt;=9,"Excelente",H62&gt;=7,"Muy bueno",H62&gt;=5,"Bueno",H62&gt;=3,"Regular",H62&lt;3,"Insuficiente")</f>
        <v>Excelente</v>
      </c>
      <c r="R62" s="30" t="str" cm="1">
        <f t="array" ref="R62">_xlfn.IFS(I62&gt;=9,"Excelente",I62&gt;=7,"Muy bueno",I62&gt;=5,"Bueno",I62&gt;=3,"Regular",I62&lt;3,"Insuficiente")</f>
        <v>Excelente</v>
      </c>
    </row>
    <row r="63" spans="1:18">
      <c r="A63" t="s">
        <v>271</v>
      </c>
      <c r="B63" s="16">
        <v>3</v>
      </c>
      <c r="C63" s="16">
        <v>20</v>
      </c>
      <c r="D63" s="16">
        <v>18.666666666666668</v>
      </c>
      <c r="E63" s="16">
        <v>18.666666666666668</v>
      </c>
      <c r="F63" s="16">
        <v>10</v>
      </c>
      <c r="G63" s="16">
        <v>10</v>
      </c>
      <c r="H63" s="16">
        <v>9.3333333333333339</v>
      </c>
      <c r="I63" s="16">
        <v>9.3333333333333339</v>
      </c>
      <c r="J63" s="28">
        <f t="shared" si="0"/>
        <v>96</v>
      </c>
      <c r="K63" s="29" t="str" cm="1">
        <f t="array" ref="K63">_xlfn.IFS(J63&gt;=90,"Excelente",J63&gt;=80,"Muy Bueno",J63&gt;=75,"Bueno",J63&gt;=65,"Regular",J63&gt;=55,"Insuficiente")</f>
        <v>Excelente</v>
      </c>
      <c r="L63" s="30" t="str" cm="1">
        <f t="array" ref="L63">_xlfn.IFS(C63&gt;=18,"Excelente",C63&gt;=14,"Muy bueno",C63&gt;=10,"Bueno",C63&gt;=6,"Regular",C63&lt;6,"Insuficiente")</f>
        <v>Excelente</v>
      </c>
      <c r="M63" s="30" t="str" cm="1">
        <f t="array" ref="M63">_xlfn.IFS(D63&gt;=18,"Excelente",D63&gt;=14,"Muy bueno",D63&gt;=10,"Bueno",D63&gt;=6,"Regular",D63&lt;6,"Insuficiente")</f>
        <v>Excelente</v>
      </c>
      <c r="N63" s="30" t="str" cm="1">
        <f t="array" ref="N63">_xlfn.IFS(E63&gt;=18,"Excelente",E63&gt;=14,"Muy bueno",E63&gt;=10,"Bueno",E63&gt;=6,"Regular",E63&lt;6,"Insuficiente")</f>
        <v>Excelente</v>
      </c>
      <c r="O63" s="30" t="str" cm="1">
        <f t="array" ref="O63">_xlfn.IFS(F63&gt;=9,"Excelente",F63&gt;=7,"Muy bueno",F63&gt;=5,"Bueno",F63&gt;=3,"Regular",F63&lt;3,"Insuficiente")</f>
        <v>Excelente</v>
      </c>
      <c r="P63" s="30" t="str" cm="1">
        <f t="array" ref="P63">_xlfn.IFS(G63&gt;=9,"Excelente",G63&gt;=7,"Muy bueno",G63&gt;=5,"Bueno",G63&gt;=3,"Regular",G63&lt;3,"Insuficiente")</f>
        <v>Excelente</v>
      </c>
      <c r="Q63" s="30" t="str" cm="1">
        <f t="array" ref="Q63">_xlfn.IFS(H63&gt;=9,"Excelente",H63&gt;=7,"Muy bueno",H63&gt;=5,"Bueno",H63&gt;=3,"Regular",H63&lt;3,"Insuficiente")</f>
        <v>Excelente</v>
      </c>
      <c r="R63" s="30" t="str" cm="1">
        <f t="array" ref="R63">_xlfn.IFS(I63&gt;=9,"Excelente",I63&gt;=7,"Muy bueno",I63&gt;=5,"Bueno",I63&gt;=3,"Regular",I63&lt;3,"Insuficiente")</f>
        <v>Excelente</v>
      </c>
    </row>
    <row r="64" spans="1:18">
      <c r="A64" t="s">
        <v>200</v>
      </c>
      <c r="B64" s="16">
        <v>3</v>
      </c>
      <c r="C64" s="16">
        <v>20</v>
      </c>
      <c r="D64" s="16">
        <v>16</v>
      </c>
      <c r="E64" s="16">
        <v>17.333333333333332</v>
      </c>
      <c r="F64" s="16">
        <v>8.6666666666666661</v>
      </c>
      <c r="G64" s="16">
        <v>8.6666666666666661</v>
      </c>
      <c r="H64" s="16">
        <v>8.6666666666666661</v>
      </c>
      <c r="I64" s="16">
        <v>8.6666666666666661</v>
      </c>
      <c r="J64" s="28">
        <f t="shared" si="0"/>
        <v>88</v>
      </c>
      <c r="K64" s="29" t="str" cm="1">
        <f t="array" ref="K64">_xlfn.IFS(J64&gt;=90,"Excelente",J64&gt;=80,"Muy Bueno",J64&gt;=75,"Bueno",J64&gt;=65,"Regular",J64&gt;=55,"Insuficiente")</f>
        <v>Muy Bueno</v>
      </c>
      <c r="L64" s="30" t="str" cm="1">
        <f t="array" ref="L64">_xlfn.IFS(C64&gt;=18,"Excelente",C64&gt;=14,"Muy bueno",C64&gt;=10,"Bueno",C64&gt;=6,"Regular",C64&lt;6,"Insuficiente")</f>
        <v>Excelente</v>
      </c>
      <c r="M64" s="30" t="str" cm="1">
        <f t="array" ref="M64">_xlfn.IFS(D64&gt;=18,"Excelente",D64&gt;=14,"Muy bueno",D64&gt;=10,"Bueno",D64&gt;=6,"Regular",D64&lt;6,"Insuficiente")</f>
        <v>Muy bueno</v>
      </c>
      <c r="N64" s="30" t="str" cm="1">
        <f t="array" ref="N64">_xlfn.IFS(E64&gt;=18,"Excelente",E64&gt;=14,"Muy bueno",E64&gt;=10,"Bueno",E64&gt;=6,"Regular",E64&lt;6,"Insuficiente")</f>
        <v>Muy bueno</v>
      </c>
      <c r="O64" s="30" t="str" cm="1">
        <f t="array" ref="O64">_xlfn.IFS(F64&gt;=9,"Excelente",F64&gt;=7,"Muy bueno",F64&gt;=5,"Bueno",F64&gt;=3,"Regular",F64&lt;3,"Insuficiente")</f>
        <v>Muy bueno</v>
      </c>
      <c r="P64" s="30" t="str" cm="1">
        <f t="array" ref="P64">_xlfn.IFS(G64&gt;=9,"Excelente",G64&gt;=7,"Muy bueno",G64&gt;=5,"Bueno",G64&gt;=3,"Regular",G64&lt;3,"Insuficiente")</f>
        <v>Muy bueno</v>
      </c>
      <c r="Q64" s="30" t="str" cm="1">
        <f t="array" ref="Q64">_xlfn.IFS(H64&gt;=9,"Excelente",H64&gt;=7,"Muy bueno",H64&gt;=5,"Bueno",H64&gt;=3,"Regular",H64&lt;3,"Insuficiente")</f>
        <v>Muy bueno</v>
      </c>
      <c r="R64" s="30" t="str" cm="1">
        <f t="array" ref="R64">_xlfn.IFS(I64&gt;=9,"Excelente",I64&gt;=7,"Muy bueno",I64&gt;=5,"Bueno",I64&gt;=3,"Regular",I64&lt;3,"Insuficiente")</f>
        <v>Muy bueno</v>
      </c>
    </row>
    <row r="65" spans="1:18">
      <c r="A65" t="s">
        <v>179</v>
      </c>
      <c r="B65" s="16">
        <v>3</v>
      </c>
      <c r="C65" s="16">
        <v>20</v>
      </c>
      <c r="D65" s="16">
        <v>18.666666666666668</v>
      </c>
      <c r="E65" s="16">
        <v>20</v>
      </c>
      <c r="F65" s="16">
        <v>8</v>
      </c>
      <c r="G65" s="16">
        <v>10</v>
      </c>
      <c r="H65" s="16">
        <v>10</v>
      </c>
      <c r="I65" s="16">
        <v>10</v>
      </c>
      <c r="J65" s="28">
        <f t="shared" si="0"/>
        <v>96.666666666666671</v>
      </c>
      <c r="K65" s="29" t="str" cm="1">
        <f t="array" ref="K65">_xlfn.IFS(J65&gt;=90,"Excelente",J65&gt;=80,"Muy Bueno",J65&gt;=75,"Bueno",J65&gt;=65,"Regular",J65&gt;=55,"Insuficiente")</f>
        <v>Excelente</v>
      </c>
      <c r="L65" s="30" t="str" cm="1">
        <f t="array" ref="L65">_xlfn.IFS(C65&gt;=18,"Excelente",C65&gt;=14,"Muy bueno",C65&gt;=10,"Bueno",C65&gt;=6,"Regular",C65&lt;6,"Insuficiente")</f>
        <v>Excelente</v>
      </c>
      <c r="M65" s="30" t="str" cm="1">
        <f t="array" ref="M65">_xlfn.IFS(D65&gt;=18,"Excelente",D65&gt;=14,"Muy bueno",D65&gt;=10,"Bueno",D65&gt;=6,"Regular",D65&lt;6,"Insuficiente")</f>
        <v>Excelente</v>
      </c>
      <c r="N65" s="30" t="str" cm="1">
        <f t="array" ref="N65">_xlfn.IFS(E65&gt;=18,"Excelente",E65&gt;=14,"Muy bueno",E65&gt;=10,"Bueno",E65&gt;=6,"Regular",E65&lt;6,"Insuficiente")</f>
        <v>Excelente</v>
      </c>
      <c r="O65" s="30" t="str" cm="1">
        <f t="array" ref="O65">_xlfn.IFS(F65&gt;=9,"Excelente",F65&gt;=7,"Muy bueno",F65&gt;=5,"Bueno",F65&gt;=3,"Regular",F65&lt;3,"Insuficiente")</f>
        <v>Muy bueno</v>
      </c>
      <c r="P65" s="30" t="str" cm="1">
        <f t="array" ref="P65">_xlfn.IFS(G65&gt;=9,"Excelente",G65&gt;=7,"Muy bueno",G65&gt;=5,"Bueno",G65&gt;=3,"Regular",G65&lt;3,"Insuficiente")</f>
        <v>Excelente</v>
      </c>
      <c r="Q65" s="30" t="str" cm="1">
        <f t="array" ref="Q65">_xlfn.IFS(H65&gt;=9,"Excelente",H65&gt;=7,"Muy bueno",H65&gt;=5,"Bueno",H65&gt;=3,"Regular",H65&lt;3,"Insuficiente")</f>
        <v>Excelente</v>
      </c>
      <c r="R65" s="30" t="str" cm="1">
        <f t="array" ref="R65">_xlfn.IFS(I65&gt;=9,"Excelente",I65&gt;=7,"Muy bueno",I65&gt;=5,"Bueno",I65&gt;=3,"Regular",I65&lt;3,"Insuficiente")</f>
        <v>Excelente</v>
      </c>
    </row>
    <row r="66" spans="1:18">
      <c r="A66" t="s">
        <v>156</v>
      </c>
      <c r="B66" s="16">
        <v>3</v>
      </c>
      <c r="C66" s="16">
        <v>18.666666666666668</v>
      </c>
      <c r="D66" s="16">
        <v>20</v>
      </c>
      <c r="E66" s="16">
        <v>18.666666666666668</v>
      </c>
      <c r="F66" s="16">
        <v>10</v>
      </c>
      <c r="G66" s="16">
        <v>10</v>
      </c>
      <c r="H66" s="16">
        <v>9.3333333333333339</v>
      </c>
      <c r="I66" s="16">
        <v>10</v>
      </c>
      <c r="J66" s="28">
        <f t="shared" si="0"/>
        <v>96.666666666666671</v>
      </c>
      <c r="K66" s="29" t="str" cm="1">
        <f t="array" ref="K66">_xlfn.IFS(J66&gt;=90,"Excelente",J66&gt;=80,"Muy Bueno",J66&gt;=75,"Bueno",J66&gt;=65,"Regular",J66&gt;=55,"Insuficiente")</f>
        <v>Excelente</v>
      </c>
      <c r="L66" s="30" t="str" cm="1">
        <f t="array" ref="L66">_xlfn.IFS(C66&gt;=18,"Excelente",C66&gt;=14,"Muy bueno",C66&gt;=10,"Bueno",C66&gt;=6,"Regular",C66&lt;6,"Insuficiente")</f>
        <v>Excelente</v>
      </c>
      <c r="M66" s="30" t="str" cm="1">
        <f t="array" ref="M66">_xlfn.IFS(D66&gt;=18,"Excelente",D66&gt;=14,"Muy bueno",D66&gt;=10,"Bueno",D66&gt;=6,"Regular",D66&lt;6,"Insuficiente")</f>
        <v>Excelente</v>
      </c>
      <c r="N66" s="30" t="str" cm="1">
        <f t="array" ref="N66">_xlfn.IFS(E66&gt;=18,"Excelente",E66&gt;=14,"Muy bueno",E66&gt;=10,"Bueno",E66&gt;=6,"Regular",E66&lt;6,"Insuficiente")</f>
        <v>Excelente</v>
      </c>
      <c r="O66" s="30" t="str" cm="1">
        <f t="array" ref="O66">_xlfn.IFS(F66&gt;=9,"Excelente",F66&gt;=7,"Muy bueno",F66&gt;=5,"Bueno",F66&gt;=3,"Regular",F66&lt;3,"Insuficiente")</f>
        <v>Excelente</v>
      </c>
      <c r="P66" s="30" t="str" cm="1">
        <f t="array" ref="P66">_xlfn.IFS(G66&gt;=9,"Excelente",G66&gt;=7,"Muy bueno",G66&gt;=5,"Bueno",G66&gt;=3,"Regular",G66&lt;3,"Insuficiente")</f>
        <v>Excelente</v>
      </c>
      <c r="Q66" s="30" t="str" cm="1">
        <f t="array" ref="Q66">_xlfn.IFS(H66&gt;=9,"Excelente",H66&gt;=7,"Muy bueno",H66&gt;=5,"Bueno",H66&gt;=3,"Regular",H66&lt;3,"Insuficiente")</f>
        <v>Excelente</v>
      </c>
      <c r="R66" s="30" t="str" cm="1">
        <f t="array" ref="R66">_xlfn.IFS(I66&gt;=9,"Excelente",I66&gt;=7,"Muy bueno",I66&gt;=5,"Bueno",I66&gt;=3,"Regular",I66&lt;3,"Insuficiente")</f>
        <v>Excelente</v>
      </c>
    </row>
    <row r="67" spans="1:18">
      <c r="A67" t="s">
        <v>107</v>
      </c>
      <c r="B67" s="16">
        <v>3</v>
      </c>
      <c r="C67" s="16">
        <v>20</v>
      </c>
      <c r="D67" s="16">
        <v>18.666666666666668</v>
      </c>
      <c r="E67" s="16">
        <v>18.666666666666668</v>
      </c>
      <c r="F67" s="16">
        <v>10</v>
      </c>
      <c r="G67" s="16">
        <v>9.3333333333333339</v>
      </c>
      <c r="H67" s="16">
        <v>10</v>
      </c>
      <c r="I67" s="16">
        <v>10</v>
      </c>
      <c r="J67" s="28">
        <f t="shared" si="0"/>
        <v>96.666666666666671</v>
      </c>
      <c r="K67" s="29" t="str" cm="1">
        <f t="array" ref="K67">_xlfn.IFS(J67&gt;=90,"Excelente",J67&gt;=80,"Muy Bueno",J67&gt;=75,"Bueno",J67&gt;=65,"Regular",J67&gt;=55,"Insuficiente")</f>
        <v>Excelente</v>
      </c>
      <c r="L67" s="30" t="str" cm="1">
        <f t="array" ref="L67">_xlfn.IFS(C67&gt;=18,"Excelente",C67&gt;=14,"Muy bueno",C67&gt;=10,"Bueno",C67&gt;=6,"Regular",C67&lt;6,"Insuficiente")</f>
        <v>Excelente</v>
      </c>
      <c r="M67" s="30" t="str" cm="1">
        <f t="array" ref="M67">_xlfn.IFS(D67&gt;=18,"Excelente",D67&gt;=14,"Muy bueno",D67&gt;=10,"Bueno",D67&gt;=6,"Regular",D67&lt;6,"Insuficiente")</f>
        <v>Excelente</v>
      </c>
      <c r="N67" s="30" t="str" cm="1">
        <f t="array" ref="N67">_xlfn.IFS(E67&gt;=18,"Excelente",E67&gt;=14,"Muy bueno",E67&gt;=10,"Bueno",E67&gt;=6,"Regular",E67&lt;6,"Insuficiente")</f>
        <v>Excelente</v>
      </c>
      <c r="O67" s="30" t="str" cm="1">
        <f t="array" ref="O67">_xlfn.IFS(F67&gt;=9,"Excelente",F67&gt;=7,"Muy bueno",F67&gt;=5,"Bueno",F67&gt;=3,"Regular",F67&lt;3,"Insuficiente")</f>
        <v>Excelente</v>
      </c>
      <c r="P67" s="30" t="str" cm="1">
        <f t="array" ref="P67">_xlfn.IFS(G67&gt;=9,"Excelente",G67&gt;=7,"Muy bueno",G67&gt;=5,"Bueno",G67&gt;=3,"Regular",G67&lt;3,"Insuficiente")</f>
        <v>Excelente</v>
      </c>
      <c r="Q67" s="30" t="str" cm="1">
        <f t="array" ref="Q67">_xlfn.IFS(H67&gt;=9,"Excelente",H67&gt;=7,"Muy bueno",H67&gt;=5,"Bueno",H67&gt;=3,"Regular",H67&lt;3,"Insuficiente")</f>
        <v>Excelente</v>
      </c>
      <c r="R67" s="30" t="str" cm="1">
        <f t="array" ref="R67">_xlfn.IFS(I67&gt;=9,"Excelente",I67&gt;=7,"Muy bueno",I67&gt;=5,"Bueno",I67&gt;=3,"Regular",I67&lt;3,"Insuficiente")</f>
        <v>Excelente</v>
      </c>
    </row>
    <row r="68" spans="1:18">
      <c r="A68" t="s">
        <v>305</v>
      </c>
      <c r="B68" s="16">
        <v>3</v>
      </c>
      <c r="C68" s="16">
        <v>20</v>
      </c>
      <c r="D68" s="16">
        <v>20</v>
      </c>
      <c r="E68" s="16">
        <v>20</v>
      </c>
      <c r="F68" s="16">
        <v>10</v>
      </c>
      <c r="G68" s="16">
        <v>9.3333333333333339</v>
      </c>
      <c r="H68" s="16">
        <v>10</v>
      </c>
      <c r="I68" s="16">
        <v>10</v>
      </c>
      <c r="J68" s="28">
        <f t="shared" si="0"/>
        <v>99.333333333333329</v>
      </c>
      <c r="K68" s="29" t="str" cm="1">
        <f t="array" ref="K68">_xlfn.IFS(J68&gt;=90,"Excelente",J68&gt;=80,"Muy Bueno",J68&gt;=75,"Bueno",J68&gt;=65,"Regular",J68&gt;=55,"Insuficiente")</f>
        <v>Excelente</v>
      </c>
      <c r="L68" s="30" t="str" cm="1">
        <f t="array" ref="L68">_xlfn.IFS(C68&gt;=18,"Excelente",C68&gt;=14,"Muy bueno",C68&gt;=10,"Bueno",C68&gt;=6,"Regular",C68&lt;6,"Insuficiente")</f>
        <v>Excelente</v>
      </c>
      <c r="M68" s="30" t="str" cm="1">
        <f t="array" ref="M68">_xlfn.IFS(D68&gt;=18,"Excelente",D68&gt;=14,"Muy bueno",D68&gt;=10,"Bueno",D68&gt;=6,"Regular",D68&lt;6,"Insuficiente")</f>
        <v>Excelente</v>
      </c>
      <c r="N68" s="30" t="str" cm="1">
        <f t="array" ref="N68">_xlfn.IFS(E68&gt;=18,"Excelente",E68&gt;=14,"Muy bueno",E68&gt;=10,"Bueno",E68&gt;=6,"Regular",E68&lt;6,"Insuficiente")</f>
        <v>Excelente</v>
      </c>
      <c r="O68" s="30" t="str" cm="1">
        <f t="array" ref="O68">_xlfn.IFS(F68&gt;=9,"Excelente",F68&gt;=7,"Muy bueno",F68&gt;=5,"Bueno",F68&gt;=3,"Regular",F68&lt;3,"Insuficiente")</f>
        <v>Excelente</v>
      </c>
      <c r="P68" s="30" t="str" cm="1">
        <f t="array" ref="P68">_xlfn.IFS(G68&gt;=9,"Excelente",G68&gt;=7,"Muy bueno",G68&gt;=5,"Bueno",G68&gt;=3,"Regular",G68&lt;3,"Insuficiente")</f>
        <v>Excelente</v>
      </c>
      <c r="Q68" s="30" t="str" cm="1">
        <f t="array" ref="Q68">_xlfn.IFS(H68&gt;=9,"Excelente",H68&gt;=7,"Muy bueno",H68&gt;=5,"Bueno",H68&gt;=3,"Regular",H68&lt;3,"Insuficiente")</f>
        <v>Excelente</v>
      </c>
      <c r="R68" s="30" t="str" cm="1">
        <f t="array" ref="R68">_xlfn.IFS(I68&gt;=9,"Excelente",I68&gt;=7,"Muy bueno",I68&gt;=5,"Bueno",I68&gt;=3,"Regular",I68&lt;3,"Insuficiente")</f>
        <v>Excelente</v>
      </c>
    </row>
    <row r="69" spans="1:18">
      <c r="A69" t="s">
        <v>150</v>
      </c>
      <c r="B69" s="16">
        <v>3</v>
      </c>
      <c r="C69" s="16">
        <v>18.666666666666668</v>
      </c>
      <c r="D69" s="16">
        <v>18.666666666666668</v>
      </c>
      <c r="E69" s="16">
        <v>17.333333333333332</v>
      </c>
      <c r="F69" s="16">
        <v>10</v>
      </c>
      <c r="G69" s="16">
        <v>9.3333333333333339</v>
      </c>
      <c r="H69" s="16">
        <v>8.6666666666666661</v>
      </c>
      <c r="I69" s="16">
        <v>9.3333333333333339</v>
      </c>
      <c r="J69" s="28">
        <f t="shared" ref="J69:J132" si="1">(C69+D69+E69+F69+G69+H69+I69)</f>
        <v>92</v>
      </c>
      <c r="K69" s="29" t="str" cm="1">
        <f t="array" ref="K69">_xlfn.IFS(J69&gt;=90,"Excelente",J69&gt;=80,"Muy Bueno",J69&gt;=75,"Bueno",J69&gt;=65,"Regular",J69&gt;=55,"Insuficiente")</f>
        <v>Excelente</v>
      </c>
      <c r="L69" s="30" t="str" cm="1">
        <f t="array" ref="L69">_xlfn.IFS(C69&gt;=18,"Excelente",C69&gt;=14,"Muy bueno",C69&gt;=10,"Bueno",C69&gt;=6,"Regular",C69&lt;6,"Insuficiente")</f>
        <v>Excelente</v>
      </c>
      <c r="M69" s="30" t="str" cm="1">
        <f t="array" ref="M69">_xlfn.IFS(D69&gt;=18,"Excelente",D69&gt;=14,"Muy bueno",D69&gt;=10,"Bueno",D69&gt;=6,"Regular",D69&lt;6,"Insuficiente")</f>
        <v>Excelente</v>
      </c>
      <c r="N69" s="30" t="str" cm="1">
        <f t="array" ref="N69">_xlfn.IFS(E69&gt;=18,"Excelente",E69&gt;=14,"Muy bueno",E69&gt;=10,"Bueno",E69&gt;=6,"Regular",E69&lt;6,"Insuficiente")</f>
        <v>Muy bueno</v>
      </c>
      <c r="O69" s="30" t="str" cm="1">
        <f t="array" ref="O69">_xlfn.IFS(F69&gt;=9,"Excelente",F69&gt;=7,"Muy bueno",F69&gt;=5,"Bueno",F69&gt;=3,"Regular",F69&lt;3,"Insuficiente")</f>
        <v>Excelente</v>
      </c>
      <c r="P69" s="30" t="str" cm="1">
        <f t="array" ref="P69">_xlfn.IFS(G69&gt;=9,"Excelente",G69&gt;=7,"Muy bueno",G69&gt;=5,"Bueno",G69&gt;=3,"Regular",G69&lt;3,"Insuficiente")</f>
        <v>Excelente</v>
      </c>
      <c r="Q69" s="30" t="str" cm="1">
        <f t="array" ref="Q69">_xlfn.IFS(H69&gt;=9,"Excelente",H69&gt;=7,"Muy bueno",H69&gt;=5,"Bueno",H69&gt;=3,"Regular",H69&lt;3,"Insuficiente")</f>
        <v>Muy bueno</v>
      </c>
      <c r="R69" s="30" t="str" cm="1">
        <f t="array" ref="R69">_xlfn.IFS(I69&gt;=9,"Excelente",I69&gt;=7,"Muy bueno",I69&gt;=5,"Bueno",I69&gt;=3,"Regular",I69&lt;3,"Insuficiente")</f>
        <v>Excelente</v>
      </c>
    </row>
    <row r="70" spans="1:18">
      <c r="A70" t="s">
        <v>251</v>
      </c>
      <c r="B70" s="16">
        <v>3</v>
      </c>
      <c r="C70" s="16">
        <v>20</v>
      </c>
      <c r="D70" s="16">
        <v>20</v>
      </c>
      <c r="E70" s="16">
        <v>20</v>
      </c>
      <c r="F70" s="16">
        <v>10</v>
      </c>
      <c r="G70" s="16">
        <v>9.3333333333333339</v>
      </c>
      <c r="H70" s="16">
        <v>8.6666666666666661</v>
      </c>
      <c r="I70" s="16">
        <v>8.6666666666666661</v>
      </c>
      <c r="J70" s="28">
        <f t="shared" si="1"/>
        <v>96.666666666666671</v>
      </c>
      <c r="K70" s="29" t="str" cm="1">
        <f t="array" ref="K70">_xlfn.IFS(J70&gt;=90,"Excelente",J70&gt;=80,"Muy Bueno",J70&gt;=75,"Bueno",J70&gt;=65,"Regular",J70&gt;=55,"Insuficiente")</f>
        <v>Excelente</v>
      </c>
      <c r="L70" s="30" t="str" cm="1">
        <f t="array" ref="L70">_xlfn.IFS(C70&gt;=18,"Excelente",C70&gt;=14,"Muy bueno",C70&gt;=10,"Bueno",C70&gt;=6,"Regular",C70&lt;6,"Insuficiente")</f>
        <v>Excelente</v>
      </c>
      <c r="M70" s="30" t="str" cm="1">
        <f t="array" ref="M70">_xlfn.IFS(D70&gt;=18,"Excelente",D70&gt;=14,"Muy bueno",D70&gt;=10,"Bueno",D70&gt;=6,"Regular",D70&lt;6,"Insuficiente")</f>
        <v>Excelente</v>
      </c>
      <c r="N70" s="30" t="str" cm="1">
        <f t="array" ref="N70">_xlfn.IFS(E70&gt;=18,"Excelente",E70&gt;=14,"Muy bueno",E70&gt;=10,"Bueno",E70&gt;=6,"Regular",E70&lt;6,"Insuficiente")</f>
        <v>Excelente</v>
      </c>
      <c r="O70" s="30" t="str" cm="1">
        <f t="array" ref="O70">_xlfn.IFS(F70&gt;=9,"Excelente",F70&gt;=7,"Muy bueno",F70&gt;=5,"Bueno",F70&gt;=3,"Regular",F70&lt;3,"Insuficiente")</f>
        <v>Excelente</v>
      </c>
      <c r="P70" s="30" t="str" cm="1">
        <f t="array" ref="P70">_xlfn.IFS(G70&gt;=9,"Excelente",G70&gt;=7,"Muy bueno",G70&gt;=5,"Bueno",G70&gt;=3,"Regular",G70&lt;3,"Insuficiente")</f>
        <v>Excelente</v>
      </c>
      <c r="Q70" s="30" t="str" cm="1">
        <f t="array" ref="Q70">_xlfn.IFS(H70&gt;=9,"Excelente",H70&gt;=7,"Muy bueno",H70&gt;=5,"Bueno",H70&gt;=3,"Regular",H70&lt;3,"Insuficiente")</f>
        <v>Muy bueno</v>
      </c>
      <c r="R70" s="30" t="str" cm="1">
        <f t="array" ref="R70">_xlfn.IFS(I70&gt;=9,"Excelente",I70&gt;=7,"Muy bueno",I70&gt;=5,"Bueno",I70&gt;=3,"Regular",I70&lt;3,"Insuficiente")</f>
        <v>Muy bueno</v>
      </c>
    </row>
    <row r="71" spans="1:18">
      <c r="A71" t="s">
        <v>307</v>
      </c>
      <c r="B71" s="16">
        <v>3</v>
      </c>
      <c r="C71" s="16">
        <v>20</v>
      </c>
      <c r="D71" s="16">
        <v>20</v>
      </c>
      <c r="E71" s="16">
        <v>20</v>
      </c>
      <c r="F71" s="16">
        <v>10</v>
      </c>
      <c r="G71" s="16">
        <v>10</v>
      </c>
      <c r="H71" s="16">
        <v>10</v>
      </c>
      <c r="I71" s="16">
        <v>10</v>
      </c>
      <c r="J71" s="28">
        <f t="shared" si="1"/>
        <v>100</v>
      </c>
      <c r="K71" s="29" t="str" cm="1">
        <f t="array" ref="K71">_xlfn.IFS(J71&gt;=90,"Excelente",J71&gt;=80,"Muy Bueno",J71&gt;=75,"Bueno",J71&gt;=65,"Regular",J71&gt;=55,"Insuficiente")</f>
        <v>Excelente</v>
      </c>
      <c r="L71" s="30" t="str" cm="1">
        <f t="array" ref="L71">_xlfn.IFS(C71&gt;=18,"Excelente",C71&gt;=14,"Muy bueno",C71&gt;=10,"Bueno",C71&gt;=6,"Regular",C71&lt;6,"Insuficiente")</f>
        <v>Excelente</v>
      </c>
      <c r="M71" s="30" t="str" cm="1">
        <f t="array" ref="M71">_xlfn.IFS(D71&gt;=18,"Excelente",D71&gt;=14,"Muy bueno",D71&gt;=10,"Bueno",D71&gt;=6,"Regular",D71&lt;6,"Insuficiente")</f>
        <v>Excelente</v>
      </c>
      <c r="N71" s="30" t="str" cm="1">
        <f t="array" ref="N71">_xlfn.IFS(E71&gt;=18,"Excelente",E71&gt;=14,"Muy bueno",E71&gt;=10,"Bueno",E71&gt;=6,"Regular",E71&lt;6,"Insuficiente")</f>
        <v>Excelente</v>
      </c>
      <c r="O71" s="30" t="str" cm="1">
        <f t="array" ref="O71">_xlfn.IFS(F71&gt;=9,"Excelente",F71&gt;=7,"Muy bueno",F71&gt;=5,"Bueno",F71&gt;=3,"Regular",F71&lt;3,"Insuficiente")</f>
        <v>Excelente</v>
      </c>
      <c r="P71" s="30" t="str" cm="1">
        <f t="array" ref="P71">_xlfn.IFS(G71&gt;=9,"Excelente",G71&gt;=7,"Muy bueno",G71&gt;=5,"Bueno",G71&gt;=3,"Regular",G71&lt;3,"Insuficiente")</f>
        <v>Excelente</v>
      </c>
      <c r="Q71" s="30" t="str" cm="1">
        <f t="array" ref="Q71">_xlfn.IFS(H71&gt;=9,"Excelente",H71&gt;=7,"Muy bueno",H71&gt;=5,"Bueno",H71&gt;=3,"Regular",H71&lt;3,"Insuficiente")</f>
        <v>Excelente</v>
      </c>
      <c r="R71" s="30" t="str" cm="1">
        <f t="array" ref="R71">_xlfn.IFS(I71&gt;=9,"Excelente",I71&gt;=7,"Muy bueno",I71&gt;=5,"Bueno",I71&gt;=3,"Regular",I71&lt;3,"Insuficiente")</f>
        <v>Excelente</v>
      </c>
    </row>
    <row r="72" spans="1:18">
      <c r="A72" t="s">
        <v>327</v>
      </c>
      <c r="B72" s="16">
        <v>3</v>
      </c>
      <c r="C72" s="16">
        <v>18.666666666666668</v>
      </c>
      <c r="D72" s="16">
        <v>16</v>
      </c>
      <c r="E72" s="16">
        <v>16</v>
      </c>
      <c r="F72" s="16">
        <v>8.6666666666666661</v>
      </c>
      <c r="G72" s="16">
        <v>8.6666666666666661</v>
      </c>
      <c r="H72" s="16">
        <v>8</v>
      </c>
      <c r="I72" s="16">
        <v>9.3333333333333339</v>
      </c>
      <c r="J72" s="28">
        <f t="shared" si="1"/>
        <v>85.333333333333329</v>
      </c>
      <c r="K72" s="29" t="str" cm="1">
        <f t="array" ref="K72">_xlfn.IFS(J72&gt;=90,"Excelente",J72&gt;=80,"Muy Bueno",J72&gt;=75,"Bueno",J72&gt;=65,"Regular",J72&gt;=55,"Insuficiente")</f>
        <v>Muy Bueno</v>
      </c>
      <c r="L72" s="30" t="str" cm="1">
        <f t="array" ref="L72">_xlfn.IFS(C72&gt;=18,"Excelente",C72&gt;=14,"Muy bueno",C72&gt;=10,"Bueno",C72&gt;=6,"Regular",C72&lt;6,"Insuficiente")</f>
        <v>Excelente</v>
      </c>
      <c r="M72" s="30" t="str" cm="1">
        <f t="array" ref="M72">_xlfn.IFS(D72&gt;=18,"Excelente",D72&gt;=14,"Muy bueno",D72&gt;=10,"Bueno",D72&gt;=6,"Regular",D72&lt;6,"Insuficiente")</f>
        <v>Muy bueno</v>
      </c>
      <c r="N72" s="30" t="str" cm="1">
        <f t="array" ref="N72">_xlfn.IFS(E72&gt;=18,"Excelente",E72&gt;=14,"Muy bueno",E72&gt;=10,"Bueno",E72&gt;=6,"Regular",E72&lt;6,"Insuficiente")</f>
        <v>Muy bueno</v>
      </c>
      <c r="O72" s="30" t="str" cm="1">
        <f t="array" ref="O72">_xlfn.IFS(F72&gt;=9,"Excelente",F72&gt;=7,"Muy bueno",F72&gt;=5,"Bueno",F72&gt;=3,"Regular",F72&lt;3,"Insuficiente")</f>
        <v>Muy bueno</v>
      </c>
      <c r="P72" s="30" t="str" cm="1">
        <f t="array" ref="P72">_xlfn.IFS(G72&gt;=9,"Excelente",G72&gt;=7,"Muy bueno",G72&gt;=5,"Bueno",G72&gt;=3,"Regular",G72&lt;3,"Insuficiente")</f>
        <v>Muy bueno</v>
      </c>
      <c r="Q72" s="30" t="str" cm="1">
        <f t="array" ref="Q72">_xlfn.IFS(H72&gt;=9,"Excelente",H72&gt;=7,"Muy bueno",H72&gt;=5,"Bueno",H72&gt;=3,"Regular",H72&lt;3,"Insuficiente")</f>
        <v>Muy bueno</v>
      </c>
      <c r="R72" s="30" t="str" cm="1">
        <f t="array" ref="R72">_xlfn.IFS(I72&gt;=9,"Excelente",I72&gt;=7,"Muy bueno",I72&gt;=5,"Bueno",I72&gt;=3,"Regular",I72&lt;3,"Insuficiente")</f>
        <v>Excelente</v>
      </c>
    </row>
    <row r="73" spans="1:18">
      <c r="A73" t="s">
        <v>241</v>
      </c>
      <c r="B73" s="16">
        <v>3</v>
      </c>
      <c r="C73" s="16">
        <v>18.666666666666668</v>
      </c>
      <c r="D73" s="16">
        <v>17.333333333333332</v>
      </c>
      <c r="E73" s="16">
        <v>20</v>
      </c>
      <c r="F73" s="16">
        <v>7.333333333333333</v>
      </c>
      <c r="G73" s="16">
        <v>9.3333333333333339</v>
      </c>
      <c r="H73" s="16">
        <v>10</v>
      </c>
      <c r="I73" s="16">
        <v>9.3333333333333339</v>
      </c>
      <c r="J73" s="28">
        <f t="shared" si="1"/>
        <v>92</v>
      </c>
      <c r="K73" s="29" t="str" cm="1">
        <f t="array" ref="K73">_xlfn.IFS(J73&gt;=90,"Excelente",J73&gt;=80,"Muy Bueno",J73&gt;=75,"Bueno",J73&gt;=65,"Regular",J73&gt;=55,"Insuficiente")</f>
        <v>Excelente</v>
      </c>
      <c r="L73" s="30" t="str" cm="1">
        <f t="array" ref="L73">_xlfn.IFS(C73&gt;=18,"Excelente",C73&gt;=14,"Muy bueno",C73&gt;=10,"Bueno",C73&gt;=6,"Regular",C73&lt;6,"Insuficiente")</f>
        <v>Excelente</v>
      </c>
      <c r="M73" s="30" t="str" cm="1">
        <f t="array" ref="M73">_xlfn.IFS(D73&gt;=18,"Excelente",D73&gt;=14,"Muy bueno",D73&gt;=10,"Bueno",D73&gt;=6,"Regular",D73&lt;6,"Insuficiente")</f>
        <v>Muy bueno</v>
      </c>
      <c r="N73" s="30" t="str" cm="1">
        <f t="array" ref="N73">_xlfn.IFS(E73&gt;=18,"Excelente",E73&gt;=14,"Muy bueno",E73&gt;=10,"Bueno",E73&gt;=6,"Regular",E73&lt;6,"Insuficiente")</f>
        <v>Excelente</v>
      </c>
      <c r="O73" s="30" t="str" cm="1">
        <f t="array" ref="O73">_xlfn.IFS(F73&gt;=9,"Excelente",F73&gt;=7,"Muy bueno",F73&gt;=5,"Bueno",F73&gt;=3,"Regular",F73&lt;3,"Insuficiente")</f>
        <v>Muy bueno</v>
      </c>
      <c r="P73" s="30" t="str" cm="1">
        <f t="array" ref="P73">_xlfn.IFS(G73&gt;=9,"Excelente",G73&gt;=7,"Muy bueno",G73&gt;=5,"Bueno",G73&gt;=3,"Regular",G73&lt;3,"Insuficiente")</f>
        <v>Excelente</v>
      </c>
      <c r="Q73" s="30" t="str" cm="1">
        <f t="array" ref="Q73">_xlfn.IFS(H73&gt;=9,"Excelente",H73&gt;=7,"Muy bueno",H73&gt;=5,"Bueno",H73&gt;=3,"Regular",H73&lt;3,"Insuficiente")</f>
        <v>Excelente</v>
      </c>
      <c r="R73" s="30" t="str" cm="1">
        <f t="array" ref="R73">_xlfn.IFS(I73&gt;=9,"Excelente",I73&gt;=7,"Muy bueno",I73&gt;=5,"Bueno",I73&gt;=3,"Regular",I73&lt;3,"Insuficiente")</f>
        <v>Excelente</v>
      </c>
    </row>
    <row r="74" spans="1:18">
      <c r="A74" t="s">
        <v>175</v>
      </c>
      <c r="B74" s="16">
        <v>3</v>
      </c>
      <c r="C74" s="16">
        <v>20</v>
      </c>
      <c r="D74" s="16">
        <v>20</v>
      </c>
      <c r="E74" s="16">
        <v>18.666666666666668</v>
      </c>
      <c r="F74" s="16">
        <v>10</v>
      </c>
      <c r="G74" s="16">
        <v>8</v>
      </c>
      <c r="H74" s="16">
        <v>8.6666666666666661</v>
      </c>
      <c r="I74" s="16">
        <v>9.3333333333333339</v>
      </c>
      <c r="J74" s="28">
        <f t="shared" si="1"/>
        <v>94.666666666666671</v>
      </c>
      <c r="K74" s="29" t="str" cm="1">
        <f t="array" ref="K74">_xlfn.IFS(J74&gt;=90,"Excelente",J74&gt;=80,"Muy Bueno",J74&gt;=75,"Bueno",J74&gt;=65,"Regular",J74&gt;=55,"Insuficiente")</f>
        <v>Excelente</v>
      </c>
      <c r="L74" s="30" t="str" cm="1">
        <f t="array" ref="L74">_xlfn.IFS(C74&gt;=18,"Excelente",C74&gt;=14,"Muy bueno",C74&gt;=10,"Bueno",C74&gt;=6,"Regular",C74&lt;6,"Insuficiente")</f>
        <v>Excelente</v>
      </c>
      <c r="M74" s="30" t="str" cm="1">
        <f t="array" ref="M74">_xlfn.IFS(D74&gt;=18,"Excelente",D74&gt;=14,"Muy bueno",D74&gt;=10,"Bueno",D74&gt;=6,"Regular",D74&lt;6,"Insuficiente")</f>
        <v>Excelente</v>
      </c>
      <c r="N74" s="30" t="str" cm="1">
        <f t="array" ref="N74">_xlfn.IFS(E74&gt;=18,"Excelente",E74&gt;=14,"Muy bueno",E74&gt;=10,"Bueno",E74&gt;=6,"Regular",E74&lt;6,"Insuficiente")</f>
        <v>Excelente</v>
      </c>
      <c r="O74" s="30" t="str" cm="1">
        <f t="array" ref="O74">_xlfn.IFS(F74&gt;=9,"Excelente",F74&gt;=7,"Muy bueno",F74&gt;=5,"Bueno",F74&gt;=3,"Regular",F74&lt;3,"Insuficiente")</f>
        <v>Excelente</v>
      </c>
      <c r="P74" s="30" t="str" cm="1">
        <f t="array" ref="P74">_xlfn.IFS(G74&gt;=9,"Excelente",G74&gt;=7,"Muy bueno",G74&gt;=5,"Bueno",G74&gt;=3,"Regular",G74&lt;3,"Insuficiente")</f>
        <v>Muy bueno</v>
      </c>
      <c r="Q74" s="30" t="str" cm="1">
        <f t="array" ref="Q74">_xlfn.IFS(H74&gt;=9,"Excelente",H74&gt;=7,"Muy bueno",H74&gt;=5,"Bueno",H74&gt;=3,"Regular",H74&lt;3,"Insuficiente")</f>
        <v>Muy bueno</v>
      </c>
      <c r="R74" s="30" t="str" cm="1">
        <f t="array" ref="R74">_xlfn.IFS(I74&gt;=9,"Excelente",I74&gt;=7,"Muy bueno",I74&gt;=5,"Bueno",I74&gt;=3,"Regular",I74&lt;3,"Insuficiente")</f>
        <v>Excelente</v>
      </c>
    </row>
    <row r="75" spans="1:18">
      <c r="A75" t="s">
        <v>257</v>
      </c>
      <c r="B75" s="16">
        <v>3</v>
      </c>
      <c r="C75" s="16">
        <v>20</v>
      </c>
      <c r="D75" s="16">
        <v>18.666666666666668</v>
      </c>
      <c r="E75" s="16">
        <v>18.666666666666668</v>
      </c>
      <c r="F75" s="16">
        <v>10</v>
      </c>
      <c r="G75" s="16">
        <v>10</v>
      </c>
      <c r="H75" s="16">
        <v>8.6666666666666661</v>
      </c>
      <c r="I75" s="16">
        <v>9.3333333333333339</v>
      </c>
      <c r="J75" s="28">
        <f t="shared" si="1"/>
        <v>95.333333333333343</v>
      </c>
      <c r="K75" s="29" t="str" cm="1">
        <f t="array" ref="K75">_xlfn.IFS(J75&gt;=90,"Excelente",J75&gt;=80,"Muy Bueno",J75&gt;=75,"Bueno",J75&gt;=65,"Regular",J75&gt;=55,"Insuficiente")</f>
        <v>Excelente</v>
      </c>
      <c r="L75" s="30" t="str" cm="1">
        <f t="array" ref="L75">_xlfn.IFS(C75&gt;=18,"Excelente",C75&gt;=14,"Muy bueno",C75&gt;=10,"Bueno",C75&gt;=6,"Regular",C75&lt;6,"Insuficiente")</f>
        <v>Excelente</v>
      </c>
      <c r="M75" s="30" t="str" cm="1">
        <f t="array" ref="M75">_xlfn.IFS(D75&gt;=18,"Excelente",D75&gt;=14,"Muy bueno",D75&gt;=10,"Bueno",D75&gt;=6,"Regular",D75&lt;6,"Insuficiente")</f>
        <v>Excelente</v>
      </c>
      <c r="N75" s="30" t="str" cm="1">
        <f t="array" ref="N75">_xlfn.IFS(E75&gt;=18,"Excelente",E75&gt;=14,"Muy bueno",E75&gt;=10,"Bueno",E75&gt;=6,"Regular",E75&lt;6,"Insuficiente")</f>
        <v>Excelente</v>
      </c>
      <c r="O75" s="30" t="str" cm="1">
        <f t="array" ref="O75">_xlfn.IFS(F75&gt;=9,"Excelente",F75&gt;=7,"Muy bueno",F75&gt;=5,"Bueno",F75&gt;=3,"Regular",F75&lt;3,"Insuficiente")</f>
        <v>Excelente</v>
      </c>
      <c r="P75" s="30" t="str" cm="1">
        <f t="array" ref="P75">_xlfn.IFS(G75&gt;=9,"Excelente",G75&gt;=7,"Muy bueno",G75&gt;=5,"Bueno",G75&gt;=3,"Regular",G75&lt;3,"Insuficiente")</f>
        <v>Excelente</v>
      </c>
      <c r="Q75" s="30" t="str" cm="1">
        <f t="array" ref="Q75">_xlfn.IFS(H75&gt;=9,"Excelente",H75&gt;=7,"Muy bueno",H75&gt;=5,"Bueno",H75&gt;=3,"Regular",H75&lt;3,"Insuficiente")</f>
        <v>Muy bueno</v>
      </c>
      <c r="R75" s="30" t="str" cm="1">
        <f t="array" ref="R75">_xlfn.IFS(I75&gt;=9,"Excelente",I75&gt;=7,"Muy bueno",I75&gt;=5,"Bueno",I75&gt;=3,"Regular",I75&lt;3,"Insuficiente")</f>
        <v>Excelente</v>
      </c>
    </row>
    <row r="76" spans="1:18">
      <c r="A76" t="s">
        <v>131</v>
      </c>
      <c r="B76" s="16">
        <v>3</v>
      </c>
      <c r="C76" s="16">
        <v>20</v>
      </c>
      <c r="D76" s="16">
        <v>20</v>
      </c>
      <c r="E76" s="16">
        <v>18.666666666666668</v>
      </c>
      <c r="F76" s="16">
        <v>10</v>
      </c>
      <c r="G76" s="16">
        <v>9.3333333333333339</v>
      </c>
      <c r="H76" s="16">
        <v>8.6666666666666661</v>
      </c>
      <c r="I76" s="16">
        <v>9.3333333333333339</v>
      </c>
      <c r="J76" s="28">
        <f t="shared" si="1"/>
        <v>96</v>
      </c>
      <c r="K76" s="29" t="str" cm="1">
        <f t="array" ref="K76">_xlfn.IFS(J76&gt;=90,"Excelente",J76&gt;=80,"Muy Bueno",J76&gt;=75,"Bueno",J76&gt;=65,"Regular",J76&gt;=55,"Insuficiente")</f>
        <v>Excelente</v>
      </c>
      <c r="L76" s="30" t="str" cm="1">
        <f t="array" ref="L76">_xlfn.IFS(C76&gt;=18,"Excelente",C76&gt;=14,"Muy bueno",C76&gt;=10,"Bueno",C76&gt;=6,"Regular",C76&lt;6,"Insuficiente")</f>
        <v>Excelente</v>
      </c>
      <c r="M76" s="30" t="str" cm="1">
        <f t="array" ref="M76">_xlfn.IFS(D76&gt;=18,"Excelente",D76&gt;=14,"Muy bueno",D76&gt;=10,"Bueno",D76&gt;=6,"Regular",D76&lt;6,"Insuficiente")</f>
        <v>Excelente</v>
      </c>
      <c r="N76" s="30" t="str" cm="1">
        <f t="array" ref="N76">_xlfn.IFS(E76&gt;=18,"Excelente",E76&gt;=14,"Muy bueno",E76&gt;=10,"Bueno",E76&gt;=6,"Regular",E76&lt;6,"Insuficiente")</f>
        <v>Excelente</v>
      </c>
      <c r="O76" s="30" t="str" cm="1">
        <f t="array" ref="O76">_xlfn.IFS(F76&gt;=9,"Excelente",F76&gt;=7,"Muy bueno",F76&gt;=5,"Bueno",F76&gt;=3,"Regular",F76&lt;3,"Insuficiente")</f>
        <v>Excelente</v>
      </c>
      <c r="P76" s="30" t="str" cm="1">
        <f t="array" ref="P76">_xlfn.IFS(G76&gt;=9,"Excelente",G76&gt;=7,"Muy bueno",G76&gt;=5,"Bueno",G76&gt;=3,"Regular",G76&lt;3,"Insuficiente")</f>
        <v>Excelente</v>
      </c>
      <c r="Q76" s="30" t="str" cm="1">
        <f t="array" ref="Q76">_xlfn.IFS(H76&gt;=9,"Excelente",H76&gt;=7,"Muy bueno",H76&gt;=5,"Bueno",H76&gt;=3,"Regular",H76&lt;3,"Insuficiente")</f>
        <v>Muy bueno</v>
      </c>
      <c r="R76" s="30" t="str" cm="1">
        <f t="array" ref="R76">_xlfn.IFS(I76&gt;=9,"Excelente",I76&gt;=7,"Muy bueno",I76&gt;=5,"Bueno",I76&gt;=3,"Regular",I76&lt;3,"Insuficiente")</f>
        <v>Excelente</v>
      </c>
    </row>
    <row r="77" spans="1:18">
      <c r="A77" t="s">
        <v>92</v>
      </c>
      <c r="B77" s="16">
        <v>3</v>
      </c>
      <c r="C77" s="16">
        <v>18.666666666666668</v>
      </c>
      <c r="D77" s="16">
        <v>20</v>
      </c>
      <c r="E77" s="16">
        <v>20</v>
      </c>
      <c r="F77" s="16">
        <v>10</v>
      </c>
      <c r="G77" s="16">
        <v>10</v>
      </c>
      <c r="H77" s="16">
        <v>10</v>
      </c>
      <c r="I77" s="16">
        <v>10</v>
      </c>
      <c r="J77" s="28">
        <f t="shared" si="1"/>
        <v>98.666666666666671</v>
      </c>
      <c r="K77" s="29" t="str" cm="1">
        <f t="array" ref="K77">_xlfn.IFS(J77&gt;=90,"Excelente",J77&gt;=80,"Muy Bueno",J77&gt;=75,"Bueno",J77&gt;=65,"Regular",J77&gt;=55,"Insuficiente")</f>
        <v>Excelente</v>
      </c>
      <c r="L77" s="30" t="str" cm="1">
        <f t="array" ref="L77">_xlfn.IFS(C77&gt;=18,"Excelente",C77&gt;=14,"Muy bueno",C77&gt;=10,"Bueno",C77&gt;=6,"Regular",C77&lt;6,"Insuficiente")</f>
        <v>Excelente</v>
      </c>
      <c r="M77" s="30" t="str" cm="1">
        <f t="array" ref="M77">_xlfn.IFS(D77&gt;=18,"Excelente",D77&gt;=14,"Muy bueno",D77&gt;=10,"Bueno",D77&gt;=6,"Regular",D77&lt;6,"Insuficiente")</f>
        <v>Excelente</v>
      </c>
      <c r="N77" s="30" t="str" cm="1">
        <f t="array" ref="N77">_xlfn.IFS(E77&gt;=18,"Excelente",E77&gt;=14,"Muy bueno",E77&gt;=10,"Bueno",E77&gt;=6,"Regular",E77&lt;6,"Insuficiente")</f>
        <v>Excelente</v>
      </c>
      <c r="O77" s="30" t="str" cm="1">
        <f t="array" ref="O77">_xlfn.IFS(F77&gt;=9,"Excelente",F77&gt;=7,"Muy bueno",F77&gt;=5,"Bueno",F77&gt;=3,"Regular",F77&lt;3,"Insuficiente")</f>
        <v>Excelente</v>
      </c>
      <c r="P77" s="30" t="str" cm="1">
        <f t="array" ref="P77">_xlfn.IFS(G77&gt;=9,"Excelente",G77&gt;=7,"Muy bueno",G77&gt;=5,"Bueno",G77&gt;=3,"Regular",G77&lt;3,"Insuficiente")</f>
        <v>Excelente</v>
      </c>
      <c r="Q77" s="30" t="str" cm="1">
        <f t="array" ref="Q77">_xlfn.IFS(H77&gt;=9,"Excelente",H77&gt;=7,"Muy bueno",H77&gt;=5,"Bueno",H77&gt;=3,"Regular",H77&lt;3,"Insuficiente")</f>
        <v>Excelente</v>
      </c>
      <c r="R77" s="30" t="str" cm="1">
        <f t="array" ref="R77">_xlfn.IFS(I77&gt;=9,"Excelente",I77&gt;=7,"Muy bueno",I77&gt;=5,"Bueno",I77&gt;=3,"Regular",I77&lt;3,"Insuficiente")</f>
        <v>Excelente</v>
      </c>
    </row>
    <row r="78" spans="1:18">
      <c r="A78" t="s">
        <v>299</v>
      </c>
      <c r="B78" s="16">
        <v>3</v>
      </c>
      <c r="C78" s="16">
        <v>18.666666666666668</v>
      </c>
      <c r="D78" s="16">
        <v>18.666666666666668</v>
      </c>
      <c r="E78" s="16">
        <v>18.666666666666668</v>
      </c>
      <c r="F78" s="16">
        <v>9.3333333333333339</v>
      </c>
      <c r="G78" s="16">
        <v>9.3333333333333339</v>
      </c>
      <c r="H78" s="16">
        <v>8.6666666666666661</v>
      </c>
      <c r="I78" s="16">
        <v>9.3333333333333339</v>
      </c>
      <c r="J78" s="28">
        <f t="shared" si="1"/>
        <v>92.666666666666657</v>
      </c>
      <c r="K78" s="29" t="str" cm="1">
        <f t="array" ref="K78">_xlfn.IFS(J78&gt;=90,"Excelente",J78&gt;=80,"Muy Bueno",J78&gt;=75,"Bueno",J78&gt;=65,"Regular",J78&gt;=55,"Insuficiente")</f>
        <v>Excelente</v>
      </c>
      <c r="L78" s="30" t="str" cm="1">
        <f t="array" ref="L78">_xlfn.IFS(C78&gt;=18,"Excelente",C78&gt;=14,"Muy bueno",C78&gt;=10,"Bueno",C78&gt;=6,"Regular",C78&lt;6,"Insuficiente")</f>
        <v>Excelente</v>
      </c>
      <c r="M78" s="30" t="str" cm="1">
        <f t="array" ref="M78">_xlfn.IFS(D78&gt;=18,"Excelente",D78&gt;=14,"Muy bueno",D78&gt;=10,"Bueno",D78&gt;=6,"Regular",D78&lt;6,"Insuficiente")</f>
        <v>Excelente</v>
      </c>
      <c r="N78" s="30" t="str" cm="1">
        <f t="array" ref="N78">_xlfn.IFS(E78&gt;=18,"Excelente",E78&gt;=14,"Muy bueno",E78&gt;=10,"Bueno",E78&gt;=6,"Regular",E78&lt;6,"Insuficiente")</f>
        <v>Excelente</v>
      </c>
      <c r="O78" s="30" t="str" cm="1">
        <f t="array" ref="O78">_xlfn.IFS(F78&gt;=9,"Excelente",F78&gt;=7,"Muy bueno",F78&gt;=5,"Bueno",F78&gt;=3,"Regular",F78&lt;3,"Insuficiente")</f>
        <v>Excelente</v>
      </c>
      <c r="P78" s="30" t="str" cm="1">
        <f t="array" ref="P78">_xlfn.IFS(G78&gt;=9,"Excelente",G78&gt;=7,"Muy bueno",G78&gt;=5,"Bueno",G78&gt;=3,"Regular",G78&lt;3,"Insuficiente")</f>
        <v>Excelente</v>
      </c>
      <c r="Q78" s="30" t="str" cm="1">
        <f t="array" ref="Q78">_xlfn.IFS(H78&gt;=9,"Excelente",H78&gt;=7,"Muy bueno",H78&gt;=5,"Bueno",H78&gt;=3,"Regular",H78&lt;3,"Insuficiente")</f>
        <v>Muy bueno</v>
      </c>
      <c r="R78" s="30" t="str" cm="1">
        <f t="array" ref="R78">_xlfn.IFS(I78&gt;=9,"Excelente",I78&gt;=7,"Muy bueno",I78&gt;=5,"Bueno",I78&gt;=3,"Regular",I78&lt;3,"Insuficiente")</f>
        <v>Excelente</v>
      </c>
    </row>
    <row r="79" spans="1:18">
      <c r="A79" t="s">
        <v>96</v>
      </c>
      <c r="B79" s="16">
        <v>3</v>
      </c>
      <c r="C79" s="16">
        <v>18.666666666666668</v>
      </c>
      <c r="D79" s="16">
        <v>18.666666666666668</v>
      </c>
      <c r="E79" s="16">
        <v>18.666666666666668</v>
      </c>
      <c r="F79" s="16">
        <v>9.3333333333333339</v>
      </c>
      <c r="G79" s="16">
        <v>9.3333333333333339</v>
      </c>
      <c r="H79" s="16">
        <v>9.3333333333333339</v>
      </c>
      <c r="I79" s="16">
        <v>9.3333333333333339</v>
      </c>
      <c r="J79" s="28">
        <f t="shared" si="1"/>
        <v>93.333333333333314</v>
      </c>
      <c r="K79" s="29" t="str" cm="1">
        <f t="array" ref="K79">_xlfn.IFS(J79&gt;=90,"Excelente",J79&gt;=80,"Muy Bueno",J79&gt;=75,"Bueno",J79&gt;=65,"Regular",J79&gt;=55,"Insuficiente")</f>
        <v>Excelente</v>
      </c>
      <c r="L79" s="30" t="str" cm="1">
        <f t="array" ref="L79">_xlfn.IFS(C79&gt;=18,"Excelente",C79&gt;=14,"Muy bueno",C79&gt;=10,"Bueno",C79&gt;=6,"Regular",C79&lt;6,"Insuficiente")</f>
        <v>Excelente</v>
      </c>
      <c r="M79" s="30" t="str" cm="1">
        <f t="array" ref="M79">_xlfn.IFS(D79&gt;=18,"Excelente",D79&gt;=14,"Muy bueno",D79&gt;=10,"Bueno",D79&gt;=6,"Regular",D79&lt;6,"Insuficiente")</f>
        <v>Excelente</v>
      </c>
      <c r="N79" s="30" t="str" cm="1">
        <f t="array" ref="N79">_xlfn.IFS(E79&gt;=18,"Excelente",E79&gt;=14,"Muy bueno",E79&gt;=10,"Bueno",E79&gt;=6,"Regular",E79&lt;6,"Insuficiente")</f>
        <v>Excelente</v>
      </c>
      <c r="O79" s="30" t="str" cm="1">
        <f t="array" ref="O79">_xlfn.IFS(F79&gt;=9,"Excelente",F79&gt;=7,"Muy bueno",F79&gt;=5,"Bueno",F79&gt;=3,"Regular",F79&lt;3,"Insuficiente")</f>
        <v>Excelente</v>
      </c>
      <c r="P79" s="30" t="str" cm="1">
        <f t="array" ref="P79">_xlfn.IFS(G79&gt;=9,"Excelente",G79&gt;=7,"Muy bueno",G79&gt;=5,"Bueno",G79&gt;=3,"Regular",G79&lt;3,"Insuficiente")</f>
        <v>Excelente</v>
      </c>
      <c r="Q79" s="30" t="str" cm="1">
        <f t="array" ref="Q79">_xlfn.IFS(H79&gt;=9,"Excelente",H79&gt;=7,"Muy bueno",H79&gt;=5,"Bueno",H79&gt;=3,"Regular",H79&lt;3,"Insuficiente")</f>
        <v>Excelente</v>
      </c>
      <c r="R79" s="30" t="str" cm="1">
        <f t="array" ref="R79">_xlfn.IFS(I79&gt;=9,"Excelente",I79&gt;=7,"Muy bueno",I79&gt;=5,"Bueno",I79&gt;=3,"Regular",I79&lt;3,"Insuficiente")</f>
        <v>Excelente</v>
      </c>
    </row>
    <row r="80" spans="1:18">
      <c r="A80" t="s">
        <v>130</v>
      </c>
      <c r="B80" s="16">
        <v>3</v>
      </c>
      <c r="C80" s="16">
        <v>18.666666666666668</v>
      </c>
      <c r="D80" s="16">
        <v>20</v>
      </c>
      <c r="E80" s="16">
        <v>18.666666666666668</v>
      </c>
      <c r="F80" s="16">
        <v>9.3333333333333339</v>
      </c>
      <c r="G80" s="16">
        <v>8.6666666666666661</v>
      </c>
      <c r="H80" s="16">
        <v>8.6666666666666661</v>
      </c>
      <c r="I80" s="16">
        <v>8.6666666666666661</v>
      </c>
      <c r="J80" s="28">
        <f t="shared" si="1"/>
        <v>92.666666666666686</v>
      </c>
      <c r="K80" s="29" t="str" cm="1">
        <f t="array" ref="K80">_xlfn.IFS(J80&gt;=90,"Excelente",J80&gt;=80,"Muy Bueno",J80&gt;=75,"Bueno",J80&gt;=65,"Regular",J80&gt;=55,"Insuficiente")</f>
        <v>Excelente</v>
      </c>
      <c r="L80" s="30" t="str" cm="1">
        <f t="array" ref="L80">_xlfn.IFS(C80&gt;=18,"Excelente",C80&gt;=14,"Muy bueno",C80&gt;=10,"Bueno",C80&gt;=6,"Regular",C80&lt;6,"Insuficiente")</f>
        <v>Excelente</v>
      </c>
      <c r="M80" s="30" t="str" cm="1">
        <f t="array" ref="M80">_xlfn.IFS(D80&gt;=18,"Excelente",D80&gt;=14,"Muy bueno",D80&gt;=10,"Bueno",D80&gt;=6,"Regular",D80&lt;6,"Insuficiente")</f>
        <v>Excelente</v>
      </c>
      <c r="N80" s="30" t="str" cm="1">
        <f t="array" ref="N80">_xlfn.IFS(E80&gt;=18,"Excelente",E80&gt;=14,"Muy bueno",E80&gt;=10,"Bueno",E80&gt;=6,"Regular",E80&lt;6,"Insuficiente")</f>
        <v>Excelente</v>
      </c>
      <c r="O80" s="30" t="str" cm="1">
        <f t="array" ref="O80">_xlfn.IFS(F80&gt;=9,"Excelente",F80&gt;=7,"Muy bueno",F80&gt;=5,"Bueno",F80&gt;=3,"Regular",F80&lt;3,"Insuficiente")</f>
        <v>Excelente</v>
      </c>
      <c r="P80" s="30" t="str" cm="1">
        <f t="array" ref="P80">_xlfn.IFS(G80&gt;=9,"Excelente",G80&gt;=7,"Muy bueno",G80&gt;=5,"Bueno",G80&gt;=3,"Regular",G80&lt;3,"Insuficiente")</f>
        <v>Muy bueno</v>
      </c>
      <c r="Q80" s="30" t="str" cm="1">
        <f t="array" ref="Q80">_xlfn.IFS(H80&gt;=9,"Excelente",H80&gt;=7,"Muy bueno",H80&gt;=5,"Bueno",H80&gt;=3,"Regular",H80&lt;3,"Insuficiente")</f>
        <v>Muy bueno</v>
      </c>
      <c r="R80" s="30" t="str" cm="1">
        <f t="array" ref="R80">_xlfn.IFS(I80&gt;=9,"Excelente",I80&gt;=7,"Muy bueno",I80&gt;=5,"Bueno",I80&gt;=3,"Regular",I80&lt;3,"Insuficiente")</f>
        <v>Muy bueno</v>
      </c>
    </row>
    <row r="81" spans="1:18">
      <c r="A81" t="s">
        <v>145</v>
      </c>
      <c r="B81" s="16">
        <v>3</v>
      </c>
      <c r="C81" s="16">
        <v>20</v>
      </c>
      <c r="D81" s="16">
        <v>20</v>
      </c>
      <c r="E81" s="16">
        <v>20</v>
      </c>
      <c r="F81" s="16">
        <v>10</v>
      </c>
      <c r="G81" s="16">
        <v>8.6666666666666661</v>
      </c>
      <c r="H81" s="16">
        <v>10</v>
      </c>
      <c r="I81" s="16">
        <v>9.3333333333333339</v>
      </c>
      <c r="J81" s="28">
        <f t="shared" si="1"/>
        <v>98</v>
      </c>
      <c r="K81" s="29" t="str" cm="1">
        <f t="array" ref="K81">_xlfn.IFS(J81&gt;=90,"Excelente",J81&gt;=80,"Muy Bueno",J81&gt;=75,"Bueno",J81&gt;=65,"Regular",J81&gt;=55,"Insuficiente")</f>
        <v>Excelente</v>
      </c>
      <c r="L81" s="30" t="str" cm="1">
        <f t="array" ref="L81">_xlfn.IFS(C81&gt;=18,"Excelente",C81&gt;=14,"Muy bueno",C81&gt;=10,"Bueno",C81&gt;=6,"Regular",C81&lt;6,"Insuficiente")</f>
        <v>Excelente</v>
      </c>
      <c r="M81" s="30" t="str" cm="1">
        <f t="array" ref="M81">_xlfn.IFS(D81&gt;=18,"Excelente",D81&gt;=14,"Muy bueno",D81&gt;=10,"Bueno",D81&gt;=6,"Regular",D81&lt;6,"Insuficiente")</f>
        <v>Excelente</v>
      </c>
      <c r="N81" s="30" t="str" cm="1">
        <f t="array" ref="N81">_xlfn.IFS(E81&gt;=18,"Excelente",E81&gt;=14,"Muy bueno",E81&gt;=10,"Bueno",E81&gt;=6,"Regular",E81&lt;6,"Insuficiente")</f>
        <v>Excelente</v>
      </c>
      <c r="O81" s="30" t="str" cm="1">
        <f t="array" ref="O81">_xlfn.IFS(F81&gt;=9,"Excelente",F81&gt;=7,"Muy bueno",F81&gt;=5,"Bueno",F81&gt;=3,"Regular",F81&lt;3,"Insuficiente")</f>
        <v>Excelente</v>
      </c>
      <c r="P81" s="30" t="str" cm="1">
        <f t="array" ref="P81">_xlfn.IFS(G81&gt;=9,"Excelente",G81&gt;=7,"Muy bueno",G81&gt;=5,"Bueno",G81&gt;=3,"Regular",G81&lt;3,"Insuficiente")</f>
        <v>Muy bueno</v>
      </c>
      <c r="Q81" s="30" t="str" cm="1">
        <f t="array" ref="Q81">_xlfn.IFS(H81&gt;=9,"Excelente",H81&gt;=7,"Muy bueno",H81&gt;=5,"Bueno",H81&gt;=3,"Regular",H81&lt;3,"Insuficiente")</f>
        <v>Excelente</v>
      </c>
      <c r="R81" s="30" t="str" cm="1">
        <f t="array" ref="R81">_xlfn.IFS(I81&gt;=9,"Excelente",I81&gt;=7,"Muy bueno",I81&gt;=5,"Bueno",I81&gt;=3,"Regular",I81&lt;3,"Insuficiente")</f>
        <v>Excelente</v>
      </c>
    </row>
    <row r="82" spans="1:18">
      <c r="A82" t="s">
        <v>314</v>
      </c>
      <c r="B82" s="16">
        <v>3</v>
      </c>
      <c r="C82" s="16">
        <v>20</v>
      </c>
      <c r="D82" s="16">
        <v>20</v>
      </c>
      <c r="E82" s="16">
        <v>20</v>
      </c>
      <c r="F82" s="16">
        <v>10</v>
      </c>
      <c r="G82" s="16">
        <v>10</v>
      </c>
      <c r="H82" s="16">
        <v>10</v>
      </c>
      <c r="I82" s="16">
        <v>10</v>
      </c>
      <c r="J82" s="28">
        <f t="shared" si="1"/>
        <v>100</v>
      </c>
      <c r="K82" s="29" t="str" cm="1">
        <f t="array" ref="K82">_xlfn.IFS(J82&gt;=90,"Excelente",J82&gt;=80,"Muy Bueno",J82&gt;=75,"Bueno",J82&gt;=65,"Regular",J82&gt;=55,"Insuficiente")</f>
        <v>Excelente</v>
      </c>
      <c r="L82" s="30" t="str" cm="1">
        <f t="array" ref="L82">_xlfn.IFS(C82&gt;=18,"Excelente",C82&gt;=14,"Muy bueno",C82&gt;=10,"Bueno",C82&gt;=6,"Regular",C82&lt;6,"Insuficiente")</f>
        <v>Excelente</v>
      </c>
      <c r="M82" s="30" t="str" cm="1">
        <f t="array" ref="M82">_xlfn.IFS(D82&gt;=18,"Excelente",D82&gt;=14,"Muy bueno",D82&gt;=10,"Bueno",D82&gt;=6,"Regular",D82&lt;6,"Insuficiente")</f>
        <v>Excelente</v>
      </c>
      <c r="N82" s="30" t="str" cm="1">
        <f t="array" ref="N82">_xlfn.IFS(E82&gt;=18,"Excelente",E82&gt;=14,"Muy bueno",E82&gt;=10,"Bueno",E82&gt;=6,"Regular",E82&lt;6,"Insuficiente")</f>
        <v>Excelente</v>
      </c>
      <c r="O82" s="30" t="str" cm="1">
        <f t="array" ref="O82">_xlfn.IFS(F82&gt;=9,"Excelente",F82&gt;=7,"Muy bueno",F82&gt;=5,"Bueno",F82&gt;=3,"Regular",F82&lt;3,"Insuficiente")</f>
        <v>Excelente</v>
      </c>
      <c r="P82" s="30" t="str" cm="1">
        <f t="array" ref="P82">_xlfn.IFS(G82&gt;=9,"Excelente",G82&gt;=7,"Muy bueno",G82&gt;=5,"Bueno",G82&gt;=3,"Regular",G82&lt;3,"Insuficiente")</f>
        <v>Excelente</v>
      </c>
      <c r="Q82" s="30" t="str" cm="1">
        <f t="array" ref="Q82">_xlfn.IFS(H82&gt;=9,"Excelente",H82&gt;=7,"Muy bueno",H82&gt;=5,"Bueno",H82&gt;=3,"Regular",H82&lt;3,"Insuficiente")</f>
        <v>Excelente</v>
      </c>
      <c r="R82" s="30" t="str" cm="1">
        <f t="array" ref="R82">_xlfn.IFS(I82&gt;=9,"Excelente",I82&gt;=7,"Muy bueno",I82&gt;=5,"Bueno",I82&gt;=3,"Regular",I82&lt;3,"Insuficiente")</f>
        <v>Excelente</v>
      </c>
    </row>
    <row r="83" spans="1:18">
      <c r="A83" t="s">
        <v>330</v>
      </c>
      <c r="B83" s="16">
        <v>3</v>
      </c>
      <c r="C83" s="16">
        <v>20</v>
      </c>
      <c r="D83" s="16">
        <v>18.666666666666668</v>
      </c>
      <c r="E83" s="16">
        <v>18.666666666666668</v>
      </c>
      <c r="F83" s="16">
        <v>10</v>
      </c>
      <c r="G83" s="16">
        <v>10</v>
      </c>
      <c r="H83" s="16">
        <v>8.6666666666666661</v>
      </c>
      <c r="I83" s="16">
        <v>10</v>
      </c>
      <c r="J83" s="28">
        <f t="shared" si="1"/>
        <v>96.000000000000014</v>
      </c>
      <c r="K83" s="29" t="str" cm="1">
        <f t="array" ref="K83">_xlfn.IFS(J83&gt;=90,"Excelente",J83&gt;=80,"Muy Bueno",J83&gt;=75,"Bueno",J83&gt;=65,"Regular",J83&gt;=55,"Insuficiente")</f>
        <v>Excelente</v>
      </c>
      <c r="L83" s="30" t="str" cm="1">
        <f t="array" ref="L83">_xlfn.IFS(C83&gt;=18,"Excelente",C83&gt;=14,"Muy bueno",C83&gt;=10,"Bueno",C83&gt;=6,"Regular",C83&lt;6,"Insuficiente")</f>
        <v>Excelente</v>
      </c>
      <c r="M83" s="30" t="str" cm="1">
        <f t="array" ref="M83">_xlfn.IFS(D83&gt;=18,"Excelente",D83&gt;=14,"Muy bueno",D83&gt;=10,"Bueno",D83&gt;=6,"Regular",D83&lt;6,"Insuficiente")</f>
        <v>Excelente</v>
      </c>
      <c r="N83" s="30" t="str" cm="1">
        <f t="array" ref="N83">_xlfn.IFS(E83&gt;=18,"Excelente",E83&gt;=14,"Muy bueno",E83&gt;=10,"Bueno",E83&gt;=6,"Regular",E83&lt;6,"Insuficiente")</f>
        <v>Excelente</v>
      </c>
      <c r="O83" s="30" t="str" cm="1">
        <f t="array" ref="O83">_xlfn.IFS(F83&gt;=9,"Excelente",F83&gt;=7,"Muy bueno",F83&gt;=5,"Bueno",F83&gt;=3,"Regular",F83&lt;3,"Insuficiente")</f>
        <v>Excelente</v>
      </c>
      <c r="P83" s="30" t="str" cm="1">
        <f t="array" ref="P83">_xlfn.IFS(G83&gt;=9,"Excelente",G83&gt;=7,"Muy bueno",G83&gt;=5,"Bueno",G83&gt;=3,"Regular",G83&lt;3,"Insuficiente")</f>
        <v>Excelente</v>
      </c>
      <c r="Q83" s="30" t="str" cm="1">
        <f t="array" ref="Q83">_xlfn.IFS(H83&gt;=9,"Excelente",H83&gt;=7,"Muy bueno",H83&gt;=5,"Bueno",H83&gt;=3,"Regular",H83&lt;3,"Insuficiente")</f>
        <v>Muy bueno</v>
      </c>
      <c r="R83" s="30" t="str" cm="1">
        <f t="array" ref="R83">_xlfn.IFS(I83&gt;=9,"Excelente",I83&gt;=7,"Muy bueno",I83&gt;=5,"Bueno",I83&gt;=3,"Regular",I83&lt;3,"Insuficiente")</f>
        <v>Excelente</v>
      </c>
    </row>
    <row r="84" spans="1:18">
      <c r="A84" t="s">
        <v>254</v>
      </c>
      <c r="B84" s="16">
        <v>3</v>
      </c>
      <c r="C84" s="16">
        <v>18.666666666666668</v>
      </c>
      <c r="D84" s="16">
        <v>20</v>
      </c>
      <c r="E84" s="16">
        <v>20</v>
      </c>
      <c r="F84" s="16">
        <v>10</v>
      </c>
      <c r="G84" s="16">
        <v>9.3333333333333339</v>
      </c>
      <c r="H84" s="16">
        <v>9.3333333333333339</v>
      </c>
      <c r="I84" s="16">
        <v>9.3333333333333339</v>
      </c>
      <c r="J84" s="28">
        <f t="shared" si="1"/>
        <v>96.666666666666657</v>
      </c>
      <c r="K84" s="29" t="str" cm="1">
        <f t="array" ref="K84">_xlfn.IFS(J84&gt;=90,"Excelente",J84&gt;=80,"Muy Bueno",J84&gt;=75,"Bueno",J84&gt;=65,"Regular",J84&gt;=55,"Insuficiente")</f>
        <v>Excelente</v>
      </c>
      <c r="L84" s="30" t="str" cm="1">
        <f t="array" ref="L84">_xlfn.IFS(C84&gt;=18,"Excelente",C84&gt;=14,"Muy bueno",C84&gt;=10,"Bueno",C84&gt;=6,"Regular",C84&lt;6,"Insuficiente")</f>
        <v>Excelente</v>
      </c>
      <c r="M84" s="30" t="str" cm="1">
        <f t="array" ref="M84">_xlfn.IFS(D84&gt;=18,"Excelente",D84&gt;=14,"Muy bueno",D84&gt;=10,"Bueno",D84&gt;=6,"Regular",D84&lt;6,"Insuficiente")</f>
        <v>Excelente</v>
      </c>
      <c r="N84" s="30" t="str" cm="1">
        <f t="array" ref="N84">_xlfn.IFS(E84&gt;=18,"Excelente",E84&gt;=14,"Muy bueno",E84&gt;=10,"Bueno",E84&gt;=6,"Regular",E84&lt;6,"Insuficiente")</f>
        <v>Excelente</v>
      </c>
      <c r="O84" s="30" t="str" cm="1">
        <f t="array" ref="O84">_xlfn.IFS(F84&gt;=9,"Excelente",F84&gt;=7,"Muy bueno",F84&gt;=5,"Bueno",F84&gt;=3,"Regular",F84&lt;3,"Insuficiente")</f>
        <v>Excelente</v>
      </c>
      <c r="P84" s="30" t="str" cm="1">
        <f t="array" ref="P84">_xlfn.IFS(G84&gt;=9,"Excelente",G84&gt;=7,"Muy bueno",G84&gt;=5,"Bueno",G84&gt;=3,"Regular",G84&lt;3,"Insuficiente")</f>
        <v>Excelente</v>
      </c>
      <c r="Q84" s="30" t="str" cm="1">
        <f t="array" ref="Q84">_xlfn.IFS(H84&gt;=9,"Excelente",H84&gt;=7,"Muy bueno",H84&gt;=5,"Bueno",H84&gt;=3,"Regular",H84&lt;3,"Insuficiente")</f>
        <v>Excelente</v>
      </c>
      <c r="R84" s="30" t="str" cm="1">
        <f t="array" ref="R84">_xlfn.IFS(I84&gt;=9,"Excelente",I84&gt;=7,"Muy bueno",I84&gt;=5,"Bueno",I84&gt;=3,"Regular",I84&lt;3,"Insuficiente")</f>
        <v>Excelente</v>
      </c>
    </row>
    <row r="85" spans="1:18">
      <c r="A85" t="s">
        <v>187</v>
      </c>
      <c r="B85" s="16">
        <v>3</v>
      </c>
      <c r="C85" s="16">
        <v>20</v>
      </c>
      <c r="D85" s="16">
        <v>20</v>
      </c>
      <c r="E85" s="16">
        <v>20</v>
      </c>
      <c r="F85" s="16">
        <v>10</v>
      </c>
      <c r="G85" s="16">
        <v>10</v>
      </c>
      <c r="H85" s="16">
        <v>10</v>
      </c>
      <c r="I85" s="16">
        <v>10</v>
      </c>
      <c r="J85" s="28">
        <f t="shared" si="1"/>
        <v>100</v>
      </c>
      <c r="K85" s="29" t="str" cm="1">
        <f t="array" ref="K85">_xlfn.IFS(J85&gt;=90,"Excelente",J85&gt;=80,"Muy Bueno",J85&gt;=75,"Bueno",J85&gt;=65,"Regular",J85&gt;=55,"Insuficiente")</f>
        <v>Excelente</v>
      </c>
      <c r="L85" s="30" t="str" cm="1">
        <f t="array" ref="L85">_xlfn.IFS(C85&gt;=18,"Excelente",C85&gt;=14,"Muy bueno",C85&gt;=10,"Bueno",C85&gt;=6,"Regular",C85&lt;6,"Insuficiente")</f>
        <v>Excelente</v>
      </c>
      <c r="M85" s="30" t="str" cm="1">
        <f t="array" ref="M85">_xlfn.IFS(D85&gt;=18,"Excelente",D85&gt;=14,"Muy bueno",D85&gt;=10,"Bueno",D85&gt;=6,"Regular",D85&lt;6,"Insuficiente")</f>
        <v>Excelente</v>
      </c>
      <c r="N85" s="30" t="str" cm="1">
        <f t="array" ref="N85">_xlfn.IFS(E85&gt;=18,"Excelente",E85&gt;=14,"Muy bueno",E85&gt;=10,"Bueno",E85&gt;=6,"Regular",E85&lt;6,"Insuficiente")</f>
        <v>Excelente</v>
      </c>
      <c r="O85" s="30" t="str" cm="1">
        <f t="array" ref="O85">_xlfn.IFS(F85&gt;=9,"Excelente",F85&gt;=7,"Muy bueno",F85&gt;=5,"Bueno",F85&gt;=3,"Regular",F85&lt;3,"Insuficiente")</f>
        <v>Excelente</v>
      </c>
      <c r="P85" s="30" t="str" cm="1">
        <f t="array" ref="P85">_xlfn.IFS(G85&gt;=9,"Excelente",G85&gt;=7,"Muy bueno",G85&gt;=5,"Bueno",G85&gt;=3,"Regular",G85&lt;3,"Insuficiente")</f>
        <v>Excelente</v>
      </c>
      <c r="Q85" s="30" t="str" cm="1">
        <f t="array" ref="Q85">_xlfn.IFS(H85&gt;=9,"Excelente",H85&gt;=7,"Muy bueno",H85&gt;=5,"Bueno",H85&gt;=3,"Regular",H85&lt;3,"Insuficiente")</f>
        <v>Excelente</v>
      </c>
      <c r="R85" s="30" t="str" cm="1">
        <f t="array" ref="R85">_xlfn.IFS(I85&gt;=9,"Excelente",I85&gt;=7,"Muy bueno",I85&gt;=5,"Bueno",I85&gt;=3,"Regular",I85&lt;3,"Insuficiente")</f>
        <v>Excelente</v>
      </c>
    </row>
    <row r="86" spans="1:18">
      <c r="A86" t="s">
        <v>274</v>
      </c>
      <c r="B86" s="16">
        <v>3</v>
      </c>
      <c r="C86" s="16">
        <v>20</v>
      </c>
      <c r="D86" s="16">
        <v>18.666666666666668</v>
      </c>
      <c r="E86" s="16">
        <v>20</v>
      </c>
      <c r="F86" s="16">
        <v>10</v>
      </c>
      <c r="G86" s="16">
        <v>10</v>
      </c>
      <c r="H86" s="16">
        <v>9.3333333333333339</v>
      </c>
      <c r="I86" s="16">
        <v>9.3333333333333339</v>
      </c>
      <c r="J86" s="28">
        <f t="shared" si="1"/>
        <v>97.333333333333329</v>
      </c>
      <c r="K86" s="29" t="str" cm="1">
        <f t="array" ref="K86">_xlfn.IFS(J86&gt;=90,"Excelente",J86&gt;=80,"Muy Bueno",J86&gt;=75,"Bueno",J86&gt;=65,"Regular",J86&gt;=55,"Insuficiente")</f>
        <v>Excelente</v>
      </c>
      <c r="L86" s="30" t="str" cm="1">
        <f t="array" ref="L86">_xlfn.IFS(C86&gt;=18,"Excelente",C86&gt;=14,"Muy bueno",C86&gt;=10,"Bueno",C86&gt;=6,"Regular",C86&lt;6,"Insuficiente")</f>
        <v>Excelente</v>
      </c>
      <c r="M86" s="30" t="str" cm="1">
        <f t="array" ref="M86">_xlfn.IFS(D86&gt;=18,"Excelente",D86&gt;=14,"Muy bueno",D86&gt;=10,"Bueno",D86&gt;=6,"Regular",D86&lt;6,"Insuficiente")</f>
        <v>Excelente</v>
      </c>
      <c r="N86" s="30" t="str" cm="1">
        <f t="array" ref="N86">_xlfn.IFS(E86&gt;=18,"Excelente",E86&gt;=14,"Muy bueno",E86&gt;=10,"Bueno",E86&gt;=6,"Regular",E86&lt;6,"Insuficiente")</f>
        <v>Excelente</v>
      </c>
      <c r="O86" s="30" t="str" cm="1">
        <f t="array" ref="O86">_xlfn.IFS(F86&gt;=9,"Excelente",F86&gt;=7,"Muy bueno",F86&gt;=5,"Bueno",F86&gt;=3,"Regular",F86&lt;3,"Insuficiente")</f>
        <v>Excelente</v>
      </c>
      <c r="P86" s="30" t="str" cm="1">
        <f t="array" ref="P86">_xlfn.IFS(G86&gt;=9,"Excelente",G86&gt;=7,"Muy bueno",G86&gt;=5,"Bueno",G86&gt;=3,"Regular",G86&lt;3,"Insuficiente")</f>
        <v>Excelente</v>
      </c>
      <c r="Q86" s="30" t="str" cm="1">
        <f t="array" ref="Q86">_xlfn.IFS(H86&gt;=9,"Excelente",H86&gt;=7,"Muy bueno",H86&gt;=5,"Bueno",H86&gt;=3,"Regular",H86&lt;3,"Insuficiente")</f>
        <v>Excelente</v>
      </c>
      <c r="R86" s="30" t="str" cm="1">
        <f t="array" ref="R86">_xlfn.IFS(I86&gt;=9,"Excelente",I86&gt;=7,"Muy bueno",I86&gt;=5,"Bueno",I86&gt;=3,"Regular",I86&lt;3,"Insuficiente")</f>
        <v>Excelente</v>
      </c>
    </row>
    <row r="87" spans="1:18">
      <c r="A87" t="s">
        <v>165</v>
      </c>
      <c r="B87" s="16">
        <v>3</v>
      </c>
      <c r="C87" s="16">
        <v>20</v>
      </c>
      <c r="D87" s="16">
        <v>20</v>
      </c>
      <c r="E87" s="16">
        <v>18.666666666666668</v>
      </c>
      <c r="F87" s="16">
        <v>9.3333333333333339</v>
      </c>
      <c r="G87" s="16">
        <v>9.3333333333333339</v>
      </c>
      <c r="H87" s="16">
        <v>9.3333333333333339</v>
      </c>
      <c r="I87" s="16">
        <v>9.3333333333333339</v>
      </c>
      <c r="J87" s="28">
        <f t="shared" si="1"/>
        <v>95.999999999999986</v>
      </c>
      <c r="K87" s="29" t="str" cm="1">
        <f t="array" ref="K87">_xlfn.IFS(J87&gt;=90,"Excelente",J87&gt;=80,"Muy Bueno",J87&gt;=75,"Bueno",J87&gt;=65,"Regular",J87&gt;=55,"Insuficiente")</f>
        <v>Excelente</v>
      </c>
      <c r="L87" s="30" t="str" cm="1">
        <f t="array" ref="L87">_xlfn.IFS(C87&gt;=18,"Excelente",C87&gt;=14,"Muy bueno",C87&gt;=10,"Bueno",C87&gt;=6,"Regular",C87&lt;6,"Insuficiente")</f>
        <v>Excelente</v>
      </c>
      <c r="M87" s="30" t="str" cm="1">
        <f t="array" ref="M87">_xlfn.IFS(D87&gt;=18,"Excelente",D87&gt;=14,"Muy bueno",D87&gt;=10,"Bueno",D87&gt;=6,"Regular",D87&lt;6,"Insuficiente")</f>
        <v>Excelente</v>
      </c>
      <c r="N87" s="30" t="str" cm="1">
        <f t="array" ref="N87">_xlfn.IFS(E87&gt;=18,"Excelente",E87&gt;=14,"Muy bueno",E87&gt;=10,"Bueno",E87&gt;=6,"Regular",E87&lt;6,"Insuficiente")</f>
        <v>Excelente</v>
      </c>
      <c r="O87" s="30" t="str" cm="1">
        <f t="array" ref="O87">_xlfn.IFS(F87&gt;=9,"Excelente",F87&gt;=7,"Muy bueno",F87&gt;=5,"Bueno",F87&gt;=3,"Regular",F87&lt;3,"Insuficiente")</f>
        <v>Excelente</v>
      </c>
      <c r="P87" s="30" t="str" cm="1">
        <f t="array" ref="P87">_xlfn.IFS(G87&gt;=9,"Excelente",G87&gt;=7,"Muy bueno",G87&gt;=5,"Bueno",G87&gt;=3,"Regular",G87&lt;3,"Insuficiente")</f>
        <v>Excelente</v>
      </c>
      <c r="Q87" s="30" t="str" cm="1">
        <f t="array" ref="Q87">_xlfn.IFS(H87&gt;=9,"Excelente",H87&gt;=7,"Muy bueno",H87&gt;=5,"Bueno",H87&gt;=3,"Regular",H87&lt;3,"Insuficiente")</f>
        <v>Excelente</v>
      </c>
      <c r="R87" s="30" t="str" cm="1">
        <f t="array" ref="R87">_xlfn.IFS(I87&gt;=9,"Excelente",I87&gt;=7,"Muy bueno",I87&gt;=5,"Bueno",I87&gt;=3,"Regular",I87&lt;3,"Insuficiente")</f>
        <v>Excelente</v>
      </c>
    </row>
    <row r="88" spans="1:18">
      <c r="A88" t="s">
        <v>231</v>
      </c>
      <c r="B88" s="16">
        <v>3</v>
      </c>
      <c r="C88" s="16">
        <v>20</v>
      </c>
      <c r="D88" s="16">
        <v>20</v>
      </c>
      <c r="E88" s="16">
        <v>20</v>
      </c>
      <c r="F88" s="16">
        <v>10</v>
      </c>
      <c r="G88" s="16">
        <v>10</v>
      </c>
      <c r="H88" s="16">
        <v>10</v>
      </c>
      <c r="I88" s="16">
        <v>10</v>
      </c>
      <c r="J88" s="28">
        <f t="shared" si="1"/>
        <v>100</v>
      </c>
      <c r="K88" s="29" t="str" cm="1">
        <f t="array" ref="K88">_xlfn.IFS(J88&gt;=90,"Excelente",J88&gt;=80,"Muy Bueno",J88&gt;=75,"Bueno",J88&gt;=65,"Regular",J88&gt;=55,"Insuficiente")</f>
        <v>Excelente</v>
      </c>
      <c r="L88" s="30" t="str" cm="1">
        <f t="array" ref="L88">_xlfn.IFS(C88&gt;=18,"Excelente",C88&gt;=14,"Muy bueno",C88&gt;=10,"Bueno",C88&gt;=6,"Regular",C88&lt;6,"Insuficiente")</f>
        <v>Excelente</v>
      </c>
      <c r="M88" s="30" t="str" cm="1">
        <f t="array" ref="M88">_xlfn.IFS(D88&gt;=18,"Excelente",D88&gt;=14,"Muy bueno",D88&gt;=10,"Bueno",D88&gt;=6,"Regular",D88&lt;6,"Insuficiente")</f>
        <v>Excelente</v>
      </c>
      <c r="N88" s="30" t="str" cm="1">
        <f t="array" ref="N88">_xlfn.IFS(E88&gt;=18,"Excelente",E88&gt;=14,"Muy bueno",E88&gt;=10,"Bueno",E88&gt;=6,"Regular",E88&lt;6,"Insuficiente")</f>
        <v>Excelente</v>
      </c>
      <c r="O88" s="30" t="str" cm="1">
        <f t="array" ref="O88">_xlfn.IFS(F88&gt;=9,"Excelente",F88&gt;=7,"Muy bueno",F88&gt;=5,"Bueno",F88&gt;=3,"Regular",F88&lt;3,"Insuficiente")</f>
        <v>Excelente</v>
      </c>
      <c r="P88" s="30" t="str" cm="1">
        <f t="array" ref="P88">_xlfn.IFS(G88&gt;=9,"Excelente",G88&gt;=7,"Muy bueno",G88&gt;=5,"Bueno",G88&gt;=3,"Regular",G88&lt;3,"Insuficiente")</f>
        <v>Excelente</v>
      </c>
      <c r="Q88" s="30" t="str" cm="1">
        <f t="array" ref="Q88">_xlfn.IFS(H88&gt;=9,"Excelente",H88&gt;=7,"Muy bueno",H88&gt;=5,"Bueno",H88&gt;=3,"Regular",H88&lt;3,"Insuficiente")</f>
        <v>Excelente</v>
      </c>
      <c r="R88" s="30" t="str" cm="1">
        <f t="array" ref="R88">_xlfn.IFS(I88&gt;=9,"Excelente",I88&gt;=7,"Muy bueno",I88&gt;=5,"Bueno",I88&gt;=3,"Regular",I88&lt;3,"Insuficiente")</f>
        <v>Excelente</v>
      </c>
    </row>
    <row r="89" spans="1:18">
      <c r="A89" t="s">
        <v>249</v>
      </c>
      <c r="B89" s="16">
        <v>3</v>
      </c>
      <c r="C89" s="16">
        <v>20</v>
      </c>
      <c r="D89" s="16">
        <v>20</v>
      </c>
      <c r="E89" s="16">
        <v>20</v>
      </c>
      <c r="F89" s="16">
        <v>10</v>
      </c>
      <c r="G89" s="16">
        <v>10</v>
      </c>
      <c r="H89" s="16">
        <v>8.6666666666666661</v>
      </c>
      <c r="I89" s="16">
        <v>10</v>
      </c>
      <c r="J89" s="28">
        <f t="shared" si="1"/>
        <v>98.666666666666671</v>
      </c>
      <c r="K89" s="29" t="str" cm="1">
        <f t="array" ref="K89">_xlfn.IFS(J89&gt;=90,"Excelente",J89&gt;=80,"Muy Bueno",J89&gt;=75,"Bueno",J89&gt;=65,"Regular",J89&gt;=55,"Insuficiente")</f>
        <v>Excelente</v>
      </c>
      <c r="L89" s="30" t="str" cm="1">
        <f t="array" ref="L89">_xlfn.IFS(C89&gt;=18,"Excelente",C89&gt;=14,"Muy bueno",C89&gt;=10,"Bueno",C89&gt;=6,"Regular",C89&lt;6,"Insuficiente")</f>
        <v>Excelente</v>
      </c>
      <c r="M89" s="30" t="str" cm="1">
        <f t="array" ref="M89">_xlfn.IFS(D89&gt;=18,"Excelente",D89&gt;=14,"Muy bueno",D89&gt;=10,"Bueno",D89&gt;=6,"Regular",D89&lt;6,"Insuficiente")</f>
        <v>Excelente</v>
      </c>
      <c r="N89" s="30" t="str" cm="1">
        <f t="array" ref="N89">_xlfn.IFS(E89&gt;=18,"Excelente",E89&gt;=14,"Muy bueno",E89&gt;=10,"Bueno",E89&gt;=6,"Regular",E89&lt;6,"Insuficiente")</f>
        <v>Excelente</v>
      </c>
      <c r="O89" s="30" t="str" cm="1">
        <f t="array" ref="O89">_xlfn.IFS(F89&gt;=9,"Excelente",F89&gt;=7,"Muy bueno",F89&gt;=5,"Bueno",F89&gt;=3,"Regular",F89&lt;3,"Insuficiente")</f>
        <v>Excelente</v>
      </c>
      <c r="P89" s="30" t="str" cm="1">
        <f t="array" ref="P89">_xlfn.IFS(G89&gt;=9,"Excelente",G89&gt;=7,"Muy bueno",G89&gt;=5,"Bueno",G89&gt;=3,"Regular",G89&lt;3,"Insuficiente")</f>
        <v>Excelente</v>
      </c>
      <c r="Q89" s="30" t="str" cm="1">
        <f t="array" ref="Q89">_xlfn.IFS(H89&gt;=9,"Excelente",H89&gt;=7,"Muy bueno",H89&gt;=5,"Bueno",H89&gt;=3,"Regular",H89&lt;3,"Insuficiente")</f>
        <v>Muy bueno</v>
      </c>
      <c r="R89" s="30" t="str" cm="1">
        <f t="array" ref="R89">_xlfn.IFS(I89&gt;=9,"Excelente",I89&gt;=7,"Muy bueno",I89&gt;=5,"Bueno",I89&gt;=3,"Regular",I89&lt;3,"Insuficiente")</f>
        <v>Excelente</v>
      </c>
    </row>
    <row r="90" spans="1:18">
      <c r="A90" t="s">
        <v>245</v>
      </c>
      <c r="B90" s="16">
        <v>3</v>
      </c>
      <c r="C90" s="16">
        <v>20</v>
      </c>
      <c r="D90" s="16">
        <v>20</v>
      </c>
      <c r="E90" s="16">
        <v>20</v>
      </c>
      <c r="F90" s="16">
        <v>10</v>
      </c>
      <c r="G90" s="16">
        <v>10</v>
      </c>
      <c r="H90" s="16">
        <v>9.3333333333333339</v>
      </c>
      <c r="I90" s="16">
        <v>10</v>
      </c>
      <c r="J90" s="28">
        <f t="shared" si="1"/>
        <v>99.333333333333329</v>
      </c>
      <c r="K90" s="29" t="str" cm="1">
        <f t="array" ref="K90">_xlfn.IFS(J90&gt;=90,"Excelente",J90&gt;=80,"Muy Bueno",J90&gt;=75,"Bueno",J90&gt;=65,"Regular",J90&gt;=55,"Insuficiente")</f>
        <v>Excelente</v>
      </c>
      <c r="L90" s="30" t="str" cm="1">
        <f t="array" ref="L90">_xlfn.IFS(C90&gt;=18,"Excelente",C90&gt;=14,"Muy bueno",C90&gt;=10,"Bueno",C90&gt;=6,"Regular",C90&lt;6,"Insuficiente")</f>
        <v>Excelente</v>
      </c>
      <c r="M90" s="30" t="str" cm="1">
        <f t="array" ref="M90">_xlfn.IFS(D90&gt;=18,"Excelente",D90&gt;=14,"Muy bueno",D90&gt;=10,"Bueno",D90&gt;=6,"Regular",D90&lt;6,"Insuficiente")</f>
        <v>Excelente</v>
      </c>
      <c r="N90" s="30" t="str" cm="1">
        <f t="array" ref="N90">_xlfn.IFS(E90&gt;=18,"Excelente",E90&gt;=14,"Muy bueno",E90&gt;=10,"Bueno",E90&gt;=6,"Regular",E90&lt;6,"Insuficiente")</f>
        <v>Excelente</v>
      </c>
      <c r="O90" s="30" t="str" cm="1">
        <f t="array" ref="O90">_xlfn.IFS(F90&gt;=9,"Excelente",F90&gt;=7,"Muy bueno",F90&gt;=5,"Bueno",F90&gt;=3,"Regular",F90&lt;3,"Insuficiente")</f>
        <v>Excelente</v>
      </c>
      <c r="P90" s="30" t="str" cm="1">
        <f t="array" ref="P90">_xlfn.IFS(G90&gt;=9,"Excelente",G90&gt;=7,"Muy bueno",G90&gt;=5,"Bueno",G90&gt;=3,"Regular",G90&lt;3,"Insuficiente")</f>
        <v>Excelente</v>
      </c>
      <c r="Q90" s="30" t="str" cm="1">
        <f t="array" ref="Q90">_xlfn.IFS(H90&gt;=9,"Excelente",H90&gt;=7,"Muy bueno",H90&gt;=5,"Bueno",H90&gt;=3,"Regular",H90&lt;3,"Insuficiente")</f>
        <v>Excelente</v>
      </c>
      <c r="R90" s="30" t="str" cm="1">
        <f t="array" ref="R90">_xlfn.IFS(I90&gt;=9,"Excelente",I90&gt;=7,"Muy bueno",I90&gt;=5,"Bueno",I90&gt;=3,"Regular",I90&lt;3,"Insuficiente")</f>
        <v>Excelente</v>
      </c>
    </row>
    <row r="91" spans="1:18">
      <c r="A91" t="s">
        <v>223</v>
      </c>
      <c r="B91" s="16">
        <v>3</v>
      </c>
      <c r="C91" s="16">
        <v>20</v>
      </c>
      <c r="D91" s="16">
        <v>20</v>
      </c>
      <c r="E91" s="16">
        <v>20</v>
      </c>
      <c r="F91" s="16">
        <v>10</v>
      </c>
      <c r="G91" s="16">
        <v>9.3333333333333339</v>
      </c>
      <c r="H91" s="16">
        <v>9.3333333333333339</v>
      </c>
      <c r="I91" s="16">
        <v>10</v>
      </c>
      <c r="J91" s="28">
        <f t="shared" si="1"/>
        <v>98.666666666666657</v>
      </c>
      <c r="K91" s="29" t="str" cm="1">
        <f t="array" ref="K91">_xlfn.IFS(J91&gt;=90,"Excelente",J91&gt;=80,"Muy Bueno",J91&gt;=75,"Bueno",J91&gt;=65,"Regular",J91&gt;=55,"Insuficiente")</f>
        <v>Excelente</v>
      </c>
      <c r="L91" s="30" t="str" cm="1">
        <f t="array" ref="L91">_xlfn.IFS(C91&gt;=18,"Excelente",C91&gt;=14,"Muy bueno",C91&gt;=10,"Bueno",C91&gt;=6,"Regular",C91&lt;6,"Insuficiente")</f>
        <v>Excelente</v>
      </c>
      <c r="M91" s="30" t="str" cm="1">
        <f t="array" ref="M91">_xlfn.IFS(D91&gt;=18,"Excelente",D91&gt;=14,"Muy bueno",D91&gt;=10,"Bueno",D91&gt;=6,"Regular",D91&lt;6,"Insuficiente")</f>
        <v>Excelente</v>
      </c>
      <c r="N91" s="30" t="str" cm="1">
        <f t="array" ref="N91">_xlfn.IFS(E91&gt;=18,"Excelente",E91&gt;=14,"Muy bueno",E91&gt;=10,"Bueno",E91&gt;=6,"Regular",E91&lt;6,"Insuficiente")</f>
        <v>Excelente</v>
      </c>
      <c r="O91" s="30" t="str" cm="1">
        <f t="array" ref="O91">_xlfn.IFS(F91&gt;=9,"Excelente",F91&gt;=7,"Muy bueno",F91&gt;=5,"Bueno",F91&gt;=3,"Regular",F91&lt;3,"Insuficiente")</f>
        <v>Excelente</v>
      </c>
      <c r="P91" s="30" t="str" cm="1">
        <f t="array" ref="P91">_xlfn.IFS(G91&gt;=9,"Excelente",G91&gt;=7,"Muy bueno",G91&gt;=5,"Bueno",G91&gt;=3,"Regular",G91&lt;3,"Insuficiente")</f>
        <v>Excelente</v>
      </c>
      <c r="Q91" s="30" t="str" cm="1">
        <f t="array" ref="Q91">_xlfn.IFS(H91&gt;=9,"Excelente",H91&gt;=7,"Muy bueno",H91&gt;=5,"Bueno",H91&gt;=3,"Regular",H91&lt;3,"Insuficiente")</f>
        <v>Excelente</v>
      </c>
      <c r="R91" s="30" t="str" cm="1">
        <f t="array" ref="R91">_xlfn.IFS(I91&gt;=9,"Excelente",I91&gt;=7,"Muy bueno",I91&gt;=5,"Bueno",I91&gt;=3,"Regular",I91&lt;3,"Insuficiente")</f>
        <v>Excelente</v>
      </c>
    </row>
    <row r="92" spans="1:18">
      <c r="A92" t="s">
        <v>263</v>
      </c>
      <c r="B92" s="16">
        <v>3</v>
      </c>
      <c r="C92" s="16">
        <v>18.666666666666668</v>
      </c>
      <c r="D92" s="16">
        <v>17.333333333333332</v>
      </c>
      <c r="E92" s="16">
        <v>17.333333333333332</v>
      </c>
      <c r="F92" s="16">
        <v>8.6666666666666661</v>
      </c>
      <c r="G92" s="16">
        <v>8.6666666666666661</v>
      </c>
      <c r="H92" s="16">
        <v>8</v>
      </c>
      <c r="I92" s="16">
        <v>9.3333333333333339</v>
      </c>
      <c r="J92" s="28">
        <f t="shared" si="1"/>
        <v>87.999999999999986</v>
      </c>
      <c r="K92" s="29" t="str" cm="1">
        <f t="array" ref="K92">_xlfn.IFS(J92&gt;=90,"Excelente",J92&gt;=80,"Muy Bueno",J92&gt;=75,"Bueno",J92&gt;=65,"Regular",J92&gt;=55,"Insuficiente")</f>
        <v>Muy Bueno</v>
      </c>
      <c r="L92" s="30" t="str" cm="1">
        <f t="array" ref="L92">_xlfn.IFS(C92&gt;=18,"Excelente",C92&gt;=14,"Muy bueno",C92&gt;=10,"Bueno",C92&gt;=6,"Regular",C92&lt;6,"Insuficiente")</f>
        <v>Excelente</v>
      </c>
      <c r="M92" s="30" t="str" cm="1">
        <f t="array" ref="M92">_xlfn.IFS(D92&gt;=18,"Excelente",D92&gt;=14,"Muy bueno",D92&gt;=10,"Bueno",D92&gt;=6,"Regular",D92&lt;6,"Insuficiente")</f>
        <v>Muy bueno</v>
      </c>
      <c r="N92" s="30" t="str" cm="1">
        <f t="array" ref="N92">_xlfn.IFS(E92&gt;=18,"Excelente",E92&gt;=14,"Muy bueno",E92&gt;=10,"Bueno",E92&gt;=6,"Regular",E92&lt;6,"Insuficiente")</f>
        <v>Muy bueno</v>
      </c>
      <c r="O92" s="30" t="str" cm="1">
        <f t="array" ref="O92">_xlfn.IFS(F92&gt;=9,"Excelente",F92&gt;=7,"Muy bueno",F92&gt;=5,"Bueno",F92&gt;=3,"Regular",F92&lt;3,"Insuficiente")</f>
        <v>Muy bueno</v>
      </c>
      <c r="P92" s="30" t="str" cm="1">
        <f t="array" ref="P92">_xlfn.IFS(G92&gt;=9,"Excelente",G92&gt;=7,"Muy bueno",G92&gt;=5,"Bueno",G92&gt;=3,"Regular",G92&lt;3,"Insuficiente")</f>
        <v>Muy bueno</v>
      </c>
      <c r="Q92" s="30" t="str" cm="1">
        <f t="array" ref="Q92">_xlfn.IFS(H92&gt;=9,"Excelente",H92&gt;=7,"Muy bueno",H92&gt;=5,"Bueno",H92&gt;=3,"Regular",H92&lt;3,"Insuficiente")</f>
        <v>Muy bueno</v>
      </c>
      <c r="R92" s="30" t="str" cm="1">
        <f t="array" ref="R92">_xlfn.IFS(I92&gt;=9,"Excelente",I92&gt;=7,"Muy bueno",I92&gt;=5,"Bueno",I92&gt;=3,"Regular",I92&lt;3,"Insuficiente")</f>
        <v>Excelente</v>
      </c>
    </row>
    <row r="93" spans="1:18">
      <c r="A93" t="s">
        <v>232</v>
      </c>
      <c r="B93" s="16">
        <v>3</v>
      </c>
      <c r="C93" s="16">
        <v>20</v>
      </c>
      <c r="D93" s="16">
        <v>20</v>
      </c>
      <c r="E93" s="16">
        <v>20</v>
      </c>
      <c r="F93" s="16">
        <v>10</v>
      </c>
      <c r="G93" s="16">
        <v>10</v>
      </c>
      <c r="H93" s="16">
        <v>10</v>
      </c>
      <c r="I93" s="16">
        <v>10</v>
      </c>
      <c r="J93" s="28">
        <f t="shared" si="1"/>
        <v>100</v>
      </c>
      <c r="K93" s="29" t="str" cm="1">
        <f t="array" ref="K93">_xlfn.IFS(J93&gt;=90,"Excelente",J93&gt;=80,"Muy Bueno",J93&gt;=75,"Bueno",J93&gt;=65,"Regular",J93&gt;=55,"Insuficiente")</f>
        <v>Excelente</v>
      </c>
      <c r="L93" s="30" t="str" cm="1">
        <f t="array" ref="L93">_xlfn.IFS(C93&gt;=18,"Excelente",C93&gt;=14,"Muy bueno",C93&gt;=10,"Bueno",C93&gt;=6,"Regular",C93&lt;6,"Insuficiente")</f>
        <v>Excelente</v>
      </c>
      <c r="M93" s="30" t="str" cm="1">
        <f t="array" ref="M93">_xlfn.IFS(D93&gt;=18,"Excelente",D93&gt;=14,"Muy bueno",D93&gt;=10,"Bueno",D93&gt;=6,"Regular",D93&lt;6,"Insuficiente")</f>
        <v>Excelente</v>
      </c>
      <c r="N93" s="30" t="str" cm="1">
        <f t="array" ref="N93">_xlfn.IFS(E93&gt;=18,"Excelente",E93&gt;=14,"Muy bueno",E93&gt;=10,"Bueno",E93&gt;=6,"Regular",E93&lt;6,"Insuficiente")</f>
        <v>Excelente</v>
      </c>
      <c r="O93" s="30" t="str" cm="1">
        <f t="array" ref="O93">_xlfn.IFS(F93&gt;=9,"Excelente",F93&gt;=7,"Muy bueno",F93&gt;=5,"Bueno",F93&gt;=3,"Regular",F93&lt;3,"Insuficiente")</f>
        <v>Excelente</v>
      </c>
      <c r="P93" s="30" t="str" cm="1">
        <f t="array" ref="P93">_xlfn.IFS(G93&gt;=9,"Excelente",G93&gt;=7,"Muy bueno",G93&gt;=5,"Bueno",G93&gt;=3,"Regular",G93&lt;3,"Insuficiente")</f>
        <v>Excelente</v>
      </c>
      <c r="Q93" s="30" t="str" cm="1">
        <f t="array" ref="Q93">_xlfn.IFS(H93&gt;=9,"Excelente",H93&gt;=7,"Muy bueno",H93&gt;=5,"Bueno",H93&gt;=3,"Regular",H93&lt;3,"Insuficiente")</f>
        <v>Excelente</v>
      </c>
      <c r="R93" s="30" t="str" cm="1">
        <f t="array" ref="R93">_xlfn.IFS(I93&gt;=9,"Excelente",I93&gt;=7,"Muy bueno",I93&gt;=5,"Bueno",I93&gt;=3,"Regular",I93&lt;3,"Insuficiente")</f>
        <v>Excelente</v>
      </c>
    </row>
    <row r="94" spans="1:18">
      <c r="A94" t="s">
        <v>140</v>
      </c>
      <c r="B94" s="16">
        <v>3</v>
      </c>
      <c r="C94" s="16">
        <v>18.666666666666668</v>
      </c>
      <c r="D94" s="16">
        <v>18.666666666666668</v>
      </c>
      <c r="E94" s="16">
        <v>18.666666666666668</v>
      </c>
      <c r="F94" s="16">
        <v>10</v>
      </c>
      <c r="G94" s="16">
        <v>9.3333333333333339</v>
      </c>
      <c r="H94" s="16">
        <v>9.3333333333333339</v>
      </c>
      <c r="I94" s="16">
        <v>9.3333333333333339</v>
      </c>
      <c r="J94" s="28">
        <f t="shared" si="1"/>
        <v>93.999999999999986</v>
      </c>
      <c r="K94" s="29" t="str" cm="1">
        <f t="array" ref="K94">_xlfn.IFS(J94&gt;=90,"Excelente",J94&gt;=80,"Muy Bueno",J94&gt;=75,"Bueno",J94&gt;=65,"Regular",J94&gt;=55,"Insuficiente")</f>
        <v>Excelente</v>
      </c>
      <c r="L94" s="30" t="str" cm="1">
        <f t="array" ref="L94">_xlfn.IFS(C94&gt;=18,"Excelente",C94&gt;=14,"Muy bueno",C94&gt;=10,"Bueno",C94&gt;=6,"Regular",C94&lt;6,"Insuficiente")</f>
        <v>Excelente</v>
      </c>
      <c r="M94" s="30" t="str" cm="1">
        <f t="array" ref="M94">_xlfn.IFS(D94&gt;=18,"Excelente",D94&gt;=14,"Muy bueno",D94&gt;=10,"Bueno",D94&gt;=6,"Regular",D94&lt;6,"Insuficiente")</f>
        <v>Excelente</v>
      </c>
      <c r="N94" s="30" t="str" cm="1">
        <f t="array" ref="N94">_xlfn.IFS(E94&gt;=18,"Excelente",E94&gt;=14,"Muy bueno",E94&gt;=10,"Bueno",E94&gt;=6,"Regular",E94&lt;6,"Insuficiente")</f>
        <v>Excelente</v>
      </c>
      <c r="O94" s="30" t="str" cm="1">
        <f t="array" ref="O94">_xlfn.IFS(F94&gt;=9,"Excelente",F94&gt;=7,"Muy bueno",F94&gt;=5,"Bueno",F94&gt;=3,"Regular",F94&lt;3,"Insuficiente")</f>
        <v>Excelente</v>
      </c>
      <c r="P94" s="30" t="str" cm="1">
        <f t="array" ref="P94">_xlfn.IFS(G94&gt;=9,"Excelente",G94&gt;=7,"Muy bueno",G94&gt;=5,"Bueno",G94&gt;=3,"Regular",G94&lt;3,"Insuficiente")</f>
        <v>Excelente</v>
      </c>
      <c r="Q94" s="30" t="str" cm="1">
        <f t="array" ref="Q94">_xlfn.IFS(H94&gt;=9,"Excelente",H94&gt;=7,"Muy bueno",H94&gt;=5,"Bueno",H94&gt;=3,"Regular",H94&lt;3,"Insuficiente")</f>
        <v>Excelente</v>
      </c>
      <c r="R94" s="30" t="str" cm="1">
        <f t="array" ref="R94">_xlfn.IFS(I94&gt;=9,"Excelente",I94&gt;=7,"Muy bueno",I94&gt;=5,"Bueno",I94&gt;=3,"Regular",I94&lt;3,"Insuficiente")</f>
        <v>Excelente</v>
      </c>
    </row>
    <row r="95" spans="1:18">
      <c r="A95" t="s">
        <v>242</v>
      </c>
      <c r="B95" s="16">
        <v>3</v>
      </c>
      <c r="C95" s="16">
        <v>20</v>
      </c>
      <c r="D95" s="16">
        <v>20</v>
      </c>
      <c r="E95" s="16">
        <v>20</v>
      </c>
      <c r="F95" s="16">
        <v>9.3333333333333339</v>
      </c>
      <c r="G95" s="16">
        <v>10</v>
      </c>
      <c r="H95" s="16">
        <v>9.3333333333333339</v>
      </c>
      <c r="I95" s="16">
        <v>10</v>
      </c>
      <c r="J95" s="28">
        <f t="shared" si="1"/>
        <v>98.666666666666657</v>
      </c>
      <c r="K95" s="29" t="str" cm="1">
        <f t="array" ref="K95">_xlfn.IFS(J95&gt;=90,"Excelente",J95&gt;=80,"Muy Bueno",J95&gt;=75,"Bueno",J95&gt;=65,"Regular",J95&gt;=55,"Insuficiente")</f>
        <v>Excelente</v>
      </c>
      <c r="L95" s="30" t="str" cm="1">
        <f t="array" ref="L95">_xlfn.IFS(C95&gt;=18,"Excelente",C95&gt;=14,"Muy bueno",C95&gt;=10,"Bueno",C95&gt;=6,"Regular",C95&lt;6,"Insuficiente")</f>
        <v>Excelente</v>
      </c>
      <c r="M95" s="30" t="str" cm="1">
        <f t="array" ref="M95">_xlfn.IFS(D95&gt;=18,"Excelente",D95&gt;=14,"Muy bueno",D95&gt;=10,"Bueno",D95&gt;=6,"Regular",D95&lt;6,"Insuficiente")</f>
        <v>Excelente</v>
      </c>
      <c r="N95" s="30" t="str" cm="1">
        <f t="array" ref="N95">_xlfn.IFS(E95&gt;=18,"Excelente",E95&gt;=14,"Muy bueno",E95&gt;=10,"Bueno",E95&gt;=6,"Regular",E95&lt;6,"Insuficiente")</f>
        <v>Excelente</v>
      </c>
      <c r="O95" s="30" t="str" cm="1">
        <f t="array" ref="O95">_xlfn.IFS(F95&gt;=9,"Excelente",F95&gt;=7,"Muy bueno",F95&gt;=5,"Bueno",F95&gt;=3,"Regular",F95&lt;3,"Insuficiente")</f>
        <v>Excelente</v>
      </c>
      <c r="P95" s="30" t="str" cm="1">
        <f t="array" ref="P95">_xlfn.IFS(G95&gt;=9,"Excelente",G95&gt;=7,"Muy bueno",G95&gt;=5,"Bueno",G95&gt;=3,"Regular",G95&lt;3,"Insuficiente")</f>
        <v>Excelente</v>
      </c>
      <c r="Q95" s="30" t="str" cm="1">
        <f t="array" ref="Q95">_xlfn.IFS(H95&gt;=9,"Excelente",H95&gt;=7,"Muy bueno",H95&gt;=5,"Bueno",H95&gt;=3,"Regular",H95&lt;3,"Insuficiente")</f>
        <v>Excelente</v>
      </c>
      <c r="R95" s="30" t="str" cm="1">
        <f t="array" ref="R95">_xlfn.IFS(I95&gt;=9,"Excelente",I95&gt;=7,"Muy bueno",I95&gt;=5,"Bueno",I95&gt;=3,"Regular",I95&lt;3,"Insuficiente")</f>
        <v>Excelente</v>
      </c>
    </row>
    <row r="96" spans="1:18">
      <c r="A96" t="s">
        <v>211</v>
      </c>
      <c r="B96" s="16">
        <v>3</v>
      </c>
      <c r="C96" s="16">
        <v>18.666666666666668</v>
      </c>
      <c r="D96" s="16">
        <v>18.666666666666668</v>
      </c>
      <c r="E96" s="16">
        <v>18.666666666666668</v>
      </c>
      <c r="F96" s="16">
        <v>9.3333333333333339</v>
      </c>
      <c r="G96" s="16">
        <v>9.3333333333333339</v>
      </c>
      <c r="H96" s="16">
        <v>9.3333333333333339</v>
      </c>
      <c r="I96" s="16">
        <v>10</v>
      </c>
      <c r="J96" s="28">
        <f t="shared" si="1"/>
        <v>93.999999999999986</v>
      </c>
      <c r="K96" s="29" t="str" cm="1">
        <f t="array" ref="K96">_xlfn.IFS(J96&gt;=90,"Excelente",J96&gt;=80,"Muy Bueno",J96&gt;=75,"Bueno",J96&gt;=65,"Regular",J96&gt;=55,"Insuficiente")</f>
        <v>Excelente</v>
      </c>
      <c r="L96" s="30" t="str" cm="1">
        <f t="array" ref="L96">_xlfn.IFS(C96&gt;=18,"Excelente",C96&gt;=14,"Muy bueno",C96&gt;=10,"Bueno",C96&gt;=6,"Regular",C96&lt;6,"Insuficiente")</f>
        <v>Excelente</v>
      </c>
      <c r="M96" s="30" t="str" cm="1">
        <f t="array" ref="M96">_xlfn.IFS(D96&gt;=18,"Excelente",D96&gt;=14,"Muy bueno",D96&gt;=10,"Bueno",D96&gt;=6,"Regular",D96&lt;6,"Insuficiente")</f>
        <v>Excelente</v>
      </c>
      <c r="N96" s="30" t="str" cm="1">
        <f t="array" ref="N96">_xlfn.IFS(E96&gt;=18,"Excelente",E96&gt;=14,"Muy bueno",E96&gt;=10,"Bueno",E96&gt;=6,"Regular",E96&lt;6,"Insuficiente")</f>
        <v>Excelente</v>
      </c>
      <c r="O96" s="30" t="str" cm="1">
        <f t="array" ref="O96">_xlfn.IFS(F96&gt;=9,"Excelente",F96&gt;=7,"Muy bueno",F96&gt;=5,"Bueno",F96&gt;=3,"Regular",F96&lt;3,"Insuficiente")</f>
        <v>Excelente</v>
      </c>
      <c r="P96" s="30" t="str" cm="1">
        <f t="array" ref="P96">_xlfn.IFS(G96&gt;=9,"Excelente",G96&gt;=7,"Muy bueno",G96&gt;=5,"Bueno",G96&gt;=3,"Regular",G96&lt;3,"Insuficiente")</f>
        <v>Excelente</v>
      </c>
      <c r="Q96" s="30" t="str" cm="1">
        <f t="array" ref="Q96">_xlfn.IFS(H96&gt;=9,"Excelente",H96&gt;=7,"Muy bueno",H96&gt;=5,"Bueno",H96&gt;=3,"Regular",H96&lt;3,"Insuficiente")</f>
        <v>Excelente</v>
      </c>
      <c r="R96" s="30" t="str" cm="1">
        <f t="array" ref="R96">_xlfn.IFS(I96&gt;=9,"Excelente",I96&gt;=7,"Muy bueno",I96&gt;=5,"Bueno",I96&gt;=3,"Regular",I96&lt;3,"Insuficiente")</f>
        <v>Excelente</v>
      </c>
    </row>
    <row r="97" spans="1:18">
      <c r="A97" t="s">
        <v>236</v>
      </c>
      <c r="B97" s="16">
        <v>3</v>
      </c>
      <c r="C97" s="16">
        <v>20</v>
      </c>
      <c r="D97" s="16">
        <v>20</v>
      </c>
      <c r="E97" s="16">
        <v>20</v>
      </c>
      <c r="F97" s="16">
        <v>8.6666666666666661</v>
      </c>
      <c r="G97" s="16">
        <v>10</v>
      </c>
      <c r="H97" s="16">
        <v>10</v>
      </c>
      <c r="I97" s="16">
        <v>10</v>
      </c>
      <c r="J97" s="28">
        <f t="shared" si="1"/>
        <v>98.666666666666671</v>
      </c>
      <c r="K97" s="29" t="str" cm="1">
        <f t="array" ref="K97">_xlfn.IFS(J97&gt;=90,"Excelente",J97&gt;=80,"Muy Bueno",J97&gt;=75,"Bueno",J97&gt;=65,"Regular",J97&gt;=55,"Insuficiente")</f>
        <v>Excelente</v>
      </c>
      <c r="L97" s="30" t="str" cm="1">
        <f t="array" ref="L97">_xlfn.IFS(C97&gt;=18,"Excelente",C97&gt;=14,"Muy bueno",C97&gt;=10,"Bueno",C97&gt;=6,"Regular",C97&lt;6,"Insuficiente")</f>
        <v>Excelente</v>
      </c>
      <c r="M97" s="30" t="str" cm="1">
        <f t="array" ref="M97">_xlfn.IFS(D97&gt;=18,"Excelente",D97&gt;=14,"Muy bueno",D97&gt;=10,"Bueno",D97&gt;=6,"Regular",D97&lt;6,"Insuficiente")</f>
        <v>Excelente</v>
      </c>
      <c r="N97" s="30" t="str" cm="1">
        <f t="array" ref="N97">_xlfn.IFS(E97&gt;=18,"Excelente",E97&gt;=14,"Muy bueno",E97&gt;=10,"Bueno",E97&gt;=6,"Regular",E97&lt;6,"Insuficiente")</f>
        <v>Excelente</v>
      </c>
      <c r="O97" s="30" t="str" cm="1">
        <f t="array" ref="O97">_xlfn.IFS(F97&gt;=9,"Excelente",F97&gt;=7,"Muy bueno",F97&gt;=5,"Bueno",F97&gt;=3,"Regular",F97&lt;3,"Insuficiente")</f>
        <v>Muy bueno</v>
      </c>
      <c r="P97" s="30" t="str" cm="1">
        <f t="array" ref="P97">_xlfn.IFS(G97&gt;=9,"Excelente",G97&gt;=7,"Muy bueno",G97&gt;=5,"Bueno",G97&gt;=3,"Regular",G97&lt;3,"Insuficiente")</f>
        <v>Excelente</v>
      </c>
      <c r="Q97" s="30" t="str" cm="1">
        <f t="array" ref="Q97">_xlfn.IFS(H97&gt;=9,"Excelente",H97&gt;=7,"Muy bueno",H97&gt;=5,"Bueno",H97&gt;=3,"Regular",H97&lt;3,"Insuficiente")</f>
        <v>Excelente</v>
      </c>
      <c r="R97" s="30" t="str" cm="1">
        <f t="array" ref="R97">_xlfn.IFS(I97&gt;=9,"Excelente",I97&gt;=7,"Muy bueno",I97&gt;=5,"Bueno",I97&gt;=3,"Regular",I97&lt;3,"Insuficiente")</f>
        <v>Excelente</v>
      </c>
    </row>
    <row r="98" spans="1:18">
      <c r="A98" t="s">
        <v>218</v>
      </c>
      <c r="B98" s="16">
        <v>3</v>
      </c>
      <c r="C98" s="16">
        <v>20</v>
      </c>
      <c r="D98" s="16">
        <v>20</v>
      </c>
      <c r="E98" s="16">
        <v>18.666666666666668</v>
      </c>
      <c r="F98" s="16">
        <v>9.3333333333333339</v>
      </c>
      <c r="G98" s="16">
        <v>9.3333333333333339</v>
      </c>
      <c r="H98" s="16">
        <v>10</v>
      </c>
      <c r="I98" s="16">
        <v>9.3333333333333339</v>
      </c>
      <c r="J98" s="28">
        <f t="shared" si="1"/>
        <v>96.666666666666657</v>
      </c>
      <c r="K98" s="29" t="str" cm="1">
        <f t="array" ref="K98">_xlfn.IFS(J98&gt;=90,"Excelente",J98&gt;=80,"Muy Bueno",J98&gt;=75,"Bueno",J98&gt;=65,"Regular",J98&gt;=55,"Insuficiente")</f>
        <v>Excelente</v>
      </c>
      <c r="L98" s="30" t="str" cm="1">
        <f t="array" ref="L98">_xlfn.IFS(C98&gt;=18,"Excelente",C98&gt;=14,"Muy bueno",C98&gt;=10,"Bueno",C98&gt;=6,"Regular",C98&lt;6,"Insuficiente")</f>
        <v>Excelente</v>
      </c>
      <c r="M98" s="30" t="str" cm="1">
        <f t="array" ref="M98">_xlfn.IFS(D98&gt;=18,"Excelente",D98&gt;=14,"Muy bueno",D98&gt;=10,"Bueno",D98&gt;=6,"Regular",D98&lt;6,"Insuficiente")</f>
        <v>Excelente</v>
      </c>
      <c r="N98" s="30" t="str" cm="1">
        <f t="array" ref="N98">_xlfn.IFS(E98&gt;=18,"Excelente",E98&gt;=14,"Muy bueno",E98&gt;=10,"Bueno",E98&gt;=6,"Regular",E98&lt;6,"Insuficiente")</f>
        <v>Excelente</v>
      </c>
      <c r="O98" s="30" t="str" cm="1">
        <f t="array" ref="O98">_xlfn.IFS(F98&gt;=9,"Excelente",F98&gt;=7,"Muy bueno",F98&gt;=5,"Bueno",F98&gt;=3,"Regular",F98&lt;3,"Insuficiente")</f>
        <v>Excelente</v>
      </c>
      <c r="P98" s="30" t="str" cm="1">
        <f t="array" ref="P98">_xlfn.IFS(G98&gt;=9,"Excelente",G98&gt;=7,"Muy bueno",G98&gt;=5,"Bueno",G98&gt;=3,"Regular",G98&lt;3,"Insuficiente")</f>
        <v>Excelente</v>
      </c>
      <c r="Q98" s="30" t="str" cm="1">
        <f t="array" ref="Q98">_xlfn.IFS(H98&gt;=9,"Excelente",H98&gt;=7,"Muy bueno",H98&gt;=5,"Bueno",H98&gt;=3,"Regular",H98&lt;3,"Insuficiente")</f>
        <v>Excelente</v>
      </c>
      <c r="R98" s="30" t="str" cm="1">
        <f t="array" ref="R98">_xlfn.IFS(I98&gt;=9,"Excelente",I98&gt;=7,"Muy bueno",I98&gt;=5,"Bueno",I98&gt;=3,"Regular",I98&lt;3,"Insuficiente")</f>
        <v>Excelente</v>
      </c>
    </row>
    <row r="99" spans="1:18">
      <c r="A99" t="s">
        <v>322</v>
      </c>
      <c r="B99" s="16">
        <v>3</v>
      </c>
      <c r="C99" s="16">
        <v>18.666666666666668</v>
      </c>
      <c r="D99" s="16">
        <v>17.333333333333332</v>
      </c>
      <c r="E99" s="16">
        <v>17.333333333333332</v>
      </c>
      <c r="F99" s="16">
        <v>9.3333333333333339</v>
      </c>
      <c r="G99" s="16">
        <v>9.3333333333333339</v>
      </c>
      <c r="H99" s="16">
        <v>8</v>
      </c>
      <c r="I99" s="16">
        <v>9.3333333333333339</v>
      </c>
      <c r="J99" s="28">
        <f t="shared" si="1"/>
        <v>89.333333333333329</v>
      </c>
      <c r="K99" s="29" t="str" cm="1">
        <f t="array" ref="K99">_xlfn.IFS(J99&gt;=90,"Excelente",J99&gt;=80,"Muy Bueno",J99&gt;=75,"Bueno",J99&gt;=65,"Regular",J99&gt;=55,"Insuficiente")</f>
        <v>Muy Bueno</v>
      </c>
      <c r="L99" s="30" t="str" cm="1">
        <f t="array" ref="L99">_xlfn.IFS(C99&gt;=18,"Excelente",C99&gt;=14,"Muy bueno",C99&gt;=10,"Bueno",C99&gt;=6,"Regular",C99&lt;6,"Insuficiente")</f>
        <v>Excelente</v>
      </c>
      <c r="M99" s="30" t="str" cm="1">
        <f t="array" ref="M99">_xlfn.IFS(D99&gt;=18,"Excelente",D99&gt;=14,"Muy bueno",D99&gt;=10,"Bueno",D99&gt;=6,"Regular",D99&lt;6,"Insuficiente")</f>
        <v>Muy bueno</v>
      </c>
      <c r="N99" s="30" t="str" cm="1">
        <f t="array" ref="N99">_xlfn.IFS(E99&gt;=18,"Excelente",E99&gt;=14,"Muy bueno",E99&gt;=10,"Bueno",E99&gt;=6,"Regular",E99&lt;6,"Insuficiente")</f>
        <v>Muy bueno</v>
      </c>
      <c r="O99" s="30" t="str" cm="1">
        <f t="array" ref="O99">_xlfn.IFS(F99&gt;=9,"Excelente",F99&gt;=7,"Muy bueno",F99&gt;=5,"Bueno",F99&gt;=3,"Regular",F99&lt;3,"Insuficiente")</f>
        <v>Excelente</v>
      </c>
      <c r="P99" s="30" t="str" cm="1">
        <f t="array" ref="P99">_xlfn.IFS(G99&gt;=9,"Excelente",G99&gt;=7,"Muy bueno",G99&gt;=5,"Bueno",G99&gt;=3,"Regular",G99&lt;3,"Insuficiente")</f>
        <v>Excelente</v>
      </c>
      <c r="Q99" s="30" t="str" cm="1">
        <f t="array" ref="Q99">_xlfn.IFS(H99&gt;=9,"Excelente",H99&gt;=7,"Muy bueno",H99&gt;=5,"Bueno",H99&gt;=3,"Regular",H99&lt;3,"Insuficiente")</f>
        <v>Muy bueno</v>
      </c>
      <c r="R99" s="30" t="str" cm="1">
        <f t="array" ref="R99">_xlfn.IFS(I99&gt;=9,"Excelente",I99&gt;=7,"Muy bueno",I99&gt;=5,"Bueno",I99&gt;=3,"Regular",I99&lt;3,"Insuficiente")</f>
        <v>Excelente</v>
      </c>
    </row>
    <row r="100" spans="1:18">
      <c r="A100" t="s">
        <v>106</v>
      </c>
      <c r="B100" s="16">
        <v>3</v>
      </c>
      <c r="C100" s="16">
        <v>20</v>
      </c>
      <c r="D100" s="16">
        <v>18.666666666666668</v>
      </c>
      <c r="E100" s="16">
        <v>18.666666666666668</v>
      </c>
      <c r="F100" s="16">
        <v>10</v>
      </c>
      <c r="G100" s="16">
        <v>9.3333333333333339</v>
      </c>
      <c r="H100" s="16">
        <v>10</v>
      </c>
      <c r="I100" s="16">
        <v>10</v>
      </c>
      <c r="J100" s="28">
        <f t="shared" si="1"/>
        <v>96.666666666666671</v>
      </c>
      <c r="K100" s="29" t="str" cm="1">
        <f t="array" ref="K100">_xlfn.IFS(J100&gt;=90,"Excelente",J100&gt;=80,"Muy Bueno",J100&gt;=75,"Bueno",J100&gt;=65,"Regular",J100&gt;=55,"Insuficiente")</f>
        <v>Excelente</v>
      </c>
      <c r="L100" s="30" t="str" cm="1">
        <f t="array" ref="L100">_xlfn.IFS(C100&gt;=18,"Excelente",C100&gt;=14,"Muy bueno",C100&gt;=10,"Bueno",C100&gt;=6,"Regular",C100&lt;6,"Insuficiente")</f>
        <v>Excelente</v>
      </c>
      <c r="M100" s="30" t="str" cm="1">
        <f t="array" ref="M100">_xlfn.IFS(D100&gt;=18,"Excelente",D100&gt;=14,"Muy bueno",D100&gt;=10,"Bueno",D100&gt;=6,"Regular",D100&lt;6,"Insuficiente")</f>
        <v>Excelente</v>
      </c>
      <c r="N100" s="30" t="str" cm="1">
        <f t="array" ref="N100">_xlfn.IFS(E100&gt;=18,"Excelente",E100&gt;=14,"Muy bueno",E100&gt;=10,"Bueno",E100&gt;=6,"Regular",E100&lt;6,"Insuficiente")</f>
        <v>Excelente</v>
      </c>
      <c r="O100" s="30" t="str" cm="1">
        <f t="array" ref="O100">_xlfn.IFS(F100&gt;=9,"Excelente",F100&gt;=7,"Muy bueno",F100&gt;=5,"Bueno",F100&gt;=3,"Regular",F100&lt;3,"Insuficiente")</f>
        <v>Excelente</v>
      </c>
      <c r="P100" s="30" t="str" cm="1">
        <f t="array" ref="P100">_xlfn.IFS(G100&gt;=9,"Excelente",G100&gt;=7,"Muy bueno",G100&gt;=5,"Bueno",G100&gt;=3,"Regular",G100&lt;3,"Insuficiente")</f>
        <v>Excelente</v>
      </c>
      <c r="Q100" s="30" t="str" cm="1">
        <f t="array" ref="Q100">_xlfn.IFS(H100&gt;=9,"Excelente",H100&gt;=7,"Muy bueno",H100&gt;=5,"Bueno",H100&gt;=3,"Regular",H100&lt;3,"Insuficiente")</f>
        <v>Excelente</v>
      </c>
      <c r="R100" s="30" t="str" cm="1">
        <f t="array" ref="R100">_xlfn.IFS(I100&gt;=9,"Excelente",I100&gt;=7,"Muy bueno",I100&gt;=5,"Bueno",I100&gt;=3,"Regular",I100&lt;3,"Insuficiente")</f>
        <v>Excelente</v>
      </c>
    </row>
    <row r="101" spans="1:18">
      <c r="A101" t="s">
        <v>118</v>
      </c>
      <c r="B101" s="16">
        <v>3</v>
      </c>
      <c r="C101" s="16">
        <v>20</v>
      </c>
      <c r="D101" s="16">
        <v>20</v>
      </c>
      <c r="E101" s="16">
        <v>20</v>
      </c>
      <c r="F101" s="16">
        <v>10</v>
      </c>
      <c r="G101" s="16">
        <v>10</v>
      </c>
      <c r="H101" s="16">
        <v>10</v>
      </c>
      <c r="I101" s="16">
        <v>10</v>
      </c>
      <c r="J101" s="28">
        <f t="shared" si="1"/>
        <v>100</v>
      </c>
      <c r="K101" s="29" t="str" cm="1">
        <f t="array" ref="K101">_xlfn.IFS(J101&gt;=90,"Excelente",J101&gt;=80,"Muy Bueno",J101&gt;=75,"Bueno",J101&gt;=65,"Regular",J101&gt;=55,"Insuficiente")</f>
        <v>Excelente</v>
      </c>
      <c r="L101" s="30" t="str" cm="1">
        <f t="array" ref="L101">_xlfn.IFS(C101&gt;=18,"Excelente",C101&gt;=14,"Muy bueno",C101&gt;=10,"Bueno",C101&gt;=6,"Regular",C101&lt;6,"Insuficiente")</f>
        <v>Excelente</v>
      </c>
      <c r="M101" s="30" t="str" cm="1">
        <f t="array" ref="M101">_xlfn.IFS(D101&gt;=18,"Excelente",D101&gt;=14,"Muy bueno",D101&gt;=10,"Bueno",D101&gt;=6,"Regular",D101&lt;6,"Insuficiente")</f>
        <v>Excelente</v>
      </c>
      <c r="N101" s="30" t="str" cm="1">
        <f t="array" ref="N101">_xlfn.IFS(E101&gt;=18,"Excelente",E101&gt;=14,"Muy bueno",E101&gt;=10,"Bueno",E101&gt;=6,"Regular",E101&lt;6,"Insuficiente")</f>
        <v>Excelente</v>
      </c>
      <c r="O101" s="30" t="str" cm="1">
        <f t="array" ref="O101">_xlfn.IFS(F101&gt;=9,"Excelente",F101&gt;=7,"Muy bueno",F101&gt;=5,"Bueno",F101&gt;=3,"Regular",F101&lt;3,"Insuficiente")</f>
        <v>Excelente</v>
      </c>
      <c r="P101" s="30" t="str" cm="1">
        <f t="array" ref="P101">_xlfn.IFS(G101&gt;=9,"Excelente",G101&gt;=7,"Muy bueno",G101&gt;=5,"Bueno",G101&gt;=3,"Regular",G101&lt;3,"Insuficiente")</f>
        <v>Excelente</v>
      </c>
      <c r="Q101" s="30" t="str" cm="1">
        <f t="array" ref="Q101">_xlfn.IFS(H101&gt;=9,"Excelente",H101&gt;=7,"Muy bueno",H101&gt;=5,"Bueno",H101&gt;=3,"Regular",H101&lt;3,"Insuficiente")</f>
        <v>Excelente</v>
      </c>
      <c r="R101" s="30" t="str" cm="1">
        <f t="array" ref="R101">_xlfn.IFS(I101&gt;=9,"Excelente",I101&gt;=7,"Muy bueno",I101&gt;=5,"Bueno",I101&gt;=3,"Regular",I101&lt;3,"Insuficiente")</f>
        <v>Excelente</v>
      </c>
    </row>
    <row r="102" spans="1:18">
      <c r="A102" t="s">
        <v>328</v>
      </c>
      <c r="B102" s="16">
        <v>3</v>
      </c>
      <c r="C102" s="16">
        <v>18.666666666666668</v>
      </c>
      <c r="D102" s="16">
        <v>18.666666666666668</v>
      </c>
      <c r="E102" s="16">
        <v>18.666666666666668</v>
      </c>
      <c r="F102" s="16">
        <v>10</v>
      </c>
      <c r="G102" s="16">
        <v>10</v>
      </c>
      <c r="H102" s="16">
        <v>8.6666666666666661</v>
      </c>
      <c r="I102" s="16">
        <v>9.3333333333333339</v>
      </c>
      <c r="J102" s="28">
        <f t="shared" si="1"/>
        <v>94</v>
      </c>
      <c r="K102" s="29" t="str" cm="1">
        <f t="array" ref="K102">_xlfn.IFS(J102&gt;=90,"Excelente",J102&gt;=80,"Muy Bueno",J102&gt;=75,"Bueno",J102&gt;=65,"Regular",J102&gt;=55,"Insuficiente")</f>
        <v>Excelente</v>
      </c>
      <c r="L102" s="30" t="str" cm="1">
        <f t="array" ref="L102">_xlfn.IFS(C102&gt;=18,"Excelente",C102&gt;=14,"Muy bueno",C102&gt;=10,"Bueno",C102&gt;=6,"Regular",C102&lt;6,"Insuficiente")</f>
        <v>Excelente</v>
      </c>
      <c r="M102" s="30" t="str" cm="1">
        <f t="array" ref="M102">_xlfn.IFS(D102&gt;=18,"Excelente",D102&gt;=14,"Muy bueno",D102&gt;=10,"Bueno",D102&gt;=6,"Regular",D102&lt;6,"Insuficiente")</f>
        <v>Excelente</v>
      </c>
      <c r="N102" s="30" t="str" cm="1">
        <f t="array" ref="N102">_xlfn.IFS(E102&gt;=18,"Excelente",E102&gt;=14,"Muy bueno",E102&gt;=10,"Bueno",E102&gt;=6,"Regular",E102&lt;6,"Insuficiente")</f>
        <v>Excelente</v>
      </c>
      <c r="O102" s="30" t="str" cm="1">
        <f t="array" ref="O102">_xlfn.IFS(F102&gt;=9,"Excelente",F102&gt;=7,"Muy bueno",F102&gt;=5,"Bueno",F102&gt;=3,"Regular",F102&lt;3,"Insuficiente")</f>
        <v>Excelente</v>
      </c>
      <c r="P102" s="30" t="str" cm="1">
        <f t="array" ref="P102">_xlfn.IFS(G102&gt;=9,"Excelente",G102&gt;=7,"Muy bueno",G102&gt;=5,"Bueno",G102&gt;=3,"Regular",G102&lt;3,"Insuficiente")</f>
        <v>Excelente</v>
      </c>
      <c r="Q102" s="30" t="str" cm="1">
        <f t="array" ref="Q102">_xlfn.IFS(H102&gt;=9,"Excelente",H102&gt;=7,"Muy bueno",H102&gt;=5,"Bueno",H102&gt;=3,"Regular",H102&lt;3,"Insuficiente")</f>
        <v>Muy bueno</v>
      </c>
      <c r="R102" s="30" t="str" cm="1">
        <f t="array" ref="R102">_xlfn.IFS(I102&gt;=9,"Excelente",I102&gt;=7,"Muy bueno",I102&gt;=5,"Bueno",I102&gt;=3,"Regular",I102&lt;3,"Insuficiente")</f>
        <v>Excelente</v>
      </c>
    </row>
    <row r="103" spans="1:18">
      <c r="A103" t="s">
        <v>58</v>
      </c>
      <c r="B103" s="16">
        <v>3</v>
      </c>
      <c r="C103" s="16">
        <v>20</v>
      </c>
      <c r="D103" s="16">
        <v>20</v>
      </c>
      <c r="E103" s="16">
        <v>20</v>
      </c>
      <c r="F103" s="16">
        <v>8.6666666666666661</v>
      </c>
      <c r="G103" s="16">
        <v>9.3333333333333339</v>
      </c>
      <c r="H103" s="16">
        <v>8.6666666666666661</v>
      </c>
      <c r="I103" s="16">
        <v>9.3333333333333339</v>
      </c>
      <c r="J103" s="28">
        <f t="shared" si="1"/>
        <v>96</v>
      </c>
      <c r="K103" s="29" t="str" cm="1">
        <f t="array" ref="K103">_xlfn.IFS(J103&gt;=90,"Excelente",J103&gt;=80,"Muy Bueno",J103&gt;=75,"Bueno",J103&gt;=65,"Regular",J103&gt;=55,"Insuficiente")</f>
        <v>Excelente</v>
      </c>
      <c r="L103" s="30" t="str" cm="1">
        <f t="array" ref="L103">_xlfn.IFS(C103&gt;=18,"Excelente",C103&gt;=14,"Muy bueno",C103&gt;=10,"Bueno",C103&gt;=6,"Regular",C103&lt;6,"Insuficiente")</f>
        <v>Excelente</v>
      </c>
      <c r="M103" s="30" t="str" cm="1">
        <f t="array" ref="M103">_xlfn.IFS(D103&gt;=18,"Excelente",D103&gt;=14,"Muy bueno",D103&gt;=10,"Bueno",D103&gt;=6,"Regular",D103&lt;6,"Insuficiente")</f>
        <v>Excelente</v>
      </c>
      <c r="N103" s="30" t="str" cm="1">
        <f t="array" ref="N103">_xlfn.IFS(E103&gt;=18,"Excelente",E103&gt;=14,"Muy bueno",E103&gt;=10,"Bueno",E103&gt;=6,"Regular",E103&lt;6,"Insuficiente")</f>
        <v>Excelente</v>
      </c>
      <c r="O103" s="30" t="str" cm="1">
        <f t="array" ref="O103">_xlfn.IFS(F103&gt;=9,"Excelente",F103&gt;=7,"Muy bueno",F103&gt;=5,"Bueno",F103&gt;=3,"Regular",F103&lt;3,"Insuficiente")</f>
        <v>Muy bueno</v>
      </c>
      <c r="P103" s="30" t="str" cm="1">
        <f t="array" ref="P103">_xlfn.IFS(G103&gt;=9,"Excelente",G103&gt;=7,"Muy bueno",G103&gt;=5,"Bueno",G103&gt;=3,"Regular",G103&lt;3,"Insuficiente")</f>
        <v>Excelente</v>
      </c>
      <c r="Q103" s="30" t="str" cm="1">
        <f t="array" ref="Q103">_xlfn.IFS(H103&gt;=9,"Excelente",H103&gt;=7,"Muy bueno",H103&gt;=5,"Bueno",H103&gt;=3,"Regular",H103&lt;3,"Insuficiente")</f>
        <v>Muy bueno</v>
      </c>
      <c r="R103" s="30" t="str" cm="1">
        <f t="array" ref="R103">_xlfn.IFS(I103&gt;=9,"Excelente",I103&gt;=7,"Muy bueno",I103&gt;=5,"Bueno",I103&gt;=3,"Regular",I103&lt;3,"Insuficiente")</f>
        <v>Excelente</v>
      </c>
    </row>
    <row r="104" spans="1:18">
      <c r="A104" t="s">
        <v>243</v>
      </c>
      <c r="B104" s="16">
        <v>3</v>
      </c>
      <c r="C104" s="16">
        <v>20</v>
      </c>
      <c r="D104" s="16">
        <v>20</v>
      </c>
      <c r="E104" s="16">
        <v>20</v>
      </c>
      <c r="F104" s="16">
        <v>10</v>
      </c>
      <c r="G104" s="16">
        <v>10</v>
      </c>
      <c r="H104" s="16">
        <v>10</v>
      </c>
      <c r="I104" s="16">
        <v>10</v>
      </c>
      <c r="J104" s="28">
        <f t="shared" si="1"/>
        <v>100</v>
      </c>
      <c r="K104" s="29" t="str" cm="1">
        <f t="array" ref="K104">_xlfn.IFS(J104&gt;=90,"Excelente",J104&gt;=80,"Muy Bueno",J104&gt;=75,"Bueno",J104&gt;=65,"Regular",J104&gt;=55,"Insuficiente")</f>
        <v>Excelente</v>
      </c>
      <c r="L104" s="30" t="str" cm="1">
        <f t="array" ref="L104">_xlfn.IFS(C104&gt;=18,"Excelente",C104&gt;=14,"Muy bueno",C104&gt;=10,"Bueno",C104&gt;=6,"Regular",C104&lt;6,"Insuficiente")</f>
        <v>Excelente</v>
      </c>
      <c r="M104" s="30" t="str" cm="1">
        <f t="array" ref="M104">_xlfn.IFS(D104&gt;=18,"Excelente",D104&gt;=14,"Muy bueno",D104&gt;=10,"Bueno",D104&gt;=6,"Regular",D104&lt;6,"Insuficiente")</f>
        <v>Excelente</v>
      </c>
      <c r="N104" s="30" t="str" cm="1">
        <f t="array" ref="N104">_xlfn.IFS(E104&gt;=18,"Excelente",E104&gt;=14,"Muy bueno",E104&gt;=10,"Bueno",E104&gt;=6,"Regular",E104&lt;6,"Insuficiente")</f>
        <v>Excelente</v>
      </c>
      <c r="O104" s="30" t="str" cm="1">
        <f t="array" ref="O104">_xlfn.IFS(F104&gt;=9,"Excelente",F104&gt;=7,"Muy bueno",F104&gt;=5,"Bueno",F104&gt;=3,"Regular",F104&lt;3,"Insuficiente")</f>
        <v>Excelente</v>
      </c>
      <c r="P104" s="30" t="str" cm="1">
        <f t="array" ref="P104">_xlfn.IFS(G104&gt;=9,"Excelente",G104&gt;=7,"Muy bueno",G104&gt;=5,"Bueno",G104&gt;=3,"Regular",G104&lt;3,"Insuficiente")</f>
        <v>Excelente</v>
      </c>
      <c r="Q104" s="30" t="str" cm="1">
        <f t="array" ref="Q104">_xlfn.IFS(H104&gt;=9,"Excelente",H104&gt;=7,"Muy bueno",H104&gt;=5,"Bueno",H104&gt;=3,"Regular",H104&lt;3,"Insuficiente")</f>
        <v>Excelente</v>
      </c>
      <c r="R104" s="30" t="str" cm="1">
        <f t="array" ref="R104">_xlfn.IFS(I104&gt;=9,"Excelente",I104&gt;=7,"Muy bueno",I104&gt;=5,"Bueno",I104&gt;=3,"Regular",I104&lt;3,"Insuficiente")</f>
        <v>Excelente</v>
      </c>
    </row>
    <row r="105" spans="1:18">
      <c r="A105" t="s">
        <v>282</v>
      </c>
      <c r="B105" s="16">
        <v>3</v>
      </c>
      <c r="C105" s="16">
        <v>20</v>
      </c>
      <c r="D105" s="16">
        <v>20</v>
      </c>
      <c r="E105" s="16">
        <v>18.666666666666668</v>
      </c>
      <c r="F105" s="16">
        <v>10</v>
      </c>
      <c r="G105" s="16">
        <v>10</v>
      </c>
      <c r="H105" s="16">
        <v>9.3333333333333339</v>
      </c>
      <c r="I105" s="16">
        <v>10</v>
      </c>
      <c r="J105" s="28">
        <f t="shared" si="1"/>
        <v>98</v>
      </c>
      <c r="K105" s="29" t="str" cm="1">
        <f t="array" ref="K105">_xlfn.IFS(J105&gt;=90,"Excelente",J105&gt;=80,"Muy Bueno",J105&gt;=75,"Bueno",J105&gt;=65,"Regular",J105&gt;=55,"Insuficiente")</f>
        <v>Excelente</v>
      </c>
      <c r="L105" s="30" t="str" cm="1">
        <f t="array" ref="L105">_xlfn.IFS(C105&gt;=18,"Excelente",C105&gt;=14,"Muy bueno",C105&gt;=10,"Bueno",C105&gt;=6,"Regular",C105&lt;6,"Insuficiente")</f>
        <v>Excelente</v>
      </c>
      <c r="M105" s="30" t="str" cm="1">
        <f t="array" ref="M105">_xlfn.IFS(D105&gt;=18,"Excelente",D105&gt;=14,"Muy bueno",D105&gt;=10,"Bueno",D105&gt;=6,"Regular",D105&lt;6,"Insuficiente")</f>
        <v>Excelente</v>
      </c>
      <c r="N105" s="30" t="str" cm="1">
        <f t="array" ref="N105">_xlfn.IFS(E105&gt;=18,"Excelente",E105&gt;=14,"Muy bueno",E105&gt;=10,"Bueno",E105&gt;=6,"Regular",E105&lt;6,"Insuficiente")</f>
        <v>Excelente</v>
      </c>
      <c r="O105" s="30" t="str" cm="1">
        <f t="array" ref="O105">_xlfn.IFS(F105&gt;=9,"Excelente",F105&gt;=7,"Muy bueno",F105&gt;=5,"Bueno",F105&gt;=3,"Regular",F105&lt;3,"Insuficiente")</f>
        <v>Excelente</v>
      </c>
      <c r="P105" s="30" t="str" cm="1">
        <f t="array" ref="P105">_xlfn.IFS(G105&gt;=9,"Excelente",G105&gt;=7,"Muy bueno",G105&gt;=5,"Bueno",G105&gt;=3,"Regular",G105&lt;3,"Insuficiente")</f>
        <v>Excelente</v>
      </c>
      <c r="Q105" s="30" t="str" cm="1">
        <f t="array" ref="Q105">_xlfn.IFS(H105&gt;=9,"Excelente",H105&gt;=7,"Muy bueno",H105&gt;=5,"Bueno",H105&gt;=3,"Regular",H105&lt;3,"Insuficiente")</f>
        <v>Excelente</v>
      </c>
      <c r="R105" s="30" t="str" cm="1">
        <f t="array" ref="R105">_xlfn.IFS(I105&gt;=9,"Excelente",I105&gt;=7,"Muy bueno",I105&gt;=5,"Bueno",I105&gt;=3,"Regular",I105&lt;3,"Insuficiente")</f>
        <v>Excelente</v>
      </c>
    </row>
    <row r="106" spans="1:18">
      <c r="A106" t="s">
        <v>312</v>
      </c>
      <c r="B106" s="16">
        <v>3</v>
      </c>
      <c r="C106" s="16">
        <v>20</v>
      </c>
      <c r="D106" s="16">
        <v>20</v>
      </c>
      <c r="E106" s="16">
        <v>20</v>
      </c>
      <c r="F106" s="16">
        <v>10</v>
      </c>
      <c r="G106" s="16">
        <v>10</v>
      </c>
      <c r="H106" s="16">
        <v>9.3333333333333339</v>
      </c>
      <c r="I106" s="16">
        <v>10</v>
      </c>
      <c r="J106" s="28">
        <f t="shared" si="1"/>
        <v>99.333333333333329</v>
      </c>
      <c r="K106" s="29" t="str" cm="1">
        <f t="array" ref="K106">_xlfn.IFS(J106&gt;=90,"Excelente",J106&gt;=80,"Muy Bueno",J106&gt;=75,"Bueno",J106&gt;=65,"Regular",J106&gt;=55,"Insuficiente")</f>
        <v>Excelente</v>
      </c>
      <c r="L106" s="30" t="str" cm="1">
        <f t="array" ref="L106">_xlfn.IFS(C106&gt;=18,"Excelente",C106&gt;=14,"Muy bueno",C106&gt;=10,"Bueno",C106&gt;=6,"Regular",C106&lt;6,"Insuficiente")</f>
        <v>Excelente</v>
      </c>
      <c r="M106" s="30" t="str" cm="1">
        <f t="array" ref="M106">_xlfn.IFS(D106&gt;=18,"Excelente",D106&gt;=14,"Muy bueno",D106&gt;=10,"Bueno",D106&gt;=6,"Regular",D106&lt;6,"Insuficiente")</f>
        <v>Excelente</v>
      </c>
      <c r="N106" s="30" t="str" cm="1">
        <f t="array" ref="N106">_xlfn.IFS(E106&gt;=18,"Excelente",E106&gt;=14,"Muy bueno",E106&gt;=10,"Bueno",E106&gt;=6,"Regular",E106&lt;6,"Insuficiente")</f>
        <v>Excelente</v>
      </c>
      <c r="O106" s="30" t="str" cm="1">
        <f t="array" ref="O106">_xlfn.IFS(F106&gt;=9,"Excelente",F106&gt;=7,"Muy bueno",F106&gt;=5,"Bueno",F106&gt;=3,"Regular",F106&lt;3,"Insuficiente")</f>
        <v>Excelente</v>
      </c>
      <c r="P106" s="30" t="str" cm="1">
        <f t="array" ref="P106">_xlfn.IFS(G106&gt;=9,"Excelente",G106&gt;=7,"Muy bueno",G106&gt;=5,"Bueno",G106&gt;=3,"Regular",G106&lt;3,"Insuficiente")</f>
        <v>Excelente</v>
      </c>
      <c r="Q106" s="30" t="str" cm="1">
        <f t="array" ref="Q106">_xlfn.IFS(H106&gt;=9,"Excelente",H106&gt;=7,"Muy bueno",H106&gt;=5,"Bueno",H106&gt;=3,"Regular",H106&lt;3,"Insuficiente")</f>
        <v>Excelente</v>
      </c>
      <c r="R106" s="30" t="str" cm="1">
        <f t="array" ref="R106">_xlfn.IFS(I106&gt;=9,"Excelente",I106&gt;=7,"Muy bueno",I106&gt;=5,"Bueno",I106&gt;=3,"Regular",I106&lt;3,"Insuficiente")</f>
        <v>Excelente</v>
      </c>
    </row>
    <row r="107" spans="1:18">
      <c r="A107" t="s">
        <v>252</v>
      </c>
      <c r="B107" s="16">
        <v>3</v>
      </c>
      <c r="C107" s="16">
        <v>20</v>
      </c>
      <c r="D107" s="16">
        <v>20</v>
      </c>
      <c r="E107" s="16">
        <v>20</v>
      </c>
      <c r="F107" s="16">
        <v>10</v>
      </c>
      <c r="G107" s="16">
        <v>9.3333333333333339</v>
      </c>
      <c r="H107" s="16">
        <v>8.6666666666666661</v>
      </c>
      <c r="I107" s="16">
        <v>8.6666666666666661</v>
      </c>
      <c r="J107" s="28">
        <f t="shared" si="1"/>
        <v>96.666666666666671</v>
      </c>
      <c r="K107" s="29" t="str" cm="1">
        <f t="array" ref="K107">_xlfn.IFS(J107&gt;=90,"Excelente",J107&gt;=80,"Muy Bueno",J107&gt;=75,"Bueno",J107&gt;=65,"Regular",J107&gt;=55,"Insuficiente")</f>
        <v>Excelente</v>
      </c>
      <c r="L107" s="30" t="str" cm="1">
        <f t="array" ref="L107">_xlfn.IFS(C107&gt;=18,"Excelente",C107&gt;=14,"Muy bueno",C107&gt;=10,"Bueno",C107&gt;=6,"Regular",C107&lt;6,"Insuficiente")</f>
        <v>Excelente</v>
      </c>
      <c r="M107" s="30" t="str" cm="1">
        <f t="array" ref="M107">_xlfn.IFS(D107&gt;=18,"Excelente",D107&gt;=14,"Muy bueno",D107&gt;=10,"Bueno",D107&gt;=6,"Regular",D107&lt;6,"Insuficiente")</f>
        <v>Excelente</v>
      </c>
      <c r="N107" s="30" t="str" cm="1">
        <f t="array" ref="N107">_xlfn.IFS(E107&gt;=18,"Excelente",E107&gt;=14,"Muy bueno",E107&gt;=10,"Bueno",E107&gt;=6,"Regular",E107&lt;6,"Insuficiente")</f>
        <v>Excelente</v>
      </c>
      <c r="O107" s="30" t="str" cm="1">
        <f t="array" ref="O107">_xlfn.IFS(F107&gt;=9,"Excelente",F107&gt;=7,"Muy bueno",F107&gt;=5,"Bueno",F107&gt;=3,"Regular",F107&lt;3,"Insuficiente")</f>
        <v>Excelente</v>
      </c>
      <c r="P107" s="30" t="str" cm="1">
        <f t="array" ref="P107">_xlfn.IFS(G107&gt;=9,"Excelente",G107&gt;=7,"Muy bueno",G107&gt;=5,"Bueno",G107&gt;=3,"Regular",G107&lt;3,"Insuficiente")</f>
        <v>Excelente</v>
      </c>
      <c r="Q107" s="30" t="str" cm="1">
        <f t="array" ref="Q107">_xlfn.IFS(H107&gt;=9,"Excelente",H107&gt;=7,"Muy bueno",H107&gt;=5,"Bueno",H107&gt;=3,"Regular",H107&lt;3,"Insuficiente")</f>
        <v>Muy bueno</v>
      </c>
      <c r="R107" s="30" t="str" cm="1">
        <f t="array" ref="R107">_xlfn.IFS(I107&gt;=9,"Excelente",I107&gt;=7,"Muy bueno",I107&gt;=5,"Bueno",I107&gt;=3,"Regular",I107&lt;3,"Insuficiente")</f>
        <v>Muy bueno</v>
      </c>
    </row>
    <row r="108" spans="1:18">
      <c r="A108" t="s">
        <v>316</v>
      </c>
      <c r="B108" s="16">
        <v>3</v>
      </c>
      <c r="C108" s="16">
        <v>20</v>
      </c>
      <c r="D108" s="16">
        <v>20</v>
      </c>
      <c r="E108" s="16">
        <v>20</v>
      </c>
      <c r="F108" s="16">
        <v>10</v>
      </c>
      <c r="G108" s="16">
        <v>10</v>
      </c>
      <c r="H108" s="16">
        <v>9.3333333333333339</v>
      </c>
      <c r="I108" s="16">
        <v>10</v>
      </c>
      <c r="J108" s="28">
        <f t="shared" si="1"/>
        <v>99.333333333333329</v>
      </c>
      <c r="K108" s="29" t="str" cm="1">
        <f t="array" ref="K108">_xlfn.IFS(J108&gt;=90,"Excelente",J108&gt;=80,"Muy Bueno",J108&gt;=75,"Bueno",J108&gt;=65,"Regular",J108&gt;=55,"Insuficiente")</f>
        <v>Excelente</v>
      </c>
      <c r="L108" s="30" t="str" cm="1">
        <f t="array" ref="L108">_xlfn.IFS(C108&gt;=18,"Excelente",C108&gt;=14,"Muy bueno",C108&gt;=10,"Bueno",C108&gt;=6,"Regular",C108&lt;6,"Insuficiente")</f>
        <v>Excelente</v>
      </c>
      <c r="M108" s="30" t="str" cm="1">
        <f t="array" ref="M108">_xlfn.IFS(D108&gt;=18,"Excelente",D108&gt;=14,"Muy bueno",D108&gt;=10,"Bueno",D108&gt;=6,"Regular",D108&lt;6,"Insuficiente")</f>
        <v>Excelente</v>
      </c>
      <c r="N108" s="30" t="str" cm="1">
        <f t="array" ref="N108">_xlfn.IFS(E108&gt;=18,"Excelente",E108&gt;=14,"Muy bueno",E108&gt;=10,"Bueno",E108&gt;=6,"Regular",E108&lt;6,"Insuficiente")</f>
        <v>Excelente</v>
      </c>
      <c r="O108" s="30" t="str" cm="1">
        <f t="array" ref="O108">_xlfn.IFS(F108&gt;=9,"Excelente",F108&gt;=7,"Muy bueno",F108&gt;=5,"Bueno",F108&gt;=3,"Regular",F108&lt;3,"Insuficiente")</f>
        <v>Excelente</v>
      </c>
      <c r="P108" s="30" t="str" cm="1">
        <f t="array" ref="P108">_xlfn.IFS(G108&gt;=9,"Excelente",G108&gt;=7,"Muy bueno",G108&gt;=5,"Bueno",G108&gt;=3,"Regular",G108&lt;3,"Insuficiente")</f>
        <v>Excelente</v>
      </c>
      <c r="Q108" s="30" t="str" cm="1">
        <f t="array" ref="Q108">_xlfn.IFS(H108&gt;=9,"Excelente",H108&gt;=7,"Muy bueno",H108&gt;=5,"Bueno",H108&gt;=3,"Regular",H108&lt;3,"Insuficiente")</f>
        <v>Excelente</v>
      </c>
      <c r="R108" s="30" t="str" cm="1">
        <f t="array" ref="R108">_xlfn.IFS(I108&gt;=9,"Excelente",I108&gt;=7,"Muy bueno",I108&gt;=5,"Bueno",I108&gt;=3,"Regular",I108&lt;3,"Insuficiente")</f>
        <v>Excelente</v>
      </c>
    </row>
    <row r="109" spans="1:18">
      <c r="A109" t="s">
        <v>310</v>
      </c>
      <c r="B109" s="16">
        <v>3</v>
      </c>
      <c r="C109" s="16">
        <v>20</v>
      </c>
      <c r="D109" s="16">
        <v>20</v>
      </c>
      <c r="E109" s="16">
        <v>20</v>
      </c>
      <c r="F109" s="16">
        <v>10</v>
      </c>
      <c r="G109" s="16">
        <v>10</v>
      </c>
      <c r="H109" s="16">
        <v>10</v>
      </c>
      <c r="I109" s="16">
        <v>10</v>
      </c>
      <c r="J109" s="28">
        <f t="shared" si="1"/>
        <v>100</v>
      </c>
      <c r="K109" s="29" t="str" cm="1">
        <f t="array" ref="K109">_xlfn.IFS(J109&gt;=90,"Excelente",J109&gt;=80,"Muy Bueno",J109&gt;=75,"Bueno",J109&gt;=65,"Regular",J109&gt;=55,"Insuficiente")</f>
        <v>Excelente</v>
      </c>
      <c r="L109" s="30" t="str" cm="1">
        <f t="array" ref="L109">_xlfn.IFS(C109&gt;=18,"Excelente",C109&gt;=14,"Muy bueno",C109&gt;=10,"Bueno",C109&gt;=6,"Regular",C109&lt;6,"Insuficiente")</f>
        <v>Excelente</v>
      </c>
      <c r="M109" s="30" t="str" cm="1">
        <f t="array" ref="M109">_xlfn.IFS(D109&gt;=18,"Excelente",D109&gt;=14,"Muy bueno",D109&gt;=10,"Bueno",D109&gt;=6,"Regular",D109&lt;6,"Insuficiente")</f>
        <v>Excelente</v>
      </c>
      <c r="N109" s="30" t="str" cm="1">
        <f t="array" ref="N109">_xlfn.IFS(E109&gt;=18,"Excelente",E109&gt;=14,"Muy bueno",E109&gt;=10,"Bueno",E109&gt;=6,"Regular",E109&lt;6,"Insuficiente")</f>
        <v>Excelente</v>
      </c>
      <c r="O109" s="30" t="str" cm="1">
        <f t="array" ref="O109">_xlfn.IFS(F109&gt;=9,"Excelente",F109&gt;=7,"Muy bueno",F109&gt;=5,"Bueno",F109&gt;=3,"Regular",F109&lt;3,"Insuficiente")</f>
        <v>Excelente</v>
      </c>
      <c r="P109" s="30" t="str" cm="1">
        <f t="array" ref="P109">_xlfn.IFS(G109&gt;=9,"Excelente",G109&gt;=7,"Muy bueno",G109&gt;=5,"Bueno",G109&gt;=3,"Regular",G109&lt;3,"Insuficiente")</f>
        <v>Excelente</v>
      </c>
      <c r="Q109" s="30" t="str" cm="1">
        <f t="array" ref="Q109">_xlfn.IFS(H109&gt;=9,"Excelente",H109&gt;=7,"Muy bueno",H109&gt;=5,"Bueno",H109&gt;=3,"Regular",H109&lt;3,"Insuficiente")</f>
        <v>Excelente</v>
      </c>
      <c r="R109" s="30" t="str" cm="1">
        <f t="array" ref="R109">_xlfn.IFS(I109&gt;=9,"Excelente",I109&gt;=7,"Muy bueno",I109&gt;=5,"Bueno",I109&gt;=3,"Regular",I109&lt;3,"Insuficiente")</f>
        <v>Excelente</v>
      </c>
    </row>
    <row r="110" spans="1:18">
      <c r="A110" t="s">
        <v>270</v>
      </c>
      <c r="B110" s="16">
        <v>3</v>
      </c>
      <c r="C110" s="16">
        <v>20</v>
      </c>
      <c r="D110" s="16">
        <v>20</v>
      </c>
      <c r="E110" s="16">
        <v>20</v>
      </c>
      <c r="F110" s="16">
        <v>8</v>
      </c>
      <c r="G110" s="16">
        <v>8.6666666666666661</v>
      </c>
      <c r="H110" s="16">
        <v>8.6666666666666661</v>
      </c>
      <c r="I110" s="16">
        <v>10</v>
      </c>
      <c r="J110" s="28">
        <f t="shared" si="1"/>
        <v>95.333333333333343</v>
      </c>
      <c r="K110" s="29" t="str" cm="1">
        <f t="array" ref="K110">_xlfn.IFS(J110&gt;=90,"Excelente",J110&gt;=80,"Muy Bueno",J110&gt;=75,"Bueno",J110&gt;=65,"Regular",J110&gt;=55,"Insuficiente")</f>
        <v>Excelente</v>
      </c>
      <c r="L110" s="30" t="str" cm="1">
        <f t="array" ref="L110">_xlfn.IFS(C110&gt;=18,"Excelente",C110&gt;=14,"Muy bueno",C110&gt;=10,"Bueno",C110&gt;=6,"Regular",C110&lt;6,"Insuficiente")</f>
        <v>Excelente</v>
      </c>
      <c r="M110" s="30" t="str" cm="1">
        <f t="array" ref="M110">_xlfn.IFS(D110&gt;=18,"Excelente",D110&gt;=14,"Muy bueno",D110&gt;=10,"Bueno",D110&gt;=6,"Regular",D110&lt;6,"Insuficiente")</f>
        <v>Excelente</v>
      </c>
      <c r="N110" s="30" t="str" cm="1">
        <f t="array" ref="N110">_xlfn.IFS(E110&gt;=18,"Excelente",E110&gt;=14,"Muy bueno",E110&gt;=10,"Bueno",E110&gt;=6,"Regular",E110&lt;6,"Insuficiente")</f>
        <v>Excelente</v>
      </c>
      <c r="O110" s="30" t="str" cm="1">
        <f t="array" ref="O110">_xlfn.IFS(F110&gt;=9,"Excelente",F110&gt;=7,"Muy bueno",F110&gt;=5,"Bueno",F110&gt;=3,"Regular",F110&lt;3,"Insuficiente")</f>
        <v>Muy bueno</v>
      </c>
      <c r="P110" s="30" t="str" cm="1">
        <f t="array" ref="P110">_xlfn.IFS(G110&gt;=9,"Excelente",G110&gt;=7,"Muy bueno",G110&gt;=5,"Bueno",G110&gt;=3,"Regular",G110&lt;3,"Insuficiente")</f>
        <v>Muy bueno</v>
      </c>
      <c r="Q110" s="30" t="str" cm="1">
        <f t="array" ref="Q110">_xlfn.IFS(H110&gt;=9,"Excelente",H110&gt;=7,"Muy bueno",H110&gt;=5,"Bueno",H110&gt;=3,"Regular",H110&lt;3,"Insuficiente")</f>
        <v>Muy bueno</v>
      </c>
      <c r="R110" s="30" t="str" cm="1">
        <f t="array" ref="R110">_xlfn.IFS(I110&gt;=9,"Excelente",I110&gt;=7,"Muy bueno",I110&gt;=5,"Bueno",I110&gt;=3,"Regular",I110&lt;3,"Insuficiente")</f>
        <v>Excelente</v>
      </c>
    </row>
    <row r="111" spans="1:18">
      <c r="A111" t="s">
        <v>308</v>
      </c>
      <c r="B111" s="16">
        <v>3</v>
      </c>
      <c r="C111" s="16">
        <v>20</v>
      </c>
      <c r="D111" s="16">
        <v>20</v>
      </c>
      <c r="E111" s="16">
        <v>20</v>
      </c>
      <c r="F111" s="16">
        <v>8</v>
      </c>
      <c r="G111" s="16">
        <v>8.6666666666666661</v>
      </c>
      <c r="H111" s="16">
        <v>8.6666666666666661</v>
      </c>
      <c r="I111" s="16">
        <v>9.3333333333333339</v>
      </c>
      <c r="J111" s="28">
        <f t="shared" si="1"/>
        <v>94.666666666666671</v>
      </c>
      <c r="K111" s="29" t="str" cm="1">
        <f t="array" ref="K111">_xlfn.IFS(J111&gt;=90,"Excelente",J111&gt;=80,"Muy Bueno",J111&gt;=75,"Bueno",J111&gt;=65,"Regular",J111&gt;=55,"Insuficiente")</f>
        <v>Excelente</v>
      </c>
      <c r="L111" s="30" t="str" cm="1">
        <f t="array" ref="L111">_xlfn.IFS(C111&gt;=18,"Excelente",C111&gt;=14,"Muy bueno",C111&gt;=10,"Bueno",C111&gt;=6,"Regular",C111&lt;6,"Insuficiente")</f>
        <v>Excelente</v>
      </c>
      <c r="M111" s="30" t="str" cm="1">
        <f t="array" ref="M111">_xlfn.IFS(D111&gt;=18,"Excelente",D111&gt;=14,"Muy bueno",D111&gt;=10,"Bueno",D111&gt;=6,"Regular",D111&lt;6,"Insuficiente")</f>
        <v>Excelente</v>
      </c>
      <c r="N111" s="30" t="str" cm="1">
        <f t="array" ref="N111">_xlfn.IFS(E111&gt;=18,"Excelente",E111&gt;=14,"Muy bueno",E111&gt;=10,"Bueno",E111&gt;=6,"Regular",E111&lt;6,"Insuficiente")</f>
        <v>Excelente</v>
      </c>
      <c r="O111" s="30" t="str" cm="1">
        <f t="array" ref="O111">_xlfn.IFS(F111&gt;=9,"Excelente",F111&gt;=7,"Muy bueno",F111&gt;=5,"Bueno",F111&gt;=3,"Regular",F111&lt;3,"Insuficiente")</f>
        <v>Muy bueno</v>
      </c>
      <c r="P111" s="30" t="str" cm="1">
        <f t="array" ref="P111">_xlfn.IFS(G111&gt;=9,"Excelente",G111&gt;=7,"Muy bueno",G111&gt;=5,"Bueno",G111&gt;=3,"Regular",G111&lt;3,"Insuficiente")</f>
        <v>Muy bueno</v>
      </c>
      <c r="Q111" s="30" t="str" cm="1">
        <f t="array" ref="Q111">_xlfn.IFS(H111&gt;=9,"Excelente",H111&gt;=7,"Muy bueno",H111&gt;=5,"Bueno",H111&gt;=3,"Regular",H111&lt;3,"Insuficiente")</f>
        <v>Muy bueno</v>
      </c>
      <c r="R111" s="30" t="str" cm="1">
        <f t="array" ref="R111">_xlfn.IFS(I111&gt;=9,"Excelente",I111&gt;=7,"Muy bueno",I111&gt;=5,"Bueno",I111&gt;=3,"Regular",I111&lt;3,"Insuficiente")</f>
        <v>Excelente</v>
      </c>
    </row>
    <row r="112" spans="1:18">
      <c r="A112" t="s">
        <v>235</v>
      </c>
      <c r="B112" s="16">
        <v>3</v>
      </c>
      <c r="C112" s="16">
        <v>20</v>
      </c>
      <c r="D112" s="16">
        <v>20</v>
      </c>
      <c r="E112" s="16">
        <v>20</v>
      </c>
      <c r="F112" s="16">
        <v>8.6666666666666661</v>
      </c>
      <c r="G112" s="16">
        <v>10</v>
      </c>
      <c r="H112" s="16">
        <v>10</v>
      </c>
      <c r="I112" s="16">
        <v>10</v>
      </c>
      <c r="J112" s="28">
        <f t="shared" si="1"/>
        <v>98.666666666666671</v>
      </c>
      <c r="K112" s="29" t="str" cm="1">
        <f t="array" ref="K112">_xlfn.IFS(J112&gt;=90,"Excelente",J112&gt;=80,"Muy Bueno",J112&gt;=75,"Bueno",J112&gt;=65,"Regular",J112&gt;=55,"Insuficiente")</f>
        <v>Excelente</v>
      </c>
      <c r="L112" s="30" t="str" cm="1">
        <f t="array" ref="L112">_xlfn.IFS(C112&gt;=18,"Excelente",C112&gt;=14,"Muy bueno",C112&gt;=10,"Bueno",C112&gt;=6,"Regular",C112&lt;6,"Insuficiente")</f>
        <v>Excelente</v>
      </c>
      <c r="M112" s="30" t="str" cm="1">
        <f t="array" ref="M112">_xlfn.IFS(D112&gt;=18,"Excelente",D112&gt;=14,"Muy bueno",D112&gt;=10,"Bueno",D112&gt;=6,"Regular",D112&lt;6,"Insuficiente")</f>
        <v>Excelente</v>
      </c>
      <c r="N112" s="30" t="str" cm="1">
        <f t="array" ref="N112">_xlfn.IFS(E112&gt;=18,"Excelente",E112&gt;=14,"Muy bueno",E112&gt;=10,"Bueno",E112&gt;=6,"Regular",E112&lt;6,"Insuficiente")</f>
        <v>Excelente</v>
      </c>
      <c r="O112" s="30" t="str" cm="1">
        <f t="array" ref="O112">_xlfn.IFS(F112&gt;=9,"Excelente",F112&gt;=7,"Muy bueno",F112&gt;=5,"Bueno",F112&gt;=3,"Regular",F112&lt;3,"Insuficiente")</f>
        <v>Muy bueno</v>
      </c>
      <c r="P112" s="30" t="str" cm="1">
        <f t="array" ref="P112">_xlfn.IFS(G112&gt;=9,"Excelente",G112&gt;=7,"Muy bueno",G112&gt;=5,"Bueno",G112&gt;=3,"Regular",G112&lt;3,"Insuficiente")</f>
        <v>Excelente</v>
      </c>
      <c r="Q112" s="30" t="str" cm="1">
        <f t="array" ref="Q112">_xlfn.IFS(H112&gt;=9,"Excelente",H112&gt;=7,"Muy bueno",H112&gt;=5,"Bueno",H112&gt;=3,"Regular",H112&lt;3,"Insuficiente")</f>
        <v>Excelente</v>
      </c>
      <c r="R112" s="30" t="str" cm="1">
        <f t="array" ref="R112">_xlfn.IFS(I112&gt;=9,"Excelente",I112&gt;=7,"Muy bueno",I112&gt;=5,"Bueno",I112&gt;=3,"Regular",I112&lt;3,"Insuficiente")</f>
        <v>Excelente</v>
      </c>
    </row>
    <row r="113" spans="1:18">
      <c r="A113" t="s">
        <v>230</v>
      </c>
      <c r="B113" s="16">
        <v>3</v>
      </c>
      <c r="C113" s="16">
        <v>20</v>
      </c>
      <c r="D113" s="16">
        <v>20</v>
      </c>
      <c r="E113" s="16">
        <v>18.666666666666668</v>
      </c>
      <c r="F113" s="16">
        <v>6</v>
      </c>
      <c r="G113" s="16">
        <v>7.333333333333333</v>
      </c>
      <c r="H113" s="16">
        <v>8.6666666666666661</v>
      </c>
      <c r="I113" s="16">
        <v>10</v>
      </c>
      <c r="J113" s="28">
        <f t="shared" si="1"/>
        <v>90.666666666666671</v>
      </c>
      <c r="K113" s="29" t="str" cm="1">
        <f t="array" ref="K113">_xlfn.IFS(J113&gt;=90,"Excelente",J113&gt;=80,"Muy Bueno",J113&gt;=75,"Bueno",J113&gt;=65,"Regular",J113&gt;=55,"Insuficiente")</f>
        <v>Excelente</v>
      </c>
      <c r="L113" s="30" t="str" cm="1">
        <f t="array" ref="L113">_xlfn.IFS(C113&gt;=18,"Excelente",C113&gt;=14,"Muy bueno",C113&gt;=10,"Bueno",C113&gt;=6,"Regular",C113&lt;6,"Insuficiente")</f>
        <v>Excelente</v>
      </c>
      <c r="M113" s="30" t="str" cm="1">
        <f t="array" ref="M113">_xlfn.IFS(D113&gt;=18,"Excelente",D113&gt;=14,"Muy bueno",D113&gt;=10,"Bueno",D113&gt;=6,"Regular",D113&lt;6,"Insuficiente")</f>
        <v>Excelente</v>
      </c>
      <c r="N113" s="30" t="str" cm="1">
        <f t="array" ref="N113">_xlfn.IFS(E113&gt;=18,"Excelente",E113&gt;=14,"Muy bueno",E113&gt;=10,"Bueno",E113&gt;=6,"Regular",E113&lt;6,"Insuficiente")</f>
        <v>Excelente</v>
      </c>
      <c r="O113" s="30" t="str" cm="1">
        <f t="array" ref="O113">_xlfn.IFS(F113&gt;=9,"Excelente",F113&gt;=7,"Muy bueno",F113&gt;=5,"Bueno",F113&gt;=3,"Regular",F113&lt;3,"Insuficiente")</f>
        <v>Bueno</v>
      </c>
      <c r="P113" s="30" t="str" cm="1">
        <f t="array" ref="P113">_xlfn.IFS(G113&gt;=9,"Excelente",G113&gt;=7,"Muy bueno",G113&gt;=5,"Bueno",G113&gt;=3,"Regular",G113&lt;3,"Insuficiente")</f>
        <v>Muy bueno</v>
      </c>
      <c r="Q113" s="30" t="str" cm="1">
        <f t="array" ref="Q113">_xlfn.IFS(H113&gt;=9,"Excelente",H113&gt;=7,"Muy bueno",H113&gt;=5,"Bueno",H113&gt;=3,"Regular",H113&lt;3,"Insuficiente")</f>
        <v>Muy bueno</v>
      </c>
      <c r="R113" s="30" t="str" cm="1">
        <f t="array" ref="R113">_xlfn.IFS(I113&gt;=9,"Excelente",I113&gt;=7,"Muy bueno",I113&gt;=5,"Bueno",I113&gt;=3,"Regular",I113&lt;3,"Insuficiente")</f>
        <v>Excelente</v>
      </c>
    </row>
    <row r="114" spans="1:18">
      <c r="A114" t="s">
        <v>323</v>
      </c>
      <c r="B114" s="16">
        <v>3</v>
      </c>
      <c r="C114" s="16">
        <v>18.666666666666668</v>
      </c>
      <c r="D114" s="16">
        <v>17.333333333333332</v>
      </c>
      <c r="E114" s="16">
        <v>17.333333333333332</v>
      </c>
      <c r="F114" s="16">
        <v>9.3333333333333339</v>
      </c>
      <c r="G114" s="16">
        <v>9.3333333333333339</v>
      </c>
      <c r="H114" s="16">
        <v>8</v>
      </c>
      <c r="I114" s="16">
        <v>9.3333333333333339</v>
      </c>
      <c r="J114" s="28">
        <f t="shared" si="1"/>
        <v>89.333333333333329</v>
      </c>
      <c r="K114" s="29" t="str" cm="1">
        <f t="array" ref="K114">_xlfn.IFS(J114&gt;=90,"Excelente",J114&gt;=80,"Muy Bueno",J114&gt;=75,"Bueno",J114&gt;=65,"Regular",J114&gt;=55,"Insuficiente")</f>
        <v>Muy Bueno</v>
      </c>
      <c r="L114" s="30" t="str" cm="1">
        <f t="array" ref="L114">_xlfn.IFS(C114&gt;=18,"Excelente",C114&gt;=14,"Muy bueno",C114&gt;=10,"Bueno",C114&gt;=6,"Regular",C114&lt;6,"Insuficiente")</f>
        <v>Excelente</v>
      </c>
      <c r="M114" s="30" t="str" cm="1">
        <f t="array" ref="M114">_xlfn.IFS(D114&gt;=18,"Excelente",D114&gt;=14,"Muy bueno",D114&gt;=10,"Bueno",D114&gt;=6,"Regular",D114&lt;6,"Insuficiente")</f>
        <v>Muy bueno</v>
      </c>
      <c r="N114" s="30" t="str" cm="1">
        <f t="array" ref="N114">_xlfn.IFS(E114&gt;=18,"Excelente",E114&gt;=14,"Muy bueno",E114&gt;=10,"Bueno",E114&gt;=6,"Regular",E114&lt;6,"Insuficiente")</f>
        <v>Muy bueno</v>
      </c>
      <c r="O114" s="30" t="str" cm="1">
        <f t="array" ref="O114">_xlfn.IFS(F114&gt;=9,"Excelente",F114&gt;=7,"Muy bueno",F114&gt;=5,"Bueno",F114&gt;=3,"Regular",F114&lt;3,"Insuficiente")</f>
        <v>Excelente</v>
      </c>
      <c r="P114" s="30" t="str" cm="1">
        <f t="array" ref="P114">_xlfn.IFS(G114&gt;=9,"Excelente",G114&gt;=7,"Muy bueno",G114&gt;=5,"Bueno",G114&gt;=3,"Regular",G114&lt;3,"Insuficiente")</f>
        <v>Excelente</v>
      </c>
      <c r="Q114" s="30" t="str" cm="1">
        <f t="array" ref="Q114">_xlfn.IFS(H114&gt;=9,"Excelente",H114&gt;=7,"Muy bueno",H114&gt;=5,"Bueno",H114&gt;=3,"Regular",H114&lt;3,"Insuficiente")</f>
        <v>Muy bueno</v>
      </c>
      <c r="R114" s="30" t="str" cm="1">
        <f t="array" ref="R114">_xlfn.IFS(I114&gt;=9,"Excelente",I114&gt;=7,"Muy bueno",I114&gt;=5,"Bueno",I114&gt;=3,"Regular",I114&lt;3,"Insuficiente")</f>
        <v>Excelente</v>
      </c>
    </row>
    <row r="115" spans="1:18">
      <c r="A115" t="s">
        <v>209</v>
      </c>
      <c r="B115" s="16">
        <v>3</v>
      </c>
      <c r="C115" s="16">
        <v>20</v>
      </c>
      <c r="D115" s="16">
        <v>20</v>
      </c>
      <c r="E115" s="16">
        <v>20</v>
      </c>
      <c r="F115" s="16">
        <v>10</v>
      </c>
      <c r="G115" s="16">
        <v>10</v>
      </c>
      <c r="H115" s="16">
        <v>10</v>
      </c>
      <c r="I115" s="16">
        <v>10</v>
      </c>
      <c r="J115" s="28">
        <f t="shared" si="1"/>
        <v>100</v>
      </c>
      <c r="K115" s="29" t="str" cm="1">
        <f t="array" ref="K115">_xlfn.IFS(J115&gt;=90,"Excelente",J115&gt;=80,"Muy Bueno",J115&gt;=75,"Bueno",J115&gt;=65,"Regular",J115&gt;=55,"Insuficiente")</f>
        <v>Excelente</v>
      </c>
      <c r="L115" s="30" t="str" cm="1">
        <f t="array" ref="L115">_xlfn.IFS(C115&gt;=18,"Excelente",C115&gt;=14,"Muy bueno",C115&gt;=10,"Bueno",C115&gt;=6,"Regular",C115&lt;6,"Insuficiente")</f>
        <v>Excelente</v>
      </c>
      <c r="M115" s="30" t="str" cm="1">
        <f t="array" ref="M115">_xlfn.IFS(D115&gt;=18,"Excelente",D115&gt;=14,"Muy bueno",D115&gt;=10,"Bueno",D115&gt;=6,"Regular",D115&lt;6,"Insuficiente")</f>
        <v>Excelente</v>
      </c>
      <c r="N115" s="30" t="str" cm="1">
        <f t="array" ref="N115">_xlfn.IFS(E115&gt;=18,"Excelente",E115&gt;=14,"Muy bueno",E115&gt;=10,"Bueno",E115&gt;=6,"Regular",E115&lt;6,"Insuficiente")</f>
        <v>Excelente</v>
      </c>
      <c r="O115" s="30" t="str" cm="1">
        <f t="array" ref="O115">_xlfn.IFS(F115&gt;=9,"Excelente",F115&gt;=7,"Muy bueno",F115&gt;=5,"Bueno",F115&gt;=3,"Regular",F115&lt;3,"Insuficiente")</f>
        <v>Excelente</v>
      </c>
      <c r="P115" s="30" t="str" cm="1">
        <f t="array" ref="P115">_xlfn.IFS(G115&gt;=9,"Excelente",G115&gt;=7,"Muy bueno",G115&gt;=5,"Bueno",G115&gt;=3,"Regular",G115&lt;3,"Insuficiente")</f>
        <v>Excelente</v>
      </c>
      <c r="Q115" s="30" t="str" cm="1">
        <f t="array" ref="Q115">_xlfn.IFS(H115&gt;=9,"Excelente",H115&gt;=7,"Muy bueno",H115&gt;=5,"Bueno",H115&gt;=3,"Regular",H115&lt;3,"Insuficiente")</f>
        <v>Excelente</v>
      </c>
      <c r="R115" s="30" t="str" cm="1">
        <f t="array" ref="R115">_xlfn.IFS(I115&gt;=9,"Excelente",I115&gt;=7,"Muy bueno",I115&gt;=5,"Bueno",I115&gt;=3,"Regular",I115&lt;3,"Insuficiente")</f>
        <v>Excelente</v>
      </c>
    </row>
    <row r="116" spans="1:18">
      <c r="A116" t="s">
        <v>199</v>
      </c>
      <c r="B116" s="16">
        <v>3</v>
      </c>
      <c r="C116" s="16">
        <v>20</v>
      </c>
      <c r="D116" s="16">
        <v>20</v>
      </c>
      <c r="E116" s="16">
        <v>20</v>
      </c>
      <c r="F116" s="16">
        <v>9.3333333333333339</v>
      </c>
      <c r="G116" s="16">
        <v>9.3333333333333339</v>
      </c>
      <c r="H116" s="16">
        <v>10</v>
      </c>
      <c r="I116" s="16">
        <v>10</v>
      </c>
      <c r="J116" s="28">
        <f t="shared" si="1"/>
        <v>98.666666666666657</v>
      </c>
      <c r="K116" s="29" t="str" cm="1">
        <f t="array" ref="K116">_xlfn.IFS(J116&gt;=90,"Excelente",J116&gt;=80,"Muy Bueno",J116&gt;=75,"Bueno",J116&gt;=65,"Regular",J116&gt;=55,"Insuficiente")</f>
        <v>Excelente</v>
      </c>
      <c r="L116" s="30" t="str" cm="1">
        <f t="array" ref="L116">_xlfn.IFS(C116&gt;=18,"Excelente",C116&gt;=14,"Muy bueno",C116&gt;=10,"Bueno",C116&gt;=6,"Regular",C116&lt;6,"Insuficiente")</f>
        <v>Excelente</v>
      </c>
      <c r="M116" s="30" t="str" cm="1">
        <f t="array" ref="M116">_xlfn.IFS(D116&gt;=18,"Excelente",D116&gt;=14,"Muy bueno",D116&gt;=10,"Bueno",D116&gt;=6,"Regular",D116&lt;6,"Insuficiente")</f>
        <v>Excelente</v>
      </c>
      <c r="N116" s="30" t="str" cm="1">
        <f t="array" ref="N116">_xlfn.IFS(E116&gt;=18,"Excelente",E116&gt;=14,"Muy bueno",E116&gt;=10,"Bueno",E116&gt;=6,"Regular",E116&lt;6,"Insuficiente")</f>
        <v>Excelente</v>
      </c>
      <c r="O116" s="30" t="str" cm="1">
        <f t="array" ref="O116">_xlfn.IFS(F116&gt;=9,"Excelente",F116&gt;=7,"Muy bueno",F116&gt;=5,"Bueno",F116&gt;=3,"Regular",F116&lt;3,"Insuficiente")</f>
        <v>Excelente</v>
      </c>
      <c r="P116" s="30" t="str" cm="1">
        <f t="array" ref="P116">_xlfn.IFS(G116&gt;=9,"Excelente",G116&gt;=7,"Muy bueno",G116&gt;=5,"Bueno",G116&gt;=3,"Regular",G116&lt;3,"Insuficiente")</f>
        <v>Excelente</v>
      </c>
      <c r="Q116" s="30" t="str" cm="1">
        <f t="array" ref="Q116">_xlfn.IFS(H116&gt;=9,"Excelente",H116&gt;=7,"Muy bueno",H116&gt;=5,"Bueno",H116&gt;=3,"Regular",H116&lt;3,"Insuficiente")</f>
        <v>Excelente</v>
      </c>
      <c r="R116" s="30" t="str" cm="1">
        <f t="array" ref="R116">_xlfn.IFS(I116&gt;=9,"Excelente",I116&gt;=7,"Muy bueno",I116&gt;=5,"Bueno",I116&gt;=3,"Regular",I116&lt;3,"Insuficiente")</f>
        <v>Excelente</v>
      </c>
    </row>
    <row r="117" spans="1:18">
      <c r="A117" t="s">
        <v>311</v>
      </c>
      <c r="B117" s="16">
        <v>3</v>
      </c>
      <c r="C117" s="16">
        <v>20</v>
      </c>
      <c r="D117" s="16">
        <v>20</v>
      </c>
      <c r="E117" s="16">
        <v>20</v>
      </c>
      <c r="F117" s="16">
        <v>10</v>
      </c>
      <c r="G117" s="16">
        <v>10</v>
      </c>
      <c r="H117" s="16">
        <v>10</v>
      </c>
      <c r="I117" s="16">
        <v>10</v>
      </c>
      <c r="J117" s="28">
        <f t="shared" si="1"/>
        <v>100</v>
      </c>
      <c r="K117" s="29" t="str" cm="1">
        <f t="array" ref="K117">_xlfn.IFS(J117&gt;=90,"Excelente",J117&gt;=80,"Muy Bueno",J117&gt;=75,"Bueno",J117&gt;=65,"Regular",J117&gt;=55,"Insuficiente")</f>
        <v>Excelente</v>
      </c>
      <c r="L117" s="30" t="str" cm="1">
        <f t="array" ref="L117">_xlfn.IFS(C117&gt;=18,"Excelente",C117&gt;=14,"Muy bueno",C117&gt;=10,"Bueno",C117&gt;=6,"Regular",C117&lt;6,"Insuficiente")</f>
        <v>Excelente</v>
      </c>
      <c r="M117" s="30" t="str" cm="1">
        <f t="array" ref="M117">_xlfn.IFS(D117&gt;=18,"Excelente",D117&gt;=14,"Muy bueno",D117&gt;=10,"Bueno",D117&gt;=6,"Regular",D117&lt;6,"Insuficiente")</f>
        <v>Excelente</v>
      </c>
      <c r="N117" s="30" t="str" cm="1">
        <f t="array" ref="N117">_xlfn.IFS(E117&gt;=18,"Excelente",E117&gt;=14,"Muy bueno",E117&gt;=10,"Bueno",E117&gt;=6,"Regular",E117&lt;6,"Insuficiente")</f>
        <v>Excelente</v>
      </c>
      <c r="O117" s="30" t="str" cm="1">
        <f t="array" ref="O117">_xlfn.IFS(F117&gt;=9,"Excelente",F117&gt;=7,"Muy bueno",F117&gt;=5,"Bueno",F117&gt;=3,"Regular",F117&lt;3,"Insuficiente")</f>
        <v>Excelente</v>
      </c>
      <c r="P117" s="30" t="str" cm="1">
        <f t="array" ref="P117">_xlfn.IFS(G117&gt;=9,"Excelente",G117&gt;=7,"Muy bueno",G117&gt;=5,"Bueno",G117&gt;=3,"Regular",G117&lt;3,"Insuficiente")</f>
        <v>Excelente</v>
      </c>
      <c r="Q117" s="30" t="str" cm="1">
        <f t="array" ref="Q117">_xlfn.IFS(H117&gt;=9,"Excelente",H117&gt;=7,"Muy bueno",H117&gt;=5,"Bueno",H117&gt;=3,"Regular",H117&lt;3,"Insuficiente")</f>
        <v>Excelente</v>
      </c>
      <c r="R117" s="30" t="str" cm="1">
        <f t="array" ref="R117">_xlfn.IFS(I117&gt;=9,"Excelente",I117&gt;=7,"Muy bueno",I117&gt;=5,"Bueno",I117&gt;=3,"Regular",I117&lt;3,"Insuficiente")</f>
        <v>Excelente</v>
      </c>
    </row>
    <row r="118" spans="1:18">
      <c r="A118" t="s">
        <v>133</v>
      </c>
      <c r="B118" s="16">
        <v>3</v>
      </c>
      <c r="C118" s="16">
        <v>18.666666666666668</v>
      </c>
      <c r="D118" s="16">
        <v>20</v>
      </c>
      <c r="E118" s="16">
        <v>18.666666666666668</v>
      </c>
      <c r="F118" s="16">
        <v>9.3333333333333339</v>
      </c>
      <c r="G118" s="16">
        <v>9.3333333333333339</v>
      </c>
      <c r="H118" s="16">
        <v>9.3333333333333339</v>
      </c>
      <c r="I118" s="16">
        <v>8.6666666666666661</v>
      </c>
      <c r="J118" s="28">
        <f t="shared" si="1"/>
        <v>94</v>
      </c>
      <c r="K118" s="29" t="str" cm="1">
        <f t="array" ref="K118">_xlfn.IFS(J118&gt;=90,"Excelente",J118&gt;=80,"Muy Bueno",J118&gt;=75,"Bueno",J118&gt;=65,"Regular",J118&gt;=55,"Insuficiente")</f>
        <v>Excelente</v>
      </c>
      <c r="L118" s="30" t="str" cm="1">
        <f t="array" ref="L118">_xlfn.IFS(C118&gt;=18,"Excelente",C118&gt;=14,"Muy bueno",C118&gt;=10,"Bueno",C118&gt;=6,"Regular",C118&lt;6,"Insuficiente")</f>
        <v>Excelente</v>
      </c>
      <c r="M118" s="30" t="str" cm="1">
        <f t="array" ref="M118">_xlfn.IFS(D118&gt;=18,"Excelente",D118&gt;=14,"Muy bueno",D118&gt;=10,"Bueno",D118&gt;=6,"Regular",D118&lt;6,"Insuficiente")</f>
        <v>Excelente</v>
      </c>
      <c r="N118" s="30" t="str" cm="1">
        <f t="array" ref="N118">_xlfn.IFS(E118&gt;=18,"Excelente",E118&gt;=14,"Muy bueno",E118&gt;=10,"Bueno",E118&gt;=6,"Regular",E118&lt;6,"Insuficiente")</f>
        <v>Excelente</v>
      </c>
      <c r="O118" s="30" t="str" cm="1">
        <f t="array" ref="O118">_xlfn.IFS(F118&gt;=9,"Excelente",F118&gt;=7,"Muy bueno",F118&gt;=5,"Bueno",F118&gt;=3,"Regular",F118&lt;3,"Insuficiente")</f>
        <v>Excelente</v>
      </c>
      <c r="P118" s="30" t="str" cm="1">
        <f t="array" ref="P118">_xlfn.IFS(G118&gt;=9,"Excelente",G118&gt;=7,"Muy bueno",G118&gt;=5,"Bueno",G118&gt;=3,"Regular",G118&lt;3,"Insuficiente")</f>
        <v>Excelente</v>
      </c>
      <c r="Q118" s="30" t="str" cm="1">
        <f t="array" ref="Q118">_xlfn.IFS(H118&gt;=9,"Excelente",H118&gt;=7,"Muy bueno",H118&gt;=5,"Bueno",H118&gt;=3,"Regular",H118&lt;3,"Insuficiente")</f>
        <v>Excelente</v>
      </c>
      <c r="R118" s="30" t="str" cm="1">
        <f t="array" ref="R118">_xlfn.IFS(I118&gt;=9,"Excelente",I118&gt;=7,"Muy bueno",I118&gt;=5,"Bueno",I118&gt;=3,"Regular",I118&lt;3,"Insuficiente")</f>
        <v>Muy bueno</v>
      </c>
    </row>
    <row r="119" spans="1:18">
      <c r="A119" t="s">
        <v>303</v>
      </c>
      <c r="B119" s="16">
        <v>3</v>
      </c>
      <c r="C119" s="16">
        <v>20</v>
      </c>
      <c r="D119" s="16">
        <v>20</v>
      </c>
      <c r="E119" s="16">
        <v>20</v>
      </c>
      <c r="F119" s="16">
        <v>9.3333333333333339</v>
      </c>
      <c r="G119" s="16">
        <v>9.3333333333333339</v>
      </c>
      <c r="H119" s="16">
        <v>10</v>
      </c>
      <c r="I119" s="16">
        <v>10</v>
      </c>
      <c r="J119" s="28">
        <f t="shared" si="1"/>
        <v>98.666666666666657</v>
      </c>
      <c r="K119" s="29" t="str" cm="1">
        <f t="array" ref="K119">_xlfn.IFS(J119&gt;=90,"Excelente",J119&gt;=80,"Muy Bueno",J119&gt;=75,"Bueno",J119&gt;=65,"Regular",J119&gt;=55,"Insuficiente")</f>
        <v>Excelente</v>
      </c>
      <c r="L119" s="30" t="str" cm="1">
        <f t="array" ref="L119">_xlfn.IFS(C119&gt;=18,"Excelente",C119&gt;=14,"Muy bueno",C119&gt;=10,"Bueno",C119&gt;=6,"Regular",C119&lt;6,"Insuficiente")</f>
        <v>Excelente</v>
      </c>
      <c r="M119" s="30" t="str" cm="1">
        <f t="array" ref="M119">_xlfn.IFS(D119&gt;=18,"Excelente",D119&gt;=14,"Muy bueno",D119&gt;=10,"Bueno",D119&gt;=6,"Regular",D119&lt;6,"Insuficiente")</f>
        <v>Excelente</v>
      </c>
      <c r="N119" s="30" t="str" cm="1">
        <f t="array" ref="N119">_xlfn.IFS(E119&gt;=18,"Excelente",E119&gt;=14,"Muy bueno",E119&gt;=10,"Bueno",E119&gt;=6,"Regular",E119&lt;6,"Insuficiente")</f>
        <v>Excelente</v>
      </c>
      <c r="O119" s="30" t="str" cm="1">
        <f t="array" ref="O119">_xlfn.IFS(F119&gt;=9,"Excelente",F119&gt;=7,"Muy bueno",F119&gt;=5,"Bueno",F119&gt;=3,"Regular",F119&lt;3,"Insuficiente")</f>
        <v>Excelente</v>
      </c>
      <c r="P119" s="30" t="str" cm="1">
        <f t="array" ref="P119">_xlfn.IFS(G119&gt;=9,"Excelente",G119&gt;=7,"Muy bueno",G119&gt;=5,"Bueno",G119&gt;=3,"Regular",G119&lt;3,"Insuficiente")</f>
        <v>Excelente</v>
      </c>
      <c r="Q119" s="30" t="str" cm="1">
        <f t="array" ref="Q119">_xlfn.IFS(H119&gt;=9,"Excelente",H119&gt;=7,"Muy bueno",H119&gt;=5,"Bueno",H119&gt;=3,"Regular",H119&lt;3,"Insuficiente")</f>
        <v>Excelente</v>
      </c>
      <c r="R119" s="30" t="str" cm="1">
        <f t="array" ref="R119">_xlfn.IFS(I119&gt;=9,"Excelente",I119&gt;=7,"Muy bueno",I119&gt;=5,"Bueno",I119&gt;=3,"Regular",I119&lt;3,"Insuficiente")</f>
        <v>Excelente</v>
      </c>
    </row>
    <row r="120" spans="1:18">
      <c r="A120" t="s">
        <v>81</v>
      </c>
      <c r="B120" s="16">
        <v>3</v>
      </c>
      <c r="C120" s="16">
        <v>18.666666666666668</v>
      </c>
      <c r="D120" s="16">
        <v>20</v>
      </c>
      <c r="E120" s="16">
        <v>18.666666666666668</v>
      </c>
      <c r="F120" s="16">
        <v>8</v>
      </c>
      <c r="G120" s="16">
        <v>9.3333333333333339</v>
      </c>
      <c r="H120" s="16">
        <v>10</v>
      </c>
      <c r="I120" s="16">
        <v>8.6666666666666661</v>
      </c>
      <c r="J120" s="28">
        <f t="shared" si="1"/>
        <v>93.333333333333343</v>
      </c>
      <c r="K120" s="29" t="str" cm="1">
        <f t="array" ref="K120">_xlfn.IFS(J120&gt;=90,"Excelente",J120&gt;=80,"Muy Bueno",J120&gt;=75,"Bueno",J120&gt;=65,"Regular",J120&gt;=55,"Insuficiente")</f>
        <v>Excelente</v>
      </c>
      <c r="L120" s="30" t="str" cm="1">
        <f t="array" ref="L120">_xlfn.IFS(C120&gt;=18,"Excelente",C120&gt;=14,"Muy bueno",C120&gt;=10,"Bueno",C120&gt;=6,"Regular",C120&lt;6,"Insuficiente")</f>
        <v>Excelente</v>
      </c>
      <c r="M120" s="30" t="str" cm="1">
        <f t="array" ref="M120">_xlfn.IFS(D120&gt;=18,"Excelente",D120&gt;=14,"Muy bueno",D120&gt;=10,"Bueno",D120&gt;=6,"Regular",D120&lt;6,"Insuficiente")</f>
        <v>Excelente</v>
      </c>
      <c r="N120" s="30" t="str" cm="1">
        <f t="array" ref="N120">_xlfn.IFS(E120&gt;=18,"Excelente",E120&gt;=14,"Muy bueno",E120&gt;=10,"Bueno",E120&gt;=6,"Regular",E120&lt;6,"Insuficiente")</f>
        <v>Excelente</v>
      </c>
      <c r="O120" s="30" t="str" cm="1">
        <f t="array" ref="O120">_xlfn.IFS(F120&gt;=9,"Excelente",F120&gt;=7,"Muy bueno",F120&gt;=5,"Bueno",F120&gt;=3,"Regular",F120&lt;3,"Insuficiente")</f>
        <v>Muy bueno</v>
      </c>
      <c r="P120" s="30" t="str" cm="1">
        <f t="array" ref="P120">_xlfn.IFS(G120&gt;=9,"Excelente",G120&gt;=7,"Muy bueno",G120&gt;=5,"Bueno",G120&gt;=3,"Regular",G120&lt;3,"Insuficiente")</f>
        <v>Excelente</v>
      </c>
      <c r="Q120" s="30" t="str" cm="1">
        <f t="array" ref="Q120">_xlfn.IFS(H120&gt;=9,"Excelente",H120&gt;=7,"Muy bueno",H120&gt;=5,"Bueno",H120&gt;=3,"Regular",H120&lt;3,"Insuficiente")</f>
        <v>Excelente</v>
      </c>
      <c r="R120" s="30" t="str" cm="1">
        <f t="array" ref="R120">_xlfn.IFS(I120&gt;=9,"Excelente",I120&gt;=7,"Muy bueno",I120&gt;=5,"Bueno",I120&gt;=3,"Regular",I120&lt;3,"Insuficiente")</f>
        <v>Muy bueno</v>
      </c>
    </row>
    <row r="121" spans="1:18">
      <c r="A121" t="s">
        <v>276</v>
      </c>
      <c r="B121" s="16">
        <v>3</v>
      </c>
      <c r="C121" s="16">
        <v>20</v>
      </c>
      <c r="D121" s="16">
        <v>18.666666666666668</v>
      </c>
      <c r="E121" s="16">
        <v>20</v>
      </c>
      <c r="F121" s="16">
        <v>10</v>
      </c>
      <c r="G121" s="16">
        <v>9.3333333333333339</v>
      </c>
      <c r="H121" s="16">
        <v>9.3333333333333339</v>
      </c>
      <c r="I121" s="16">
        <v>10</v>
      </c>
      <c r="J121" s="28">
        <f t="shared" si="1"/>
        <v>97.333333333333329</v>
      </c>
      <c r="K121" s="29" t="str" cm="1">
        <f t="array" ref="K121">_xlfn.IFS(J121&gt;=90,"Excelente",J121&gt;=80,"Muy Bueno",J121&gt;=75,"Bueno",J121&gt;=65,"Regular",J121&gt;=55,"Insuficiente")</f>
        <v>Excelente</v>
      </c>
      <c r="L121" s="30" t="str" cm="1">
        <f t="array" ref="L121">_xlfn.IFS(C121&gt;=18,"Excelente",C121&gt;=14,"Muy bueno",C121&gt;=10,"Bueno",C121&gt;=6,"Regular",C121&lt;6,"Insuficiente")</f>
        <v>Excelente</v>
      </c>
      <c r="M121" s="30" t="str" cm="1">
        <f t="array" ref="M121">_xlfn.IFS(D121&gt;=18,"Excelente",D121&gt;=14,"Muy bueno",D121&gt;=10,"Bueno",D121&gt;=6,"Regular",D121&lt;6,"Insuficiente")</f>
        <v>Excelente</v>
      </c>
      <c r="N121" s="30" t="str" cm="1">
        <f t="array" ref="N121">_xlfn.IFS(E121&gt;=18,"Excelente",E121&gt;=14,"Muy bueno",E121&gt;=10,"Bueno",E121&gt;=6,"Regular",E121&lt;6,"Insuficiente")</f>
        <v>Excelente</v>
      </c>
      <c r="O121" s="30" t="str" cm="1">
        <f t="array" ref="O121">_xlfn.IFS(F121&gt;=9,"Excelente",F121&gt;=7,"Muy bueno",F121&gt;=5,"Bueno",F121&gt;=3,"Regular",F121&lt;3,"Insuficiente")</f>
        <v>Excelente</v>
      </c>
      <c r="P121" s="30" t="str" cm="1">
        <f t="array" ref="P121">_xlfn.IFS(G121&gt;=9,"Excelente",G121&gt;=7,"Muy bueno",G121&gt;=5,"Bueno",G121&gt;=3,"Regular",G121&lt;3,"Insuficiente")</f>
        <v>Excelente</v>
      </c>
      <c r="Q121" s="30" t="str" cm="1">
        <f t="array" ref="Q121">_xlfn.IFS(H121&gt;=9,"Excelente",H121&gt;=7,"Muy bueno",H121&gt;=5,"Bueno",H121&gt;=3,"Regular",H121&lt;3,"Insuficiente")</f>
        <v>Excelente</v>
      </c>
      <c r="R121" s="30" t="str" cm="1">
        <f t="array" ref="R121">_xlfn.IFS(I121&gt;=9,"Excelente",I121&gt;=7,"Muy bueno",I121&gt;=5,"Bueno",I121&gt;=3,"Regular",I121&lt;3,"Insuficiente")</f>
        <v>Excelente</v>
      </c>
    </row>
    <row r="122" spans="1:18">
      <c r="A122" t="s">
        <v>277</v>
      </c>
      <c r="B122" s="16">
        <v>3</v>
      </c>
      <c r="C122" s="16">
        <v>20</v>
      </c>
      <c r="D122" s="16">
        <v>18.666666666666668</v>
      </c>
      <c r="E122" s="16">
        <v>20</v>
      </c>
      <c r="F122" s="16">
        <v>10</v>
      </c>
      <c r="G122" s="16">
        <v>9.3333333333333339</v>
      </c>
      <c r="H122" s="16">
        <v>10</v>
      </c>
      <c r="I122" s="16">
        <v>10</v>
      </c>
      <c r="J122" s="28">
        <f t="shared" si="1"/>
        <v>98</v>
      </c>
      <c r="K122" s="29" t="str" cm="1">
        <f t="array" ref="K122">_xlfn.IFS(J122&gt;=90,"Excelente",J122&gt;=80,"Muy Bueno",J122&gt;=75,"Bueno",J122&gt;=65,"Regular",J122&gt;=55,"Insuficiente")</f>
        <v>Excelente</v>
      </c>
      <c r="L122" s="30" t="str" cm="1">
        <f t="array" ref="L122">_xlfn.IFS(C122&gt;=18,"Excelente",C122&gt;=14,"Muy bueno",C122&gt;=10,"Bueno",C122&gt;=6,"Regular",C122&lt;6,"Insuficiente")</f>
        <v>Excelente</v>
      </c>
      <c r="M122" s="30" t="str" cm="1">
        <f t="array" ref="M122">_xlfn.IFS(D122&gt;=18,"Excelente",D122&gt;=14,"Muy bueno",D122&gt;=10,"Bueno",D122&gt;=6,"Regular",D122&lt;6,"Insuficiente")</f>
        <v>Excelente</v>
      </c>
      <c r="N122" s="30" t="str" cm="1">
        <f t="array" ref="N122">_xlfn.IFS(E122&gt;=18,"Excelente",E122&gt;=14,"Muy bueno",E122&gt;=10,"Bueno",E122&gt;=6,"Regular",E122&lt;6,"Insuficiente")</f>
        <v>Excelente</v>
      </c>
      <c r="O122" s="30" t="str" cm="1">
        <f t="array" ref="O122">_xlfn.IFS(F122&gt;=9,"Excelente",F122&gt;=7,"Muy bueno",F122&gt;=5,"Bueno",F122&gt;=3,"Regular",F122&lt;3,"Insuficiente")</f>
        <v>Excelente</v>
      </c>
      <c r="P122" s="30" t="str" cm="1">
        <f t="array" ref="P122">_xlfn.IFS(G122&gt;=9,"Excelente",G122&gt;=7,"Muy bueno",G122&gt;=5,"Bueno",G122&gt;=3,"Regular",G122&lt;3,"Insuficiente")</f>
        <v>Excelente</v>
      </c>
      <c r="Q122" s="30" t="str" cm="1">
        <f t="array" ref="Q122">_xlfn.IFS(H122&gt;=9,"Excelente",H122&gt;=7,"Muy bueno",H122&gt;=5,"Bueno",H122&gt;=3,"Regular",H122&lt;3,"Insuficiente")</f>
        <v>Excelente</v>
      </c>
      <c r="R122" s="30" t="str" cm="1">
        <f t="array" ref="R122">_xlfn.IFS(I122&gt;=9,"Excelente",I122&gt;=7,"Muy bueno",I122&gt;=5,"Bueno",I122&gt;=3,"Regular",I122&lt;3,"Insuficiente")</f>
        <v>Excelente</v>
      </c>
    </row>
    <row r="123" spans="1:18">
      <c r="A123" t="s">
        <v>122</v>
      </c>
      <c r="B123" s="16">
        <v>3</v>
      </c>
      <c r="C123" s="16">
        <v>20</v>
      </c>
      <c r="D123" s="16">
        <v>20</v>
      </c>
      <c r="E123" s="16">
        <v>20</v>
      </c>
      <c r="F123" s="16">
        <v>10</v>
      </c>
      <c r="G123" s="16">
        <v>9.3333333333333339</v>
      </c>
      <c r="H123" s="16">
        <v>10</v>
      </c>
      <c r="I123" s="16">
        <v>10</v>
      </c>
      <c r="J123" s="28">
        <f t="shared" si="1"/>
        <v>99.333333333333329</v>
      </c>
      <c r="K123" s="29" t="str" cm="1">
        <f t="array" ref="K123">_xlfn.IFS(J123&gt;=90,"Excelente",J123&gt;=80,"Muy Bueno",J123&gt;=75,"Bueno",J123&gt;=65,"Regular",J123&gt;=55,"Insuficiente")</f>
        <v>Excelente</v>
      </c>
      <c r="L123" s="30" t="str" cm="1">
        <f t="array" ref="L123">_xlfn.IFS(C123&gt;=18,"Excelente",C123&gt;=14,"Muy bueno",C123&gt;=10,"Bueno",C123&gt;=6,"Regular",C123&lt;6,"Insuficiente")</f>
        <v>Excelente</v>
      </c>
      <c r="M123" s="30" t="str" cm="1">
        <f t="array" ref="M123">_xlfn.IFS(D123&gt;=18,"Excelente",D123&gt;=14,"Muy bueno",D123&gt;=10,"Bueno",D123&gt;=6,"Regular",D123&lt;6,"Insuficiente")</f>
        <v>Excelente</v>
      </c>
      <c r="N123" s="30" t="str" cm="1">
        <f t="array" ref="N123">_xlfn.IFS(E123&gt;=18,"Excelente",E123&gt;=14,"Muy bueno",E123&gt;=10,"Bueno",E123&gt;=6,"Regular",E123&lt;6,"Insuficiente")</f>
        <v>Excelente</v>
      </c>
      <c r="O123" s="30" t="str" cm="1">
        <f t="array" ref="O123">_xlfn.IFS(F123&gt;=9,"Excelente",F123&gt;=7,"Muy bueno",F123&gt;=5,"Bueno",F123&gt;=3,"Regular",F123&lt;3,"Insuficiente")</f>
        <v>Excelente</v>
      </c>
      <c r="P123" s="30" t="str" cm="1">
        <f t="array" ref="P123">_xlfn.IFS(G123&gt;=9,"Excelente",G123&gt;=7,"Muy bueno",G123&gt;=5,"Bueno",G123&gt;=3,"Regular",G123&lt;3,"Insuficiente")</f>
        <v>Excelente</v>
      </c>
      <c r="Q123" s="30" t="str" cm="1">
        <f t="array" ref="Q123">_xlfn.IFS(H123&gt;=9,"Excelente",H123&gt;=7,"Muy bueno",H123&gt;=5,"Bueno",H123&gt;=3,"Regular",H123&lt;3,"Insuficiente")</f>
        <v>Excelente</v>
      </c>
      <c r="R123" s="30" t="str" cm="1">
        <f t="array" ref="R123">_xlfn.IFS(I123&gt;=9,"Excelente",I123&gt;=7,"Muy bueno",I123&gt;=5,"Bueno",I123&gt;=3,"Regular",I123&lt;3,"Insuficiente")</f>
        <v>Excelente</v>
      </c>
    </row>
    <row r="124" spans="1:18">
      <c r="A124" t="s">
        <v>222</v>
      </c>
      <c r="B124" s="16">
        <v>3</v>
      </c>
      <c r="C124" s="16">
        <v>20</v>
      </c>
      <c r="D124" s="16">
        <v>20</v>
      </c>
      <c r="E124" s="16">
        <v>20</v>
      </c>
      <c r="F124" s="16">
        <v>10</v>
      </c>
      <c r="G124" s="16">
        <v>9.3333333333333339</v>
      </c>
      <c r="H124" s="16">
        <v>9.3333333333333339</v>
      </c>
      <c r="I124" s="16">
        <v>10</v>
      </c>
      <c r="J124" s="28">
        <f t="shared" si="1"/>
        <v>98.666666666666657</v>
      </c>
      <c r="K124" s="29" t="str" cm="1">
        <f t="array" ref="K124">_xlfn.IFS(J124&gt;=90,"Excelente",J124&gt;=80,"Muy Bueno",J124&gt;=75,"Bueno",J124&gt;=65,"Regular",J124&gt;=55,"Insuficiente")</f>
        <v>Excelente</v>
      </c>
      <c r="L124" s="30" t="str" cm="1">
        <f t="array" ref="L124">_xlfn.IFS(C124&gt;=18,"Excelente",C124&gt;=14,"Muy bueno",C124&gt;=10,"Bueno",C124&gt;=6,"Regular",C124&lt;6,"Insuficiente")</f>
        <v>Excelente</v>
      </c>
      <c r="M124" s="30" t="str" cm="1">
        <f t="array" ref="M124">_xlfn.IFS(D124&gt;=18,"Excelente",D124&gt;=14,"Muy bueno",D124&gt;=10,"Bueno",D124&gt;=6,"Regular",D124&lt;6,"Insuficiente")</f>
        <v>Excelente</v>
      </c>
      <c r="N124" s="30" t="str" cm="1">
        <f t="array" ref="N124">_xlfn.IFS(E124&gt;=18,"Excelente",E124&gt;=14,"Muy bueno",E124&gt;=10,"Bueno",E124&gt;=6,"Regular",E124&lt;6,"Insuficiente")</f>
        <v>Excelente</v>
      </c>
      <c r="O124" s="30" t="str" cm="1">
        <f t="array" ref="O124">_xlfn.IFS(F124&gt;=9,"Excelente",F124&gt;=7,"Muy bueno",F124&gt;=5,"Bueno",F124&gt;=3,"Regular",F124&lt;3,"Insuficiente")</f>
        <v>Excelente</v>
      </c>
      <c r="P124" s="30" t="str" cm="1">
        <f t="array" ref="P124">_xlfn.IFS(G124&gt;=9,"Excelente",G124&gt;=7,"Muy bueno",G124&gt;=5,"Bueno",G124&gt;=3,"Regular",G124&lt;3,"Insuficiente")</f>
        <v>Excelente</v>
      </c>
      <c r="Q124" s="30" t="str" cm="1">
        <f t="array" ref="Q124">_xlfn.IFS(H124&gt;=9,"Excelente",H124&gt;=7,"Muy bueno",H124&gt;=5,"Bueno",H124&gt;=3,"Regular",H124&lt;3,"Insuficiente")</f>
        <v>Excelente</v>
      </c>
      <c r="R124" s="30" t="str" cm="1">
        <f t="array" ref="R124">_xlfn.IFS(I124&gt;=9,"Excelente",I124&gt;=7,"Muy bueno",I124&gt;=5,"Bueno",I124&gt;=3,"Regular",I124&lt;3,"Insuficiente")</f>
        <v>Excelente</v>
      </c>
    </row>
    <row r="125" spans="1:18">
      <c r="A125" t="s">
        <v>290</v>
      </c>
      <c r="B125" s="16">
        <v>3</v>
      </c>
      <c r="C125" s="16">
        <v>17.333333333333332</v>
      </c>
      <c r="D125" s="16">
        <v>17.333333333333332</v>
      </c>
      <c r="E125" s="16">
        <v>17.333333333333332</v>
      </c>
      <c r="F125" s="16">
        <v>9.3333333333333339</v>
      </c>
      <c r="G125" s="16">
        <v>8</v>
      </c>
      <c r="H125" s="16">
        <v>8.6666666666666661</v>
      </c>
      <c r="I125" s="16">
        <v>8.6666666666666661</v>
      </c>
      <c r="J125" s="28">
        <f t="shared" si="1"/>
        <v>86.666666666666686</v>
      </c>
      <c r="K125" s="29" t="str" cm="1">
        <f t="array" ref="K125">_xlfn.IFS(J125&gt;=90,"Excelente",J125&gt;=80,"Muy Bueno",J125&gt;=75,"Bueno",J125&gt;=65,"Regular",J125&gt;=55,"Insuficiente")</f>
        <v>Muy Bueno</v>
      </c>
      <c r="L125" s="30" t="str" cm="1">
        <f t="array" ref="L125">_xlfn.IFS(C125&gt;=18,"Excelente",C125&gt;=14,"Muy bueno",C125&gt;=10,"Bueno",C125&gt;=6,"Regular",C125&lt;6,"Insuficiente")</f>
        <v>Muy bueno</v>
      </c>
      <c r="M125" s="30" t="str" cm="1">
        <f t="array" ref="M125">_xlfn.IFS(D125&gt;=18,"Excelente",D125&gt;=14,"Muy bueno",D125&gt;=10,"Bueno",D125&gt;=6,"Regular",D125&lt;6,"Insuficiente")</f>
        <v>Muy bueno</v>
      </c>
      <c r="N125" s="30" t="str" cm="1">
        <f t="array" ref="N125">_xlfn.IFS(E125&gt;=18,"Excelente",E125&gt;=14,"Muy bueno",E125&gt;=10,"Bueno",E125&gt;=6,"Regular",E125&lt;6,"Insuficiente")</f>
        <v>Muy bueno</v>
      </c>
      <c r="O125" s="30" t="str" cm="1">
        <f t="array" ref="O125">_xlfn.IFS(F125&gt;=9,"Excelente",F125&gt;=7,"Muy bueno",F125&gt;=5,"Bueno",F125&gt;=3,"Regular",F125&lt;3,"Insuficiente")</f>
        <v>Excelente</v>
      </c>
      <c r="P125" s="30" t="str" cm="1">
        <f t="array" ref="P125">_xlfn.IFS(G125&gt;=9,"Excelente",G125&gt;=7,"Muy bueno",G125&gt;=5,"Bueno",G125&gt;=3,"Regular",G125&lt;3,"Insuficiente")</f>
        <v>Muy bueno</v>
      </c>
      <c r="Q125" s="30" t="str" cm="1">
        <f t="array" ref="Q125">_xlfn.IFS(H125&gt;=9,"Excelente",H125&gt;=7,"Muy bueno",H125&gt;=5,"Bueno",H125&gt;=3,"Regular",H125&lt;3,"Insuficiente")</f>
        <v>Muy bueno</v>
      </c>
      <c r="R125" s="30" t="str" cm="1">
        <f t="array" ref="R125">_xlfn.IFS(I125&gt;=9,"Excelente",I125&gt;=7,"Muy bueno",I125&gt;=5,"Bueno",I125&gt;=3,"Regular",I125&lt;3,"Insuficiente")</f>
        <v>Muy bueno</v>
      </c>
    </row>
    <row r="126" spans="1:18">
      <c r="A126" t="s">
        <v>84</v>
      </c>
      <c r="B126" s="16">
        <v>3</v>
      </c>
      <c r="C126" s="16">
        <v>14.666666666666666</v>
      </c>
      <c r="D126" s="16">
        <v>16</v>
      </c>
      <c r="E126" s="16">
        <v>17.333333333333332</v>
      </c>
      <c r="F126" s="16">
        <v>6.666666666666667</v>
      </c>
      <c r="G126" s="16">
        <v>8.6666666666666661</v>
      </c>
      <c r="H126" s="16">
        <v>6.666666666666667</v>
      </c>
      <c r="I126" s="16">
        <v>8.6666666666666661</v>
      </c>
      <c r="J126" s="28">
        <f t="shared" si="1"/>
        <v>78.666666666666671</v>
      </c>
      <c r="K126" s="29" t="str" cm="1">
        <f t="array" ref="K126">_xlfn.IFS(J126&gt;=90,"Excelente",J126&gt;=80,"Muy Bueno",J126&gt;=75,"Bueno",J126&gt;=65,"Regular",J126&gt;=55,"Insuficiente")</f>
        <v>Bueno</v>
      </c>
      <c r="L126" s="30" t="str" cm="1">
        <f t="array" ref="L126">_xlfn.IFS(C126&gt;=18,"Excelente",C126&gt;=14,"Muy bueno",C126&gt;=10,"Bueno",C126&gt;=6,"Regular",C126&lt;6,"Insuficiente")</f>
        <v>Muy bueno</v>
      </c>
      <c r="M126" s="30" t="str" cm="1">
        <f t="array" ref="M126">_xlfn.IFS(D126&gt;=18,"Excelente",D126&gt;=14,"Muy bueno",D126&gt;=10,"Bueno",D126&gt;=6,"Regular",D126&lt;6,"Insuficiente")</f>
        <v>Muy bueno</v>
      </c>
      <c r="N126" s="30" t="str" cm="1">
        <f t="array" ref="N126">_xlfn.IFS(E126&gt;=18,"Excelente",E126&gt;=14,"Muy bueno",E126&gt;=10,"Bueno",E126&gt;=6,"Regular",E126&lt;6,"Insuficiente")</f>
        <v>Muy bueno</v>
      </c>
      <c r="O126" s="30" t="str" cm="1">
        <f t="array" ref="O126">_xlfn.IFS(F126&gt;=9,"Excelente",F126&gt;=7,"Muy bueno",F126&gt;=5,"Bueno",F126&gt;=3,"Regular",F126&lt;3,"Insuficiente")</f>
        <v>Bueno</v>
      </c>
      <c r="P126" s="30" t="str" cm="1">
        <f t="array" ref="P126">_xlfn.IFS(G126&gt;=9,"Excelente",G126&gt;=7,"Muy bueno",G126&gt;=5,"Bueno",G126&gt;=3,"Regular",G126&lt;3,"Insuficiente")</f>
        <v>Muy bueno</v>
      </c>
      <c r="Q126" s="30" t="str" cm="1">
        <f t="array" ref="Q126">_xlfn.IFS(H126&gt;=9,"Excelente",H126&gt;=7,"Muy bueno",H126&gt;=5,"Bueno",H126&gt;=3,"Regular",H126&lt;3,"Insuficiente")</f>
        <v>Bueno</v>
      </c>
      <c r="R126" s="30" t="str" cm="1">
        <f t="array" ref="R126">_xlfn.IFS(I126&gt;=9,"Excelente",I126&gt;=7,"Muy bueno",I126&gt;=5,"Bueno",I126&gt;=3,"Regular",I126&lt;3,"Insuficiente")</f>
        <v>Muy bueno</v>
      </c>
    </row>
    <row r="127" spans="1:18">
      <c r="A127" t="s">
        <v>182</v>
      </c>
      <c r="B127" s="16">
        <v>3</v>
      </c>
      <c r="C127" s="16">
        <v>20</v>
      </c>
      <c r="D127" s="16">
        <v>20</v>
      </c>
      <c r="E127" s="16">
        <v>20</v>
      </c>
      <c r="F127" s="16">
        <v>9.3333333333333339</v>
      </c>
      <c r="G127" s="16">
        <v>9.3333333333333339</v>
      </c>
      <c r="H127" s="16">
        <v>9.3333333333333339</v>
      </c>
      <c r="I127" s="16">
        <v>9.3333333333333339</v>
      </c>
      <c r="J127" s="28">
        <f t="shared" si="1"/>
        <v>97.333333333333314</v>
      </c>
      <c r="K127" s="29" t="str" cm="1">
        <f t="array" ref="K127">_xlfn.IFS(J127&gt;=90,"Excelente",J127&gt;=80,"Muy Bueno",J127&gt;=75,"Bueno",J127&gt;=65,"Regular",J127&gt;=55,"Insuficiente")</f>
        <v>Excelente</v>
      </c>
      <c r="L127" s="30" t="str" cm="1">
        <f t="array" ref="L127">_xlfn.IFS(C127&gt;=18,"Excelente",C127&gt;=14,"Muy bueno",C127&gt;=10,"Bueno",C127&gt;=6,"Regular",C127&lt;6,"Insuficiente")</f>
        <v>Excelente</v>
      </c>
      <c r="M127" s="30" t="str" cm="1">
        <f t="array" ref="M127">_xlfn.IFS(D127&gt;=18,"Excelente",D127&gt;=14,"Muy bueno",D127&gt;=10,"Bueno",D127&gt;=6,"Regular",D127&lt;6,"Insuficiente")</f>
        <v>Excelente</v>
      </c>
      <c r="N127" s="30" t="str" cm="1">
        <f t="array" ref="N127">_xlfn.IFS(E127&gt;=18,"Excelente",E127&gt;=14,"Muy bueno",E127&gt;=10,"Bueno",E127&gt;=6,"Regular",E127&lt;6,"Insuficiente")</f>
        <v>Excelente</v>
      </c>
      <c r="O127" s="30" t="str" cm="1">
        <f t="array" ref="O127">_xlfn.IFS(F127&gt;=9,"Excelente",F127&gt;=7,"Muy bueno",F127&gt;=5,"Bueno",F127&gt;=3,"Regular",F127&lt;3,"Insuficiente")</f>
        <v>Excelente</v>
      </c>
      <c r="P127" s="30" t="str" cm="1">
        <f t="array" ref="P127">_xlfn.IFS(G127&gt;=9,"Excelente",G127&gt;=7,"Muy bueno",G127&gt;=5,"Bueno",G127&gt;=3,"Regular",G127&lt;3,"Insuficiente")</f>
        <v>Excelente</v>
      </c>
      <c r="Q127" s="30" t="str" cm="1">
        <f t="array" ref="Q127">_xlfn.IFS(H127&gt;=9,"Excelente",H127&gt;=7,"Muy bueno",H127&gt;=5,"Bueno",H127&gt;=3,"Regular",H127&lt;3,"Insuficiente")</f>
        <v>Excelente</v>
      </c>
      <c r="R127" s="30" t="str" cm="1">
        <f t="array" ref="R127">_xlfn.IFS(I127&gt;=9,"Excelente",I127&gt;=7,"Muy bueno",I127&gt;=5,"Bueno",I127&gt;=3,"Regular",I127&lt;3,"Insuficiente")</f>
        <v>Excelente</v>
      </c>
    </row>
    <row r="128" spans="1:18">
      <c r="A128" t="s">
        <v>114</v>
      </c>
      <c r="B128" s="16">
        <v>3</v>
      </c>
      <c r="C128" s="16">
        <v>18.666666666666668</v>
      </c>
      <c r="D128" s="16">
        <v>16</v>
      </c>
      <c r="E128" s="16">
        <v>17.333333333333332</v>
      </c>
      <c r="F128" s="16">
        <v>8.6666666666666661</v>
      </c>
      <c r="G128" s="16">
        <v>10</v>
      </c>
      <c r="H128" s="16">
        <v>8.6666666666666661</v>
      </c>
      <c r="I128" s="16">
        <v>10</v>
      </c>
      <c r="J128" s="28">
        <f t="shared" si="1"/>
        <v>89.333333333333329</v>
      </c>
      <c r="K128" s="29" t="str" cm="1">
        <f t="array" ref="K128">_xlfn.IFS(J128&gt;=90,"Excelente",J128&gt;=80,"Muy Bueno",J128&gt;=75,"Bueno",J128&gt;=65,"Regular",J128&gt;=55,"Insuficiente")</f>
        <v>Muy Bueno</v>
      </c>
      <c r="L128" s="30" t="str" cm="1">
        <f t="array" ref="L128">_xlfn.IFS(C128&gt;=18,"Excelente",C128&gt;=14,"Muy bueno",C128&gt;=10,"Bueno",C128&gt;=6,"Regular",C128&lt;6,"Insuficiente")</f>
        <v>Excelente</v>
      </c>
      <c r="M128" s="30" t="str" cm="1">
        <f t="array" ref="M128">_xlfn.IFS(D128&gt;=18,"Excelente",D128&gt;=14,"Muy bueno",D128&gt;=10,"Bueno",D128&gt;=6,"Regular",D128&lt;6,"Insuficiente")</f>
        <v>Muy bueno</v>
      </c>
      <c r="N128" s="30" t="str" cm="1">
        <f t="array" ref="N128">_xlfn.IFS(E128&gt;=18,"Excelente",E128&gt;=14,"Muy bueno",E128&gt;=10,"Bueno",E128&gt;=6,"Regular",E128&lt;6,"Insuficiente")</f>
        <v>Muy bueno</v>
      </c>
      <c r="O128" s="30" t="str" cm="1">
        <f t="array" ref="O128">_xlfn.IFS(F128&gt;=9,"Excelente",F128&gt;=7,"Muy bueno",F128&gt;=5,"Bueno",F128&gt;=3,"Regular",F128&lt;3,"Insuficiente")</f>
        <v>Muy bueno</v>
      </c>
      <c r="P128" s="30" t="str" cm="1">
        <f t="array" ref="P128">_xlfn.IFS(G128&gt;=9,"Excelente",G128&gt;=7,"Muy bueno",G128&gt;=5,"Bueno",G128&gt;=3,"Regular",G128&lt;3,"Insuficiente")</f>
        <v>Excelente</v>
      </c>
      <c r="Q128" s="30" t="str" cm="1">
        <f t="array" ref="Q128">_xlfn.IFS(H128&gt;=9,"Excelente",H128&gt;=7,"Muy bueno",H128&gt;=5,"Bueno",H128&gt;=3,"Regular",H128&lt;3,"Insuficiente")</f>
        <v>Muy bueno</v>
      </c>
      <c r="R128" s="30" t="str" cm="1">
        <f t="array" ref="R128">_xlfn.IFS(I128&gt;=9,"Excelente",I128&gt;=7,"Muy bueno",I128&gt;=5,"Bueno",I128&gt;=3,"Regular",I128&lt;3,"Insuficiente")</f>
        <v>Excelente</v>
      </c>
    </row>
    <row r="129" spans="1:18">
      <c r="A129" t="s">
        <v>160</v>
      </c>
      <c r="B129" s="16">
        <v>3</v>
      </c>
      <c r="C129" s="16">
        <v>20</v>
      </c>
      <c r="D129" s="16">
        <v>20</v>
      </c>
      <c r="E129" s="16">
        <v>20</v>
      </c>
      <c r="F129" s="16">
        <v>10</v>
      </c>
      <c r="G129" s="16">
        <v>10</v>
      </c>
      <c r="H129" s="16">
        <v>10</v>
      </c>
      <c r="I129" s="16">
        <v>10</v>
      </c>
      <c r="J129" s="28">
        <f t="shared" si="1"/>
        <v>100</v>
      </c>
      <c r="K129" s="29" t="str" cm="1">
        <f t="array" ref="K129">_xlfn.IFS(J129&gt;=90,"Excelente",J129&gt;=80,"Muy Bueno",J129&gt;=75,"Bueno",J129&gt;=65,"Regular",J129&gt;=55,"Insuficiente")</f>
        <v>Excelente</v>
      </c>
      <c r="L129" s="30" t="str" cm="1">
        <f t="array" ref="L129">_xlfn.IFS(C129&gt;=18,"Excelente",C129&gt;=14,"Muy bueno",C129&gt;=10,"Bueno",C129&gt;=6,"Regular",C129&lt;6,"Insuficiente")</f>
        <v>Excelente</v>
      </c>
      <c r="M129" s="30" t="str" cm="1">
        <f t="array" ref="M129">_xlfn.IFS(D129&gt;=18,"Excelente",D129&gt;=14,"Muy bueno",D129&gt;=10,"Bueno",D129&gt;=6,"Regular",D129&lt;6,"Insuficiente")</f>
        <v>Excelente</v>
      </c>
      <c r="N129" s="30" t="str" cm="1">
        <f t="array" ref="N129">_xlfn.IFS(E129&gt;=18,"Excelente",E129&gt;=14,"Muy bueno",E129&gt;=10,"Bueno",E129&gt;=6,"Regular",E129&lt;6,"Insuficiente")</f>
        <v>Excelente</v>
      </c>
      <c r="O129" s="30" t="str" cm="1">
        <f t="array" ref="O129">_xlfn.IFS(F129&gt;=9,"Excelente",F129&gt;=7,"Muy bueno",F129&gt;=5,"Bueno",F129&gt;=3,"Regular",F129&lt;3,"Insuficiente")</f>
        <v>Excelente</v>
      </c>
      <c r="P129" s="30" t="str" cm="1">
        <f t="array" ref="P129">_xlfn.IFS(G129&gt;=9,"Excelente",G129&gt;=7,"Muy bueno",G129&gt;=5,"Bueno",G129&gt;=3,"Regular",G129&lt;3,"Insuficiente")</f>
        <v>Excelente</v>
      </c>
      <c r="Q129" s="30" t="str" cm="1">
        <f t="array" ref="Q129">_xlfn.IFS(H129&gt;=9,"Excelente",H129&gt;=7,"Muy bueno",H129&gt;=5,"Bueno",H129&gt;=3,"Regular",H129&lt;3,"Insuficiente")</f>
        <v>Excelente</v>
      </c>
      <c r="R129" s="30" t="str" cm="1">
        <f t="array" ref="R129">_xlfn.IFS(I129&gt;=9,"Excelente",I129&gt;=7,"Muy bueno",I129&gt;=5,"Bueno",I129&gt;=3,"Regular",I129&lt;3,"Insuficiente")</f>
        <v>Excelente</v>
      </c>
    </row>
    <row r="130" spans="1:18">
      <c r="A130" t="s">
        <v>210</v>
      </c>
      <c r="B130" s="16">
        <v>3</v>
      </c>
      <c r="C130" s="16">
        <v>20</v>
      </c>
      <c r="D130" s="16">
        <v>20</v>
      </c>
      <c r="E130" s="16">
        <v>20</v>
      </c>
      <c r="F130" s="16">
        <v>10</v>
      </c>
      <c r="G130" s="16">
        <v>10</v>
      </c>
      <c r="H130" s="16">
        <v>10</v>
      </c>
      <c r="I130" s="16">
        <v>10</v>
      </c>
      <c r="J130" s="28">
        <f t="shared" si="1"/>
        <v>100</v>
      </c>
      <c r="K130" s="29" t="str" cm="1">
        <f t="array" ref="K130">_xlfn.IFS(J130&gt;=90,"Excelente",J130&gt;=80,"Muy Bueno",J130&gt;=75,"Bueno",J130&gt;=65,"Regular",J130&gt;=55,"Insuficiente")</f>
        <v>Excelente</v>
      </c>
      <c r="L130" s="30" t="str" cm="1">
        <f t="array" ref="L130">_xlfn.IFS(C130&gt;=18,"Excelente",C130&gt;=14,"Muy bueno",C130&gt;=10,"Bueno",C130&gt;=6,"Regular",C130&lt;6,"Insuficiente")</f>
        <v>Excelente</v>
      </c>
      <c r="M130" s="30" t="str" cm="1">
        <f t="array" ref="M130">_xlfn.IFS(D130&gt;=18,"Excelente",D130&gt;=14,"Muy bueno",D130&gt;=10,"Bueno",D130&gt;=6,"Regular",D130&lt;6,"Insuficiente")</f>
        <v>Excelente</v>
      </c>
      <c r="N130" s="30" t="str" cm="1">
        <f t="array" ref="N130">_xlfn.IFS(E130&gt;=18,"Excelente",E130&gt;=14,"Muy bueno",E130&gt;=10,"Bueno",E130&gt;=6,"Regular",E130&lt;6,"Insuficiente")</f>
        <v>Excelente</v>
      </c>
      <c r="O130" s="30" t="str" cm="1">
        <f t="array" ref="O130">_xlfn.IFS(F130&gt;=9,"Excelente",F130&gt;=7,"Muy bueno",F130&gt;=5,"Bueno",F130&gt;=3,"Regular",F130&lt;3,"Insuficiente")</f>
        <v>Excelente</v>
      </c>
      <c r="P130" s="30" t="str" cm="1">
        <f t="array" ref="P130">_xlfn.IFS(G130&gt;=9,"Excelente",G130&gt;=7,"Muy bueno",G130&gt;=5,"Bueno",G130&gt;=3,"Regular",G130&lt;3,"Insuficiente")</f>
        <v>Excelente</v>
      </c>
      <c r="Q130" s="30" t="str" cm="1">
        <f t="array" ref="Q130">_xlfn.IFS(H130&gt;=9,"Excelente",H130&gt;=7,"Muy bueno",H130&gt;=5,"Bueno",H130&gt;=3,"Regular",H130&lt;3,"Insuficiente")</f>
        <v>Excelente</v>
      </c>
      <c r="R130" s="30" t="str" cm="1">
        <f t="array" ref="R130">_xlfn.IFS(I130&gt;=9,"Excelente",I130&gt;=7,"Muy bueno",I130&gt;=5,"Bueno",I130&gt;=3,"Regular",I130&lt;3,"Insuficiente")</f>
        <v>Excelente</v>
      </c>
    </row>
    <row r="131" spans="1:18">
      <c r="A131" t="s">
        <v>205</v>
      </c>
      <c r="B131" s="16">
        <v>3</v>
      </c>
      <c r="C131" s="16">
        <v>20</v>
      </c>
      <c r="D131" s="16">
        <v>20</v>
      </c>
      <c r="E131" s="16">
        <v>20</v>
      </c>
      <c r="F131" s="16">
        <v>10</v>
      </c>
      <c r="G131" s="16">
        <v>10</v>
      </c>
      <c r="H131" s="16">
        <v>10</v>
      </c>
      <c r="I131" s="16">
        <v>10</v>
      </c>
      <c r="J131" s="28">
        <f t="shared" si="1"/>
        <v>100</v>
      </c>
      <c r="K131" s="29" t="str" cm="1">
        <f t="array" ref="K131">_xlfn.IFS(J131&gt;=90,"Excelente",J131&gt;=80,"Muy Bueno",J131&gt;=75,"Bueno",J131&gt;=65,"Regular",J131&gt;=55,"Insuficiente")</f>
        <v>Excelente</v>
      </c>
      <c r="L131" s="30" t="str" cm="1">
        <f t="array" ref="L131">_xlfn.IFS(C131&gt;=18,"Excelente",C131&gt;=14,"Muy bueno",C131&gt;=10,"Bueno",C131&gt;=6,"Regular",C131&lt;6,"Insuficiente")</f>
        <v>Excelente</v>
      </c>
      <c r="M131" s="30" t="str" cm="1">
        <f t="array" ref="M131">_xlfn.IFS(D131&gt;=18,"Excelente",D131&gt;=14,"Muy bueno",D131&gt;=10,"Bueno",D131&gt;=6,"Regular",D131&lt;6,"Insuficiente")</f>
        <v>Excelente</v>
      </c>
      <c r="N131" s="30" t="str" cm="1">
        <f t="array" ref="N131">_xlfn.IFS(E131&gt;=18,"Excelente",E131&gt;=14,"Muy bueno",E131&gt;=10,"Bueno",E131&gt;=6,"Regular",E131&lt;6,"Insuficiente")</f>
        <v>Excelente</v>
      </c>
      <c r="O131" s="30" t="str" cm="1">
        <f t="array" ref="O131">_xlfn.IFS(F131&gt;=9,"Excelente",F131&gt;=7,"Muy bueno",F131&gt;=5,"Bueno",F131&gt;=3,"Regular",F131&lt;3,"Insuficiente")</f>
        <v>Excelente</v>
      </c>
      <c r="P131" s="30" t="str" cm="1">
        <f t="array" ref="P131">_xlfn.IFS(G131&gt;=9,"Excelente",G131&gt;=7,"Muy bueno",G131&gt;=5,"Bueno",G131&gt;=3,"Regular",G131&lt;3,"Insuficiente")</f>
        <v>Excelente</v>
      </c>
      <c r="Q131" s="30" t="str" cm="1">
        <f t="array" ref="Q131">_xlfn.IFS(H131&gt;=9,"Excelente",H131&gt;=7,"Muy bueno",H131&gt;=5,"Bueno",H131&gt;=3,"Regular",H131&lt;3,"Insuficiente")</f>
        <v>Excelente</v>
      </c>
      <c r="R131" s="30" t="str" cm="1">
        <f t="array" ref="R131">_xlfn.IFS(I131&gt;=9,"Excelente",I131&gt;=7,"Muy bueno",I131&gt;=5,"Bueno",I131&gt;=3,"Regular",I131&lt;3,"Insuficiente")</f>
        <v>Excelente</v>
      </c>
    </row>
    <row r="132" spans="1:18">
      <c r="A132" t="s">
        <v>192</v>
      </c>
      <c r="B132" s="16">
        <v>3</v>
      </c>
      <c r="C132" s="16">
        <v>20</v>
      </c>
      <c r="D132" s="16">
        <v>20</v>
      </c>
      <c r="E132" s="16">
        <v>18.666666666666668</v>
      </c>
      <c r="F132" s="16">
        <v>10</v>
      </c>
      <c r="G132" s="16">
        <v>9.3333333333333339</v>
      </c>
      <c r="H132" s="16">
        <v>10</v>
      </c>
      <c r="I132" s="16">
        <v>10</v>
      </c>
      <c r="J132" s="28">
        <f t="shared" si="1"/>
        <v>98</v>
      </c>
      <c r="K132" s="29" t="str" cm="1">
        <f t="array" ref="K132">_xlfn.IFS(J132&gt;=90,"Excelente",J132&gt;=80,"Muy Bueno",J132&gt;=75,"Bueno",J132&gt;=65,"Regular",J132&gt;=55,"Insuficiente")</f>
        <v>Excelente</v>
      </c>
      <c r="L132" s="30" t="str" cm="1">
        <f t="array" ref="L132">_xlfn.IFS(C132&gt;=18,"Excelente",C132&gt;=14,"Muy bueno",C132&gt;=10,"Bueno",C132&gt;=6,"Regular",C132&lt;6,"Insuficiente")</f>
        <v>Excelente</v>
      </c>
      <c r="M132" s="30" t="str" cm="1">
        <f t="array" ref="M132">_xlfn.IFS(D132&gt;=18,"Excelente",D132&gt;=14,"Muy bueno",D132&gt;=10,"Bueno",D132&gt;=6,"Regular",D132&lt;6,"Insuficiente")</f>
        <v>Excelente</v>
      </c>
      <c r="N132" s="30" t="str" cm="1">
        <f t="array" ref="N132">_xlfn.IFS(E132&gt;=18,"Excelente",E132&gt;=14,"Muy bueno",E132&gt;=10,"Bueno",E132&gt;=6,"Regular",E132&lt;6,"Insuficiente")</f>
        <v>Excelente</v>
      </c>
      <c r="O132" s="30" t="str" cm="1">
        <f t="array" ref="O132">_xlfn.IFS(F132&gt;=9,"Excelente",F132&gt;=7,"Muy bueno",F132&gt;=5,"Bueno",F132&gt;=3,"Regular",F132&lt;3,"Insuficiente")</f>
        <v>Excelente</v>
      </c>
      <c r="P132" s="30" t="str" cm="1">
        <f t="array" ref="P132">_xlfn.IFS(G132&gt;=9,"Excelente",G132&gt;=7,"Muy bueno",G132&gt;=5,"Bueno",G132&gt;=3,"Regular",G132&lt;3,"Insuficiente")</f>
        <v>Excelente</v>
      </c>
      <c r="Q132" s="30" t="str" cm="1">
        <f t="array" ref="Q132">_xlfn.IFS(H132&gt;=9,"Excelente",H132&gt;=7,"Muy bueno",H132&gt;=5,"Bueno",H132&gt;=3,"Regular",H132&lt;3,"Insuficiente")</f>
        <v>Excelente</v>
      </c>
      <c r="R132" s="30" t="str" cm="1">
        <f t="array" ref="R132">_xlfn.IFS(I132&gt;=9,"Excelente",I132&gt;=7,"Muy bueno",I132&gt;=5,"Bueno",I132&gt;=3,"Regular",I132&lt;3,"Insuficiente")</f>
        <v>Excelente</v>
      </c>
    </row>
    <row r="133" spans="1:18">
      <c r="A133" t="s">
        <v>144</v>
      </c>
      <c r="B133" s="16">
        <v>3</v>
      </c>
      <c r="C133" s="16">
        <v>20</v>
      </c>
      <c r="D133" s="16">
        <v>20</v>
      </c>
      <c r="E133" s="16">
        <v>20</v>
      </c>
      <c r="F133" s="16">
        <v>9.3333333333333339</v>
      </c>
      <c r="G133" s="16">
        <v>9.3333333333333339</v>
      </c>
      <c r="H133" s="16">
        <v>9.3333333333333339</v>
      </c>
      <c r="I133" s="16">
        <v>9.3333333333333339</v>
      </c>
      <c r="J133" s="28">
        <f t="shared" ref="J133:J196" si="2">(C133+D133+E133+F133+G133+H133+I133)</f>
        <v>97.333333333333314</v>
      </c>
      <c r="K133" s="29" t="str" cm="1">
        <f t="array" ref="K133">_xlfn.IFS(J133&gt;=90,"Excelente",J133&gt;=80,"Muy Bueno",J133&gt;=75,"Bueno",J133&gt;=65,"Regular",J133&gt;=55,"Insuficiente")</f>
        <v>Excelente</v>
      </c>
      <c r="L133" s="30" t="str" cm="1">
        <f t="array" ref="L133">_xlfn.IFS(C133&gt;=18,"Excelente",C133&gt;=14,"Muy bueno",C133&gt;=10,"Bueno",C133&gt;=6,"Regular",C133&lt;6,"Insuficiente")</f>
        <v>Excelente</v>
      </c>
      <c r="M133" s="30" t="str" cm="1">
        <f t="array" ref="M133">_xlfn.IFS(D133&gt;=18,"Excelente",D133&gt;=14,"Muy bueno",D133&gt;=10,"Bueno",D133&gt;=6,"Regular",D133&lt;6,"Insuficiente")</f>
        <v>Excelente</v>
      </c>
      <c r="N133" s="30" t="str" cm="1">
        <f t="array" ref="N133">_xlfn.IFS(E133&gt;=18,"Excelente",E133&gt;=14,"Muy bueno",E133&gt;=10,"Bueno",E133&gt;=6,"Regular",E133&lt;6,"Insuficiente")</f>
        <v>Excelente</v>
      </c>
      <c r="O133" s="30" t="str" cm="1">
        <f t="array" ref="O133">_xlfn.IFS(F133&gt;=9,"Excelente",F133&gt;=7,"Muy bueno",F133&gt;=5,"Bueno",F133&gt;=3,"Regular",F133&lt;3,"Insuficiente")</f>
        <v>Excelente</v>
      </c>
      <c r="P133" s="30" t="str" cm="1">
        <f t="array" ref="P133">_xlfn.IFS(G133&gt;=9,"Excelente",G133&gt;=7,"Muy bueno",G133&gt;=5,"Bueno",G133&gt;=3,"Regular",G133&lt;3,"Insuficiente")</f>
        <v>Excelente</v>
      </c>
      <c r="Q133" s="30" t="str" cm="1">
        <f t="array" ref="Q133">_xlfn.IFS(H133&gt;=9,"Excelente",H133&gt;=7,"Muy bueno",H133&gt;=5,"Bueno",H133&gt;=3,"Regular",H133&lt;3,"Insuficiente")</f>
        <v>Excelente</v>
      </c>
      <c r="R133" s="30" t="str" cm="1">
        <f t="array" ref="R133">_xlfn.IFS(I133&gt;=9,"Excelente",I133&gt;=7,"Muy bueno",I133&gt;=5,"Bueno",I133&gt;=3,"Regular",I133&lt;3,"Insuficiente")</f>
        <v>Excelente</v>
      </c>
    </row>
    <row r="134" spans="1:18">
      <c r="A134" t="s">
        <v>73</v>
      </c>
      <c r="B134" s="16">
        <v>3</v>
      </c>
      <c r="C134" s="16">
        <v>18.666666666666668</v>
      </c>
      <c r="D134" s="16">
        <v>20</v>
      </c>
      <c r="E134" s="16">
        <v>20</v>
      </c>
      <c r="F134" s="16">
        <v>10</v>
      </c>
      <c r="G134" s="16">
        <v>10</v>
      </c>
      <c r="H134" s="16">
        <v>9.3333333333333339</v>
      </c>
      <c r="I134" s="16">
        <v>8</v>
      </c>
      <c r="J134" s="28">
        <f t="shared" si="2"/>
        <v>96</v>
      </c>
      <c r="K134" s="29" t="str" cm="1">
        <f t="array" ref="K134">_xlfn.IFS(J134&gt;=90,"Excelente",J134&gt;=80,"Muy Bueno",J134&gt;=75,"Bueno",J134&gt;=65,"Regular",J134&gt;=55,"Insuficiente")</f>
        <v>Excelente</v>
      </c>
      <c r="L134" s="30" t="str" cm="1">
        <f t="array" ref="L134">_xlfn.IFS(C134&gt;=18,"Excelente",C134&gt;=14,"Muy bueno",C134&gt;=10,"Bueno",C134&gt;=6,"Regular",C134&lt;6,"Insuficiente")</f>
        <v>Excelente</v>
      </c>
      <c r="M134" s="30" t="str" cm="1">
        <f t="array" ref="M134">_xlfn.IFS(D134&gt;=18,"Excelente",D134&gt;=14,"Muy bueno",D134&gt;=10,"Bueno",D134&gt;=6,"Regular",D134&lt;6,"Insuficiente")</f>
        <v>Excelente</v>
      </c>
      <c r="N134" s="30" t="str" cm="1">
        <f t="array" ref="N134">_xlfn.IFS(E134&gt;=18,"Excelente",E134&gt;=14,"Muy bueno",E134&gt;=10,"Bueno",E134&gt;=6,"Regular",E134&lt;6,"Insuficiente")</f>
        <v>Excelente</v>
      </c>
      <c r="O134" s="30" t="str" cm="1">
        <f t="array" ref="O134">_xlfn.IFS(F134&gt;=9,"Excelente",F134&gt;=7,"Muy bueno",F134&gt;=5,"Bueno",F134&gt;=3,"Regular",F134&lt;3,"Insuficiente")</f>
        <v>Excelente</v>
      </c>
      <c r="P134" s="30" t="str" cm="1">
        <f t="array" ref="P134">_xlfn.IFS(G134&gt;=9,"Excelente",G134&gt;=7,"Muy bueno",G134&gt;=5,"Bueno",G134&gt;=3,"Regular",G134&lt;3,"Insuficiente")</f>
        <v>Excelente</v>
      </c>
      <c r="Q134" s="30" t="str" cm="1">
        <f t="array" ref="Q134">_xlfn.IFS(H134&gt;=9,"Excelente",H134&gt;=7,"Muy bueno",H134&gt;=5,"Bueno",H134&gt;=3,"Regular",H134&lt;3,"Insuficiente")</f>
        <v>Excelente</v>
      </c>
      <c r="R134" s="30" t="str" cm="1">
        <f t="array" ref="R134">_xlfn.IFS(I134&gt;=9,"Excelente",I134&gt;=7,"Muy bueno",I134&gt;=5,"Bueno",I134&gt;=3,"Regular",I134&lt;3,"Insuficiente")</f>
        <v>Muy bueno</v>
      </c>
    </row>
    <row r="135" spans="1:18">
      <c r="A135" t="s">
        <v>320</v>
      </c>
      <c r="B135" s="16">
        <v>3</v>
      </c>
      <c r="C135" s="16">
        <v>20</v>
      </c>
      <c r="D135" s="16">
        <v>20</v>
      </c>
      <c r="E135" s="16">
        <v>20</v>
      </c>
      <c r="F135" s="16">
        <v>10</v>
      </c>
      <c r="G135" s="16">
        <v>10</v>
      </c>
      <c r="H135" s="16">
        <v>8.6666666666666661</v>
      </c>
      <c r="I135" s="16">
        <v>10</v>
      </c>
      <c r="J135" s="28">
        <f t="shared" si="2"/>
        <v>98.666666666666671</v>
      </c>
      <c r="K135" s="29" t="str" cm="1">
        <f t="array" ref="K135">_xlfn.IFS(J135&gt;=90,"Excelente",J135&gt;=80,"Muy Bueno",J135&gt;=75,"Bueno",J135&gt;=65,"Regular",J135&gt;=55,"Insuficiente")</f>
        <v>Excelente</v>
      </c>
      <c r="L135" s="30" t="str" cm="1">
        <f t="array" ref="L135">_xlfn.IFS(C135&gt;=18,"Excelente",C135&gt;=14,"Muy bueno",C135&gt;=10,"Bueno",C135&gt;=6,"Regular",C135&lt;6,"Insuficiente")</f>
        <v>Excelente</v>
      </c>
      <c r="M135" s="30" t="str" cm="1">
        <f t="array" ref="M135">_xlfn.IFS(D135&gt;=18,"Excelente",D135&gt;=14,"Muy bueno",D135&gt;=10,"Bueno",D135&gt;=6,"Regular",D135&lt;6,"Insuficiente")</f>
        <v>Excelente</v>
      </c>
      <c r="N135" s="30" t="str" cm="1">
        <f t="array" ref="N135">_xlfn.IFS(E135&gt;=18,"Excelente",E135&gt;=14,"Muy bueno",E135&gt;=10,"Bueno",E135&gt;=6,"Regular",E135&lt;6,"Insuficiente")</f>
        <v>Excelente</v>
      </c>
      <c r="O135" s="30" t="str" cm="1">
        <f t="array" ref="O135">_xlfn.IFS(F135&gt;=9,"Excelente",F135&gt;=7,"Muy bueno",F135&gt;=5,"Bueno",F135&gt;=3,"Regular",F135&lt;3,"Insuficiente")</f>
        <v>Excelente</v>
      </c>
      <c r="P135" s="30" t="str" cm="1">
        <f t="array" ref="P135">_xlfn.IFS(G135&gt;=9,"Excelente",G135&gt;=7,"Muy bueno",G135&gt;=5,"Bueno",G135&gt;=3,"Regular",G135&lt;3,"Insuficiente")</f>
        <v>Excelente</v>
      </c>
      <c r="Q135" s="30" t="str" cm="1">
        <f t="array" ref="Q135">_xlfn.IFS(H135&gt;=9,"Excelente",H135&gt;=7,"Muy bueno",H135&gt;=5,"Bueno",H135&gt;=3,"Regular",H135&lt;3,"Insuficiente")</f>
        <v>Muy bueno</v>
      </c>
      <c r="R135" s="30" t="str" cm="1">
        <f t="array" ref="R135">_xlfn.IFS(I135&gt;=9,"Excelente",I135&gt;=7,"Muy bueno",I135&gt;=5,"Bueno",I135&gt;=3,"Regular",I135&lt;3,"Insuficiente")</f>
        <v>Excelente</v>
      </c>
    </row>
    <row r="136" spans="1:18">
      <c r="A136" t="s">
        <v>111</v>
      </c>
      <c r="B136" s="16">
        <v>3</v>
      </c>
      <c r="C136" s="16">
        <v>16</v>
      </c>
      <c r="D136" s="16">
        <v>18.666666666666668</v>
      </c>
      <c r="E136" s="16">
        <v>18.666666666666668</v>
      </c>
      <c r="F136" s="16">
        <v>9.3333333333333339</v>
      </c>
      <c r="G136" s="16">
        <v>9.3333333333333339</v>
      </c>
      <c r="H136" s="16">
        <v>8.6666666666666661</v>
      </c>
      <c r="I136" s="16">
        <v>8.6666666666666661</v>
      </c>
      <c r="J136" s="28">
        <f t="shared" si="2"/>
        <v>89.333333333333357</v>
      </c>
      <c r="K136" s="29" t="str" cm="1">
        <f t="array" ref="K136">_xlfn.IFS(J136&gt;=90,"Excelente",J136&gt;=80,"Muy Bueno",J136&gt;=75,"Bueno",J136&gt;=65,"Regular",J136&gt;=55,"Insuficiente")</f>
        <v>Muy Bueno</v>
      </c>
      <c r="L136" s="30" t="str" cm="1">
        <f t="array" ref="L136">_xlfn.IFS(C136&gt;=18,"Excelente",C136&gt;=14,"Muy bueno",C136&gt;=10,"Bueno",C136&gt;=6,"Regular",C136&lt;6,"Insuficiente")</f>
        <v>Muy bueno</v>
      </c>
      <c r="M136" s="30" t="str" cm="1">
        <f t="array" ref="M136">_xlfn.IFS(D136&gt;=18,"Excelente",D136&gt;=14,"Muy bueno",D136&gt;=10,"Bueno",D136&gt;=6,"Regular",D136&lt;6,"Insuficiente")</f>
        <v>Excelente</v>
      </c>
      <c r="N136" s="30" t="str" cm="1">
        <f t="array" ref="N136">_xlfn.IFS(E136&gt;=18,"Excelente",E136&gt;=14,"Muy bueno",E136&gt;=10,"Bueno",E136&gt;=6,"Regular",E136&lt;6,"Insuficiente")</f>
        <v>Excelente</v>
      </c>
      <c r="O136" s="30" t="str" cm="1">
        <f t="array" ref="O136">_xlfn.IFS(F136&gt;=9,"Excelente",F136&gt;=7,"Muy bueno",F136&gt;=5,"Bueno",F136&gt;=3,"Regular",F136&lt;3,"Insuficiente")</f>
        <v>Excelente</v>
      </c>
      <c r="P136" s="30" t="str" cm="1">
        <f t="array" ref="P136">_xlfn.IFS(G136&gt;=9,"Excelente",G136&gt;=7,"Muy bueno",G136&gt;=5,"Bueno",G136&gt;=3,"Regular",G136&lt;3,"Insuficiente")</f>
        <v>Excelente</v>
      </c>
      <c r="Q136" s="30" t="str" cm="1">
        <f t="array" ref="Q136">_xlfn.IFS(H136&gt;=9,"Excelente",H136&gt;=7,"Muy bueno",H136&gt;=5,"Bueno",H136&gt;=3,"Regular",H136&lt;3,"Insuficiente")</f>
        <v>Muy bueno</v>
      </c>
      <c r="R136" s="30" t="str" cm="1">
        <f t="array" ref="R136">_xlfn.IFS(I136&gt;=9,"Excelente",I136&gt;=7,"Muy bueno",I136&gt;=5,"Bueno",I136&gt;=3,"Regular",I136&lt;3,"Insuficiente")</f>
        <v>Muy bueno</v>
      </c>
    </row>
    <row r="137" spans="1:18">
      <c r="A137" t="s">
        <v>143</v>
      </c>
      <c r="B137" s="16">
        <v>3</v>
      </c>
      <c r="C137" s="16">
        <v>20</v>
      </c>
      <c r="D137" s="16">
        <v>20</v>
      </c>
      <c r="E137" s="16">
        <v>20</v>
      </c>
      <c r="F137" s="16">
        <v>10</v>
      </c>
      <c r="G137" s="16">
        <v>10</v>
      </c>
      <c r="H137" s="16">
        <v>8.6666666666666661</v>
      </c>
      <c r="I137" s="16">
        <v>10</v>
      </c>
      <c r="J137" s="28">
        <f t="shared" si="2"/>
        <v>98.666666666666671</v>
      </c>
      <c r="K137" s="29" t="str" cm="1">
        <f t="array" ref="K137">_xlfn.IFS(J137&gt;=90,"Excelente",J137&gt;=80,"Muy Bueno",J137&gt;=75,"Bueno",J137&gt;=65,"Regular",J137&gt;=55,"Insuficiente")</f>
        <v>Excelente</v>
      </c>
      <c r="L137" s="30" t="str" cm="1">
        <f t="array" ref="L137">_xlfn.IFS(C137&gt;=18,"Excelente",C137&gt;=14,"Muy bueno",C137&gt;=10,"Bueno",C137&gt;=6,"Regular",C137&lt;6,"Insuficiente")</f>
        <v>Excelente</v>
      </c>
      <c r="M137" s="30" t="str" cm="1">
        <f t="array" ref="M137">_xlfn.IFS(D137&gt;=18,"Excelente",D137&gt;=14,"Muy bueno",D137&gt;=10,"Bueno",D137&gt;=6,"Regular",D137&lt;6,"Insuficiente")</f>
        <v>Excelente</v>
      </c>
      <c r="N137" s="30" t="str" cm="1">
        <f t="array" ref="N137">_xlfn.IFS(E137&gt;=18,"Excelente",E137&gt;=14,"Muy bueno",E137&gt;=10,"Bueno",E137&gt;=6,"Regular",E137&lt;6,"Insuficiente")</f>
        <v>Excelente</v>
      </c>
      <c r="O137" s="30" t="str" cm="1">
        <f t="array" ref="O137">_xlfn.IFS(F137&gt;=9,"Excelente",F137&gt;=7,"Muy bueno",F137&gt;=5,"Bueno",F137&gt;=3,"Regular",F137&lt;3,"Insuficiente")</f>
        <v>Excelente</v>
      </c>
      <c r="P137" s="30" t="str" cm="1">
        <f t="array" ref="P137">_xlfn.IFS(G137&gt;=9,"Excelente",G137&gt;=7,"Muy bueno",G137&gt;=5,"Bueno",G137&gt;=3,"Regular",G137&lt;3,"Insuficiente")</f>
        <v>Excelente</v>
      </c>
      <c r="Q137" s="30" t="str" cm="1">
        <f t="array" ref="Q137">_xlfn.IFS(H137&gt;=9,"Excelente",H137&gt;=7,"Muy bueno",H137&gt;=5,"Bueno",H137&gt;=3,"Regular",H137&lt;3,"Insuficiente")</f>
        <v>Muy bueno</v>
      </c>
      <c r="R137" s="30" t="str" cm="1">
        <f t="array" ref="R137">_xlfn.IFS(I137&gt;=9,"Excelente",I137&gt;=7,"Muy bueno",I137&gt;=5,"Bueno",I137&gt;=3,"Regular",I137&lt;3,"Insuficiente")</f>
        <v>Excelente</v>
      </c>
    </row>
    <row r="138" spans="1:18">
      <c r="A138" t="s">
        <v>297</v>
      </c>
      <c r="B138" s="16">
        <v>3</v>
      </c>
      <c r="C138" s="16">
        <v>20</v>
      </c>
      <c r="D138" s="16">
        <v>20</v>
      </c>
      <c r="E138" s="16">
        <v>17.333333333333332</v>
      </c>
      <c r="F138" s="16">
        <v>8.6666666666666661</v>
      </c>
      <c r="G138" s="16">
        <v>10</v>
      </c>
      <c r="H138" s="16">
        <v>8.6666666666666661</v>
      </c>
      <c r="I138" s="16">
        <v>9.3333333333333339</v>
      </c>
      <c r="J138" s="28">
        <f t="shared" si="2"/>
        <v>94</v>
      </c>
      <c r="K138" s="29" t="str" cm="1">
        <f t="array" ref="K138">_xlfn.IFS(J138&gt;=90,"Excelente",J138&gt;=80,"Muy Bueno",J138&gt;=75,"Bueno",J138&gt;=65,"Regular",J138&gt;=55,"Insuficiente")</f>
        <v>Excelente</v>
      </c>
      <c r="L138" s="30" t="str" cm="1">
        <f t="array" ref="L138">_xlfn.IFS(C138&gt;=18,"Excelente",C138&gt;=14,"Muy bueno",C138&gt;=10,"Bueno",C138&gt;=6,"Regular",C138&lt;6,"Insuficiente")</f>
        <v>Excelente</v>
      </c>
      <c r="M138" s="30" t="str" cm="1">
        <f t="array" ref="M138">_xlfn.IFS(D138&gt;=18,"Excelente",D138&gt;=14,"Muy bueno",D138&gt;=10,"Bueno",D138&gt;=6,"Regular",D138&lt;6,"Insuficiente")</f>
        <v>Excelente</v>
      </c>
      <c r="N138" s="30" t="str" cm="1">
        <f t="array" ref="N138">_xlfn.IFS(E138&gt;=18,"Excelente",E138&gt;=14,"Muy bueno",E138&gt;=10,"Bueno",E138&gt;=6,"Regular",E138&lt;6,"Insuficiente")</f>
        <v>Muy bueno</v>
      </c>
      <c r="O138" s="30" t="str" cm="1">
        <f t="array" ref="O138">_xlfn.IFS(F138&gt;=9,"Excelente",F138&gt;=7,"Muy bueno",F138&gt;=5,"Bueno",F138&gt;=3,"Regular",F138&lt;3,"Insuficiente")</f>
        <v>Muy bueno</v>
      </c>
      <c r="P138" s="30" t="str" cm="1">
        <f t="array" ref="P138">_xlfn.IFS(G138&gt;=9,"Excelente",G138&gt;=7,"Muy bueno",G138&gt;=5,"Bueno",G138&gt;=3,"Regular",G138&lt;3,"Insuficiente")</f>
        <v>Excelente</v>
      </c>
      <c r="Q138" s="30" t="str" cm="1">
        <f t="array" ref="Q138">_xlfn.IFS(H138&gt;=9,"Excelente",H138&gt;=7,"Muy bueno",H138&gt;=5,"Bueno",H138&gt;=3,"Regular",H138&lt;3,"Insuficiente")</f>
        <v>Muy bueno</v>
      </c>
      <c r="R138" s="30" t="str" cm="1">
        <f t="array" ref="R138">_xlfn.IFS(I138&gt;=9,"Excelente",I138&gt;=7,"Muy bueno",I138&gt;=5,"Bueno",I138&gt;=3,"Regular",I138&lt;3,"Insuficiente")</f>
        <v>Excelente</v>
      </c>
    </row>
    <row r="139" spans="1:18">
      <c r="A139" t="s">
        <v>100</v>
      </c>
      <c r="B139" s="16">
        <v>3</v>
      </c>
      <c r="C139" s="16">
        <v>20</v>
      </c>
      <c r="D139" s="16">
        <v>18.666666666666668</v>
      </c>
      <c r="E139" s="16">
        <v>17.333333333333332</v>
      </c>
      <c r="F139" s="16">
        <v>10</v>
      </c>
      <c r="G139" s="16">
        <v>10</v>
      </c>
      <c r="H139" s="16">
        <v>9.3333333333333339</v>
      </c>
      <c r="I139" s="16">
        <v>9.3333333333333339</v>
      </c>
      <c r="J139" s="28">
        <f t="shared" si="2"/>
        <v>94.666666666666657</v>
      </c>
      <c r="K139" s="29" t="str" cm="1">
        <f t="array" ref="K139">_xlfn.IFS(J139&gt;=90,"Excelente",J139&gt;=80,"Muy Bueno",J139&gt;=75,"Bueno",J139&gt;=65,"Regular",J139&gt;=55,"Insuficiente")</f>
        <v>Excelente</v>
      </c>
      <c r="L139" s="30" t="str" cm="1">
        <f t="array" ref="L139">_xlfn.IFS(C139&gt;=18,"Excelente",C139&gt;=14,"Muy bueno",C139&gt;=10,"Bueno",C139&gt;=6,"Regular",C139&lt;6,"Insuficiente")</f>
        <v>Excelente</v>
      </c>
      <c r="M139" s="30" t="str" cm="1">
        <f t="array" ref="M139">_xlfn.IFS(D139&gt;=18,"Excelente",D139&gt;=14,"Muy bueno",D139&gt;=10,"Bueno",D139&gt;=6,"Regular",D139&lt;6,"Insuficiente")</f>
        <v>Excelente</v>
      </c>
      <c r="N139" s="30" t="str" cm="1">
        <f t="array" ref="N139">_xlfn.IFS(E139&gt;=18,"Excelente",E139&gt;=14,"Muy bueno",E139&gt;=10,"Bueno",E139&gt;=6,"Regular",E139&lt;6,"Insuficiente")</f>
        <v>Muy bueno</v>
      </c>
      <c r="O139" s="30" t="str" cm="1">
        <f t="array" ref="O139">_xlfn.IFS(F139&gt;=9,"Excelente",F139&gt;=7,"Muy bueno",F139&gt;=5,"Bueno",F139&gt;=3,"Regular",F139&lt;3,"Insuficiente")</f>
        <v>Excelente</v>
      </c>
      <c r="P139" s="30" t="str" cm="1">
        <f t="array" ref="P139">_xlfn.IFS(G139&gt;=9,"Excelente",G139&gt;=7,"Muy bueno",G139&gt;=5,"Bueno",G139&gt;=3,"Regular",G139&lt;3,"Insuficiente")</f>
        <v>Excelente</v>
      </c>
      <c r="Q139" s="30" t="str" cm="1">
        <f t="array" ref="Q139">_xlfn.IFS(H139&gt;=9,"Excelente",H139&gt;=7,"Muy bueno",H139&gt;=5,"Bueno",H139&gt;=3,"Regular",H139&lt;3,"Insuficiente")</f>
        <v>Excelente</v>
      </c>
      <c r="R139" s="30" t="str" cm="1">
        <f t="array" ref="R139">_xlfn.IFS(I139&gt;=9,"Excelente",I139&gt;=7,"Muy bueno",I139&gt;=5,"Bueno",I139&gt;=3,"Regular",I139&lt;3,"Insuficiente")</f>
        <v>Excelente</v>
      </c>
    </row>
    <row r="140" spans="1:18">
      <c r="A140" t="s">
        <v>262</v>
      </c>
      <c r="B140" s="16">
        <v>3</v>
      </c>
      <c r="C140" s="16">
        <v>20</v>
      </c>
      <c r="D140" s="16">
        <v>20</v>
      </c>
      <c r="E140" s="16">
        <v>17.333333333333332</v>
      </c>
      <c r="F140" s="16">
        <v>8.6666666666666661</v>
      </c>
      <c r="G140" s="16">
        <v>8.6666666666666661</v>
      </c>
      <c r="H140" s="16">
        <v>8</v>
      </c>
      <c r="I140" s="16">
        <v>9.3333333333333339</v>
      </c>
      <c r="J140" s="28">
        <f t="shared" si="2"/>
        <v>92</v>
      </c>
      <c r="K140" s="29" t="str" cm="1">
        <f t="array" ref="K140">_xlfn.IFS(J140&gt;=90,"Excelente",J140&gt;=80,"Muy Bueno",J140&gt;=75,"Bueno",J140&gt;=65,"Regular",J140&gt;=55,"Insuficiente")</f>
        <v>Excelente</v>
      </c>
      <c r="L140" s="30" t="str" cm="1">
        <f t="array" ref="L140">_xlfn.IFS(C140&gt;=18,"Excelente",C140&gt;=14,"Muy bueno",C140&gt;=10,"Bueno",C140&gt;=6,"Regular",C140&lt;6,"Insuficiente")</f>
        <v>Excelente</v>
      </c>
      <c r="M140" s="30" t="str" cm="1">
        <f t="array" ref="M140">_xlfn.IFS(D140&gt;=18,"Excelente",D140&gt;=14,"Muy bueno",D140&gt;=10,"Bueno",D140&gt;=6,"Regular",D140&lt;6,"Insuficiente")</f>
        <v>Excelente</v>
      </c>
      <c r="N140" s="30" t="str" cm="1">
        <f t="array" ref="N140">_xlfn.IFS(E140&gt;=18,"Excelente",E140&gt;=14,"Muy bueno",E140&gt;=10,"Bueno",E140&gt;=6,"Regular",E140&lt;6,"Insuficiente")</f>
        <v>Muy bueno</v>
      </c>
      <c r="O140" s="30" t="str" cm="1">
        <f t="array" ref="O140">_xlfn.IFS(F140&gt;=9,"Excelente",F140&gt;=7,"Muy bueno",F140&gt;=5,"Bueno",F140&gt;=3,"Regular",F140&lt;3,"Insuficiente")</f>
        <v>Muy bueno</v>
      </c>
      <c r="P140" s="30" t="str" cm="1">
        <f t="array" ref="P140">_xlfn.IFS(G140&gt;=9,"Excelente",G140&gt;=7,"Muy bueno",G140&gt;=5,"Bueno",G140&gt;=3,"Regular",G140&lt;3,"Insuficiente")</f>
        <v>Muy bueno</v>
      </c>
      <c r="Q140" s="30" t="str" cm="1">
        <f t="array" ref="Q140">_xlfn.IFS(H140&gt;=9,"Excelente",H140&gt;=7,"Muy bueno",H140&gt;=5,"Bueno",H140&gt;=3,"Regular",H140&lt;3,"Insuficiente")</f>
        <v>Muy bueno</v>
      </c>
      <c r="R140" s="30" t="str" cm="1">
        <f t="array" ref="R140">_xlfn.IFS(I140&gt;=9,"Excelente",I140&gt;=7,"Muy bueno",I140&gt;=5,"Bueno",I140&gt;=3,"Regular",I140&lt;3,"Insuficiente")</f>
        <v>Excelente</v>
      </c>
    </row>
    <row r="141" spans="1:18">
      <c r="A141" t="s">
        <v>272</v>
      </c>
      <c r="B141" s="16">
        <v>3</v>
      </c>
      <c r="C141" s="16">
        <v>20</v>
      </c>
      <c r="D141" s="16">
        <v>20</v>
      </c>
      <c r="E141" s="16">
        <v>18.666666666666668</v>
      </c>
      <c r="F141" s="16">
        <v>10</v>
      </c>
      <c r="G141" s="16">
        <v>10</v>
      </c>
      <c r="H141" s="16">
        <v>9.3333333333333339</v>
      </c>
      <c r="I141" s="16">
        <v>9.3333333333333339</v>
      </c>
      <c r="J141" s="28">
        <f t="shared" si="2"/>
        <v>97.333333333333329</v>
      </c>
      <c r="K141" s="29" t="str" cm="1">
        <f t="array" ref="K141">_xlfn.IFS(J141&gt;=90,"Excelente",J141&gt;=80,"Muy Bueno",J141&gt;=75,"Bueno",J141&gt;=65,"Regular",J141&gt;=55,"Insuficiente")</f>
        <v>Excelente</v>
      </c>
      <c r="L141" s="30" t="str" cm="1">
        <f t="array" ref="L141">_xlfn.IFS(C141&gt;=18,"Excelente",C141&gt;=14,"Muy bueno",C141&gt;=10,"Bueno",C141&gt;=6,"Regular",C141&lt;6,"Insuficiente")</f>
        <v>Excelente</v>
      </c>
      <c r="M141" s="30" t="str" cm="1">
        <f t="array" ref="M141">_xlfn.IFS(D141&gt;=18,"Excelente",D141&gt;=14,"Muy bueno",D141&gt;=10,"Bueno",D141&gt;=6,"Regular",D141&lt;6,"Insuficiente")</f>
        <v>Excelente</v>
      </c>
      <c r="N141" s="30" t="str" cm="1">
        <f t="array" ref="N141">_xlfn.IFS(E141&gt;=18,"Excelente",E141&gt;=14,"Muy bueno",E141&gt;=10,"Bueno",E141&gt;=6,"Regular",E141&lt;6,"Insuficiente")</f>
        <v>Excelente</v>
      </c>
      <c r="O141" s="30" t="str" cm="1">
        <f t="array" ref="O141">_xlfn.IFS(F141&gt;=9,"Excelente",F141&gt;=7,"Muy bueno",F141&gt;=5,"Bueno",F141&gt;=3,"Regular",F141&lt;3,"Insuficiente")</f>
        <v>Excelente</v>
      </c>
      <c r="P141" s="30" t="str" cm="1">
        <f t="array" ref="P141">_xlfn.IFS(G141&gt;=9,"Excelente",G141&gt;=7,"Muy bueno",G141&gt;=5,"Bueno",G141&gt;=3,"Regular",G141&lt;3,"Insuficiente")</f>
        <v>Excelente</v>
      </c>
      <c r="Q141" s="30" t="str" cm="1">
        <f t="array" ref="Q141">_xlfn.IFS(H141&gt;=9,"Excelente",H141&gt;=7,"Muy bueno",H141&gt;=5,"Bueno",H141&gt;=3,"Regular",H141&lt;3,"Insuficiente")</f>
        <v>Excelente</v>
      </c>
      <c r="R141" s="30" t="str" cm="1">
        <f t="array" ref="R141">_xlfn.IFS(I141&gt;=9,"Excelente",I141&gt;=7,"Muy bueno",I141&gt;=5,"Bueno",I141&gt;=3,"Regular",I141&lt;3,"Insuficiente")</f>
        <v>Excelente</v>
      </c>
    </row>
    <row r="142" spans="1:18">
      <c r="A142" t="s">
        <v>115</v>
      </c>
      <c r="B142" s="16">
        <v>3</v>
      </c>
      <c r="C142" s="16">
        <v>20</v>
      </c>
      <c r="D142" s="16">
        <v>16</v>
      </c>
      <c r="E142" s="16">
        <v>17.333333333333332</v>
      </c>
      <c r="F142" s="16">
        <v>8.6666666666666661</v>
      </c>
      <c r="G142" s="16">
        <v>10</v>
      </c>
      <c r="H142" s="16">
        <v>8</v>
      </c>
      <c r="I142" s="16">
        <v>10</v>
      </c>
      <c r="J142" s="28">
        <f t="shared" si="2"/>
        <v>90</v>
      </c>
      <c r="K142" s="29" t="str" cm="1">
        <f t="array" ref="K142">_xlfn.IFS(J142&gt;=90,"Excelente",J142&gt;=80,"Muy Bueno",J142&gt;=75,"Bueno",J142&gt;=65,"Regular",J142&gt;=55,"Insuficiente")</f>
        <v>Excelente</v>
      </c>
      <c r="L142" s="30" t="str" cm="1">
        <f t="array" ref="L142">_xlfn.IFS(C142&gt;=18,"Excelente",C142&gt;=14,"Muy bueno",C142&gt;=10,"Bueno",C142&gt;=6,"Regular",C142&lt;6,"Insuficiente")</f>
        <v>Excelente</v>
      </c>
      <c r="M142" s="30" t="str" cm="1">
        <f t="array" ref="M142">_xlfn.IFS(D142&gt;=18,"Excelente",D142&gt;=14,"Muy bueno",D142&gt;=10,"Bueno",D142&gt;=6,"Regular",D142&lt;6,"Insuficiente")</f>
        <v>Muy bueno</v>
      </c>
      <c r="N142" s="30" t="str" cm="1">
        <f t="array" ref="N142">_xlfn.IFS(E142&gt;=18,"Excelente",E142&gt;=14,"Muy bueno",E142&gt;=10,"Bueno",E142&gt;=6,"Regular",E142&lt;6,"Insuficiente")</f>
        <v>Muy bueno</v>
      </c>
      <c r="O142" s="30" t="str" cm="1">
        <f t="array" ref="O142">_xlfn.IFS(F142&gt;=9,"Excelente",F142&gt;=7,"Muy bueno",F142&gt;=5,"Bueno",F142&gt;=3,"Regular",F142&lt;3,"Insuficiente")</f>
        <v>Muy bueno</v>
      </c>
      <c r="P142" s="30" t="str" cm="1">
        <f t="array" ref="P142">_xlfn.IFS(G142&gt;=9,"Excelente",G142&gt;=7,"Muy bueno",G142&gt;=5,"Bueno",G142&gt;=3,"Regular",G142&lt;3,"Insuficiente")</f>
        <v>Excelente</v>
      </c>
      <c r="Q142" s="30" t="str" cm="1">
        <f t="array" ref="Q142">_xlfn.IFS(H142&gt;=9,"Excelente",H142&gt;=7,"Muy bueno",H142&gt;=5,"Bueno",H142&gt;=3,"Regular",H142&lt;3,"Insuficiente")</f>
        <v>Muy bueno</v>
      </c>
      <c r="R142" s="30" t="str" cm="1">
        <f t="array" ref="R142">_xlfn.IFS(I142&gt;=9,"Excelente",I142&gt;=7,"Muy bueno",I142&gt;=5,"Bueno",I142&gt;=3,"Regular",I142&lt;3,"Insuficiente")</f>
        <v>Excelente</v>
      </c>
    </row>
    <row r="143" spans="1:18">
      <c r="A143" t="s">
        <v>188</v>
      </c>
      <c r="B143" s="16">
        <v>3</v>
      </c>
      <c r="C143" s="16">
        <v>20</v>
      </c>
      <c r="D143" s="16">
        <v>18.666666666666668</v>
      </c>
      <c r="E143" s="16">
        <v>20</v>
      </c>
      <c r="F143" s="16">
        <v>9.3333333333333339</v>
      </c>
      <c r="G143" s="16">
        <v>10</v>
      </c>
      <c r="H143" s="16">
        <v>10</v>
      </c>
      <c r="I143" s="16">
        <v>9.3333333333333339</v>
      </c>
      <c r="J143" s="28">
        <f t="shared" si="2"/>
        <v>97.333333333333329</v>
      </c>
      <c r="K143" s="29" t="str" cm="1">
        <f t="array" ref="K143">_xlfn.IFS(J143&gt;=90,"Excelente",J143&gt;=80,"Muy Bueno",J143&gt;=75,"Bueno",J143&gt;=65,"Regular",J143&gt;=55,"Insuficiente")</f>
        <v>Excelente</v>
      </c>
      <c r="L143" s="30" t="str" cm="1">
        <f t="array" ref="L143">_xlfn.IFS(C143&gt;=18,"Excelente",C143&gt;=14,"Muy bueno",C143&gt;=10,"Bueno",C143&gt;=6,"Regular",C143&lt;6,"Insuficiente")</f>
        <v>Excelente</v>
      </c>
      <c r="M143" s="30" t="str" cm="1">
        <f t="array" ref="M143">_xlfn.IFS(D143&gt;=18,"Excelente",D143&gt;=14,"Muy bueno",D143&gt;=10,"Bueno",D143&gt;=6,"Regular",D143&lt;6,"Insuficiente")</f>
        <v>Excelente</v>
      </c>
      <c r="N143" s="30" t="str" cm="1">
        <f t="array" ref="N143">_xlfn.IFS(E143&gt;=18,"Excelente",E143&gt;=14,"Muy bueno",E143&gt;=10,"Bueno",E143&gt;=6,"Regular",E143&lt;6,"Insuficiente")</f>
        <v>Excelente</v>
      </c>
      <c r="O143" s="30" t="str" cm="1">
        <f t="array" ref="O143">_xlfn.IFS(F143&gt;=9,"Excelente",F143&gt;=7,"Muy bueno",F143&gt;=5,"Bueno",F143&gt;=3,"Regular",F143&lt;3,"Insuficiente")</f>
        <v>Excelente</v>
      </c>
      <c r="P143" s="30" t="str" cm="1">
        <f t="array" ref="P143">_xlfn.IFS(G143&gt;=9,"Excelente",G143&gt;=7,"Muy bueno",G143&gt;=5,"Bueno",G143&gt;=3,"Regular",G143&lt;3,"Insuficiente")</f>
        <v>Excelente</v>
      </c>
      <c r="Q143" s="30" t="str" cm="1">
        <f t="array" ref="Q143">_xlfn.IFS(H143&gt;=9,"Excelente",H143&gt;=7,"Muy bueno",H143&gt;=5,"Bueno",H143&gt;=3,"Regular",H143&lt;3,"Insuficiente")</f>
        <v>Excelente</v>
      </c>
      <c r="R143" s="30" t="str" cm="1">
        <f t="array" ref="R143">_xlfn.IFS(I143&gt;=9,"Excelente",I143&gt;=7,"Muy bueno",I143&gt;=5,"Bueno",I143&gt;=3,"Regular",I143&lt;3,"Insuficiente")</f>
        <v>Excelente</v>
      </c>
    </row>
    <row r="144" spans="1:18">
      <c r="A144" t="s">
        <v>62</v>
      </c>
      <c r="B144" s="16">
        <v>3</v>
      </c>
      <c r="C144" s="16">
        <v>20</v>
      </c>
      <c r="D144" s="16">
        <v>18.666666666666668</v>
      </c>
      <c r="E144" s="16">
        <v>20</v>
      </c>
      <c r="F144" s="16">
        <v>8.6666666666666661</v>
      </c>
      <c r="G144" s="16">
        <v>9.3333333333333339</v>
      </c>
      <c r="H144" s="16">
        <v>8.6666666666666661</v>
      </c>
      <c r="I144" s="16">
        <v>10</v>
      </c>
      <c r="J144" s="28">
        <f t="shared" si="2"/>
        <v>95.333333333333343</v>
      </c>
      <c r="K144" s="29" t="str" cm="1">
        <f t="array" ref="K144">_xlfn.IFS(J144&gt;=90,"Excelente",J144&gt;=80,"Muy Bueno",J144&gt;=75,"Bueno",J144&gt;=65,"Regular",J144&gt;=55,"Insuficiente")</f>
        <v>Excelente</v>
      </c>
      <c r="L144" s="30" t="str" cm="1">
        <f t="array" ref="L144">_xlfn.IFS(C144&gt;=18,"Excelente",C144&gt;=14,"Muy bueno",C144&gt;=10,"Bueno",C144&gt;=6,"Regular",C144&lt;6,"Insuficiente")</f>
        <v>Excelente</v>
      </c>
      <c r="M144" s="30" t="str" cm="1">
        <f t="array" ref="M144">_xlfn.IFS(D144&gt;=18,"Excelente",D144&gt;=14,"Muy bueno",D144&gt;=10,"Bueno",D144&gt;=6,"Regular",D144&lt;6,"Insuficiente")</f>
        <v>Excelente</v>
      </c>
      <c r="N144" s="30" t="str" cm="1">
        <f t="array" ref="N144">_xlfn.IFS(E144&gt;=18,"Excelente",E144&gt;=14,"Muy bueno",E144&gt;=10,"Bueno",E144&gt;=6,"Regular",E144&lt;6,"Insuficiente")</f>
        <v>Excelente</v>
      </c>
      <c r="O144" s="30" t="str" cm="1">
        <f t="array" ref="O144">_xlfn.IFS(F144&gt;=9,"Excelente",F144&gt;=7,"Muy bueno",F144&gt;=5,"Bueno",F144&gt;=3,"Regular",F144&lt;3,"Insuficiente")</f>
        <v>Muy bueno</v>
      </c>
      <c r="P144" s="30" t="str" cm="1">
        <f t="array" ref="P144">_xlfn.IFS(G144&gt;=9,"Excelente",G144&gt;=7,"Muy bueno",G144&gt;=5,"Bueno",G144&gt;=3,"Regular",G144&lt;3,"Insuficiente")</f>
        <v>Excelente</v>
      </c>
      <c r="Q144" s="30" t="str" cm="1">
        <f t="array" ref="Q144">_xlfn.IFS(H144&gt;=9,"Excelente",H144&gt;=7,"Muy bueno",H144&gt;=5,"Bueno",H144&gt;=3,"Regular",H144&lt;3,"Insuficiente")</f>
        <v>Muy bueno</v>
      </c>
      <c r="R144" s="30" t="str" cm="1">
        <f t="array" ref="R144">_xlfn.IFS(I144&gt;=9,"Excelente",I144&gt;=7,"Muy bueno",I144&gt;=5,"Bueno",I144&gt;=3,"Regular",I144&lt;3,"Insuficiente")</f>
        <v>Excelente</v>
      </c>
    </row>
    <row r="145" spans="1:18">
      <c r="A145" t="s">
        <v>132</v>
      </c>
      <c r="B145" s="16">
        <v>3</v>
      </c>
      <c r="C145" s="16">
        <v>20</v>
      </c>
      <c r="D145" s="16">
        <v>20</v>
      </c>
      <c r="E145" s="16">
        <v>18.666666666666668</v>
      </c>
      <c r="F145" s="16">
        <v>10</v>
      </c>
      <c r="G145" s="16">
        <v>10</v>
      </c>
      <c r="H145" s="16">
        <v>8.6666666666666661</v>
      </c>
      <c r="I145" s="16">
        <v>9.3333333333333339</v>
      </c>
      <c r="J145" s="28">
        <f t="shared" si="2"/>
        <v>96.666666666666671</v>
      </c>
      <c r="K145" s="29" t="str" cm="1">
        <f t="array" ref="K145">_xlfn.IFS(J145&gt;=90,"Excelente",J145&gt;=80,"Muy Bueno",J145&gt;=75,"Bueno",J145&gt;=65,"Regular",J145&gt;=55,"Insuficiente")</f>
        <v>Excelente</v>
      </c>
      <c r="L145" s="30" t="str" cm="1">
        <f t="array" ref="L145">_xlfn.IFS(C145&gt;=18,"Excelente",C145&gt;=14,"Muy bueno",C145&gt;=10,"Bueno",C145&gt;=6,"Regular",C145&lt;6,"Insuficiente")</f>
        <v>Excelente</v>
      </c>
      <c r="M145" s="30" t="str" cm="1">
        <f t="array" ref="M145">_xlfn.IFS(D145&gt;=18,"Excelente",D145&gt;=14,"Muy bueno",D145&gt;=10,"Bueno",D145&gt;=6,"Regular",D145&lt;6,"Insuficiente")</f>
        <v>Excelente</v>
      </c>
      <c r="N145" s="30" t="str" cm="1">
        <f t="array" ref="N145">_xlfn.IFS(E145&gt;=18,"Excelente",E145&gt;=14,"Muy bueno",E145&gt;=10,"Bueno",E145&gt;=6,"Regular",E145&lt;6,"Insuficiente")</f>
        <v>Excelente</v>
      </c>
      <c r="O145" s="30" t="str" cm="1">
        <f t="array" ref="O145">_xlfn.IFS(F145&gt;=9,"Excelente",F145&gt;=7,"Muy bueno",F145&gt;=5,"Bueno",F145&gt;=3,"Regular",F145&lt;3,"Insuficiente")</f>
        <v>Excelente</v>
      </c>
      <c r="P145" s="30" t="str" cm="1">
        <f t="array" ref="P145">_xlfn.IFS(G145&gt;=9,"Excelente",G145&gt;=7,"Muy bueno",G145&gt;=5,"Bueno",G145&gt;=3,"Regular",G145&lt;3,"Insuficiente")</f>
        <v>Excelente</v>
      </c>
      <c r="Q145" s="30" t="str" cm="1">
        <f t="array" ref="Q145">_xlfn.IFS(H145&gt;=9,"Excelente",H145&gt;=7,"Muy bueno",H145&gt;=5,"Bueno",H145&gt;=3,"Regular",H145&lt;3,"Insuficiente")</f>
        <v>Muy bueno</v>
      </c>
      <c r="R145" s="30" t="str" cm="1">
        <f t="array" ref="R145">_xlfn.IFS(I145&gt;=9,"Excelente",I145&gt;=7,"Muy bueno",I145&gt;=5,"Bueno",I145&gt;=3,"Regular",I145&lt;3,"Insuficiente")</f>
        <v>Excelente</v>
      </c>
    </row>
    <row r="146" spans="1:18">
      <c r="A146" t="s">
        <v>281</v>
      </c>
      <c r="B146" s="16">
        <v>3</v>
      </c>
      <c r="C146" s="16">
        <v>18.666666666666668</v>
      </c>
      <c r="D146" s="16">
        <v>18.666666666666668</v>
      </c>
      <c r="E146" s="16">
        <v>17.333333333333332</v>
      </c>
      <c r="F146" s="16">
        <v>8</v>
      </c>
      <c r="G146" s="16">
        <v>9.3333333333333339</v>
      </c>
      <c r="H146" s="16">
        <v>8.6666666666666661</v>
      </c>
      <c r="I146" s="16">
        <v>8.6666666666666661</v>
      </c>
      <c r="J146" s="28">
        <f t="shared" si="2"/>
        <v>89.333333333333343</v>
      </c>
      <c r="K146" s="29" t="str" cm="1">
        <f t="array" ref="K146">_xlfn.IFS(J146&gt;=90,"Excelente",J146&gt;=80,"Muy Bueno",J146&gt;=75,"Bueno",J146&gt;=65,"Regular",J146&gt;=55,"Insuficiente")</f>
        <v>Muy Bueno</v>
      </c>
      <c r="L146" s="30" t="str" cm="1">
        <f t="array" ref="L146">_xlfn.IFS(C146&gt;=18,"Excelente",C146&gt;=14,"Muy bueno",C146&gt;=10,"Bueno",C146&gt;=6,"Regular",C146&lt;6,"Insuficiente")</f>
        <v>Excelente</v>
      </c>
      <c r="M146" s="30" t="str" cm="1">
        <f t="array" ref="M146">_xlfn.IFS(D146&gt;=18,"Excelente",D146&gt;=14,"Muy bueno",D146&gt;=10,"Bueno",D146&gt;=6,"Regular",D146&lt;6,"Insuficiente")</f>
        <v>Excelente</v>
      </c>
      <c r="N146" s="30" t="str" cm="1">
        <f t="array" ref="N146">_xlfn.IFS(E146&gt;=18,"Excelente",E146&gt;=14,"Muy bueno",E146&gt;=10,"Bueno",E146&gt;=6,"Regular",E146&lt;6,"Insuficiente")</f>
        <v>Muy bueno</v>
      </c>
      <c r="O146" s="30" t="str" cm="1">
        <f t="array" ref="O146">_xlfn.IFS(F146&gt;=9,"Excelente",F146&gt;=7,"Muy bueno",F146&gt;=5,"Bueno",F146&gt;=3,"Regular",F146&lt;3,"Insuficiente")</f>
        <v>Muy bueno</v>
      </c>
      <c r="P146" s="30" t="str" cm="1">
        <f t="array" ref="P146">_xlfn.IFS(G146&gt;=9,"Excelente",G146&gt;=7,"Muy bueno",G146&gt;=5,"Bueno",G146&gt;=3,"Regular",G146&lt;3,"Insuficiente")</f>
        <v>Excelente</v>
      </c>
      <c r="Q146" s="30" t="str" cm="1">
        <f t="array" ref="Q146">_xlfn.IFS(H146&gt;=9,"Excelente",H146&gt;=7,"Muy bueno",H146&gt;=5,"Bueno",H146&gt;=3,"Regular",H146&lt;3,"Insuficiente")</f>
        <v>Muy bueno</v>
      </c>
      <c r="R146" s="30" t="str" cm="1">
        <f t="array" ref="R146">_xlfn.IFS(I146&gt;=9,"Excelente",I146&gt;=7,"Muy bueno",I146&gt;=5,"Bueno",I146&gt;=3,"Regular",I146&lt;3,"Insuficiente")</f>
        <v>Muy bueno</v>
      </c>
    </row>
    <row r="147" spans="1:18">
      <c r="A147" t="s">
        <v>119</v>
      </c>
      <c r="B147" s="16">
        <v>3</v>
      </c>
      <c r="C147" s="16">
        <v>20</v>
      </c>
      <c r="D147" s="16">
        <v>20</v>
      </c>
      <c r="E147" s="16">
        <v>20</v>
      </c>
      <c r="F147" s="16">
        <v>10</v>
      </c>
      <c r="G147" s="16">
        <v>10</v>
      </c>
      <c r="H147" s="16">
        <v>10</v>
      </c>
      <c r="I147" s="16">
        <v>10</v>
      </c>
      <c r="J147" s="28">
        <f t="shared" si="2"/>
        <v>100</v>
      </c>
      <c r="K147" s="29" t="str" cm="1">
        <f t="array" ref="K147">_xlfn.IFS(J147&gt;=90,"Excelente",J147&gt;=80,"Muy Bueno",J147&gt;=75,"Bueno",J147&gt;=65,"Regular",J147&gt;=55,"Insuficiente")</f>
        <v>Excelente</v>
      </c>
      <c r="L147" s="30" t="str" cm="1">
        <f t="array" ref="L147">_xlfn.IFS(C147&gt;=18,"Excelente",C147&gt;=14,"Muy bueno",C147&gt;=10,"Bueno",C147&gt;=6,"Regular",C147&lt;6,"Insuficiente")</f>
        <v>Excelente</v>
      </c>
      <c r="M147" s="30" t="str" cm="1">
        <f t="array" ref="M147">_xlfn.IFS(D147&gt;=18,"Excelente",D147&gt;=14,"Muy bueno",D147&gt;=10,"Bueno",D147&gt;=6,"Regular",D147&lt;6,"Insuficiente")</f>
        <v>Excelente</v>
      </c>
      <c r="N147" s="30" t="str" cm="1">
        <f t="array" ref="N147">_xlfn.IFS(E147&gt;=18,"Excelente",E147&gt;=14,"Muy bueno",E147&gt;=10,"Bueno",E147&gt;=6,"Regular",E147&lt;6,"Insuficiente")</f>
        <v>Excelente</v>
      </c>
      <c r="O147" s="30" t="str" cm="1">
        <f t="array" ref="O147">_xlfn.IFS(F147&gt;=9,"Excelente",F147&gt;=7,"Muy bueno",F147&gt;=5,"Bueno",F147&gt;=3,"Regular",F147&lt;3,"Insuficiente")</f>
        <v>Excelente</v>
      </c>
      <c r="P147" s="30" t="str" cm="1">
        <f t="array" ref="P147">_xlfn.IFS(G147&gt;=9,"Excelente",G147&gt;=7,"Muy bueno",G147&gt;=5,"Bueno",G147&gt;=3,"Regular",G147&lt;3,"Insuficiente")</f>
        <v>Excelente</v>
      </c>
      <c r="Q147" s="30" t="str" cm="1">
        <f t="array" ref="Q147">_xlfn.IFS(H147&gt;=9,"Excelente",H147&gt;=7,"Muy bueno",H147&gt;=5,"Bueno",H147&gt;=3,"Regular",H147&lt;3,"Insuficiente")</f>
        <v>Excelente</v>
      </c>
      <c r="R147" s="30" t="str" cm="1">
        <f t="array" ref="R147">_xlfn.IFS(I147&gt;=9,"Excelente",I147&gt;=7,"Muy bueno",I147&gt;=5,"Bueno",I147&gt;=3,"Regular",I147&lt;3,"Insuficiente")</f>
        <v>Excelente</v>
      </c>
    </row>
    <row r="148" spans="1:18">
      <c r="A148" t="s">
        <v>158</v>
      </c>
      <c r="B148" s="16">
        <v>3</v>
      </c>
      <c r="C148" s="16">
        <v>18.666666666666668</v>
      </c>
      <c r="D148" s="16">
        <v>20</v>
      </c>
      <c r="E148" s="16">
        <v>20</v>
      </c>
      <c r="F148" s="16">
        <v>10</v>
      </c>
      <c r="G148" s="16">
        <v>10</v>
      </c>
      <c r="H148" s="16">
        <v>9.3333333333333339</v>
      </c>
      <c r="I148" s="16">
        <v>10</v>
      </c>
      <c r="J148" s="28">
        <f t="shared" si="2"/>
        <v>98</v>
      </c>
      <c r="K148" s="29" t="str" cm="1">
        <f t="array" ref="K148">_xlfn.IFS(J148&gt;=90,"Excelente",J148&gt;=80,"Muy Bueno",J148&gt;=75,"Bueno",J148&gt;=65,"Regular",J148&gt;=55,"Insuficiente")</f>
        <v>Excelente</v>
      </c>
      <c r="L148" s="30" t="str" cm="1">
        <f t="array" ref="L148">_xlfn.IFS(C148&gt;=18,"Excelente",C148&gt;=14,"Muy bueno",C148&gt;=10,"Bueno",C148&gt;=6,"Regular",C148&lt;6,"Insuficiente")</f>
        <v>Excelente</v>
      </c>
      <c r="M148" s="30" t="str" cm="1">
        <f t="array" ref="M148">_xlfn.IFS(D148&gt;=18,"Excelente",D148&gt;=14,"Muy bueno",D148&gt;=10,"Bueno",D148&gt;=6,"Regular",D148&lt;6,"Insuficiente")</f>
        <v>Excelente</v>
      </c>
      <c r="N148" s="30" t="str" cm="1">
        <f t="array" ref="N148">_xlfn.IFS(E148&gt;=18,"Excelente",E148&gt;=14,"Muy bueno",E148&gt;=10,"Bueno",E148&gt;=6,"Regular",E148&lt;6,"Insuficiente")</f>
        <v>Excelente</v>
      </c>
      <c r="O148" s="30" t="str" cm="1">
        <f t="array" ref="O148">_xlfn.IFS(F148&gt;=9,"Excelente",F148&gt;=7,"Muy bueno",F148&gt;=5,"Bueno",F148&gt;=3,"Regular",F148&lt;3,"Insuficiente")</f>
        <v>Excelente</v>
      </c>
      <c r="P148" s="30" t="str" cm="1">
        <f t="array" ref="P148">_xlfn.IFS(G148&gt;=9,"Excelente",G148&gt;=7,"Muy bueno",G148&gt;=5,"Bueno",G148&gt;=3,"Regular",G148&lt;3,"Insuficiente")</f>
        <v>Excelente</v>
      </c>
      <c r="Q148" s="30" t="str" cm="1">
        <f t="array" ref="Q148">_xlfn.IFS(H148&gt;=9,"Excelente",H148&gt;=7,"Muy bueno",H148&gt;=5,"Bueno",H148&gt;=3,"Regular",H148&lt;3,"Insuficiente")</f>
        <v>Excelente</v>
      </c>
      <c r="R148" s="30" t="str" cm="1">
        <f t="array" ref="R148">_xlfn.IFS(I148&gt;=9,"Excelente",I148&gt;=7,"Muy bueno",I148&gt;=5,"Bueno",I148&gt;=3,"Regular",I148&lt;3,"Insuficiente")</f>
        <v>Excelente</v>
      </c>
    </row>
    <row r="149" spans="1:18">
      <c r="A149" t="s">
        <v>321</v>
      </c>
      <c r="B149" s="16">
        <v>3</v>
      </c>
      <c r="C149" s="16">
        <v>20</v>
      </c>
      <c r="D149" s="16">
        <v>20</v>
      </c>
      <c r="E149" s="16">
        <v>20</v>
      </c>
      <c r="F149" s="16">
        <v>10</v>
      </c>
      <c r="G149" s="16">
        <v>10</v>
      </c>
      <c r="H149" s="16">
        <v>8.6666666666666661</v>
      </c>
      <c r="I149" s="16">
        <v>10</v>
      </c>
      <c r="J149" s="28">
        <f t="shared" si="2"/>
        <v>98.666666666666671</v>
      </c>
      <c r="K149" s="29" t="str" cm="1">
        <f t="array" ref="K149">_xlfn.IFS(J149&gt;=90,"Excelente",J149&gt;=80,"Muy Bueno",J149&gt;=75,"Bueno",J149&gt;=65,"Regular",J149&gt;=55,"Insuficiente")</f>
        <v>Excelente</v>
      </c>
      <c r="L149" s="30" t="str" cm="1">
        <f t="array" ref="L149">_xlfn.IFS(C149&gt;=18,"Excelente",C149&gt;=14,"Muy bueno",C149&gt;=10,"Bueno",C149&gt;=6,"Regular",C149&lt;6,"Insuficiente")</f>
        <v>Excelente</v>
      </c>
      <c r="M149" s="30" t="str" cm="1">
        <f t="array" ref="M149">_xlfn.IFS(D149&gt;=18,"Excelente",D149&gt;=14,"Muy bueno",D149&gt;=10,"Bueno",D149&gt;=6,"Regular",D149&lt;6,"Insuficiente")</f>
        <v>Excelente</v>
      </c>
      <c r="N149" s="30" t="str" cm="1">
        <f t="array" ref="N149">_xlfn.IFS(E149&gt;=18,"Excelente",E149&gt;=14,"Muy bueno",E149&gt;=10,"Bueno",E149&gt;=6,"Regular",E149&lt;6,"Insuficiente")</f>
        <v>Excelente</v>
      </c>
      <c r="O149" s="30" t="str" cm="1">
        <f t="array" ref="O149">_xlfn.IFS(F149&gt;=9,"Excelente",F149&gt;=7,"Muy bueno",F149&gt;=5,"Bueno",F149&gt;=3,"Regular",F149&lt;3,"Insuficiente")</f>
        <v>Excelente</v>
      </c>
      <c r="P149" s="30" t="str" cm="1">
        <f t="array" ref="P149">_xlfn.IFS(G149&gt;=9,"Excelente",G149&gt;=7,"Muy bueno",G149&gt;=5,"Bueno",G149&gt;=3,"Regular",G149&lt;3,"Insuficiente")</f>
        <v>Excelente</v>
      </c>
      <c r="Q149" s="30" t="str" cm="1">
        <f t="array" ref="Q149">_xlfn.IFS(H149&gt;=9,"Excelente",H149&gt;=7,"Muy bueno",H149&gt;=5,"Bueno",H149&gt;=3,"Regular",H149&lt;3,"Insuficiente")</f>
        <v>Muy bueno</v>
      </c>
      <c r="R149" s="30" t="str" cm="1">
        <f t="array" ref="R149">_xlfn.IFS(I149&gt;=9,"Excelente",I149&gt;=7,"Muy bueno",I149&gt;=5,"Bueno",I149&gt;=3,"Regular",I149&lt;3,"Insuficiente")</f>
        <v>Excelente</v>
      </c>
    </row>
    <row r="150" spans="1:18">
      <c r="A150" t="s">
        <v>49</v>
      </c>
      <c r="B150" s="16">
        <v>3</v>
      </c>
      <c r="C150" s="16">
        <v>20</v>
      </c>
      <c r="D150" s="16">
        <v>20</v>
      </c>
      <c r="E150" s="16">
        <v>18.666666666666668</v>
      </c>
      <c r="F150" s="16">
        <v>10</v>
      </c>
      <c r="G150" s="16">
        <v>10</v>
      </c>
      <c r="H150" s="16">
        <v>10</v>
      </c>
      <c r="I150" s="16">
        <v>8.6666666666666661</v>
      </c>
      <c r="J150" s="28">
        <f t="shared" si="2"/>
        <v>97.333333333333343</v>
      </c>
      <c r="K150" s="29" t="str" cm="1">
        <f t="array" ref="K150">_xlfn.IFS(J150&gt;=90,"Excelente",J150&gt;=80,"Muy Bueno",J150&gt;=75,"Bueno",J150&gt;=65,"Regular",J150&gt;=55,"Insuficiente")</f>
        <v>Excelente</v>
      </c>
      <c r="L150" s="30" t="str" cm="1">
        <f t="array" ref="L150">_xlfn.IFS(C150&gt;=18,"Excelente",C150&gt;=14,"Muy bueno",C150&gt;=10,"Bueno",C150&gt;=6,"Regular",C150&lt;6,"Insuficiente")</f>
        <v>Excelente</v>
      </c>
      <c r="M150" s="30" t="str" cm="1">
        <f t="array" ref="M150">_xlfn.IFS(D150&gt;=18,"Excelente",D150&gt;=14,"Muy bueno",D150&gt;=10,"Bueno",D150&gt;=6,"Regular",D150&lt;6,"Insuficiente")</f>
        <v>Excelente</v>
      </c>
      <c r="N150" s="30" t="str" cm="1">
        <f t="array" ref="N150">_xlfn.IFS(E150&gt;=18,"Excelente",E150&gt;=14,"Muy bueno",E150&gt;=10,"Bueno",E150&gt;=6,"Regular",E150&lt;6,"Insuficiente")</f>
        <v>Excelente</v>
      </c>
      <c r="O150" s="30" t="str" cm="1">
        <f t="array" ref="O150">_xlfn.IFS(F150&gt;=9,"Excelente",F150&gt;=7,"Muy bueno",F150&gt;=5,"Bueno",F150&gt;=3,"Regular",F150&lt;3,"Insuficiente")</f>
        <v>Excelente</v>
      </c>
      <c r="P150" s="30" t="str" cm="1">
        <f t="array" ref="P150">_xlfn.IFS(G150&gt;=9,"Excelente",G150&gt;=7,"Muy bueno",G150&gt;=5,"Bueno",G150&gt;=3,"Regular",G150&lt;3,"Insuficiente")</f>
        <v>Excelente</v>
      </c>
      <c r="Q150" s="30" t="str" cm="1">
        <f t="array" ref="Q150">_xlfn.IFS(H150&gt;=9,"Excelente",H150&gt;=7,"Muy bueno",H150&gt;=5,"Bueno",H150&gt;=3,"Regular",H150&lt;3,"Insuficiente")</f>
        <v>Excelente</v>
      </c>
      <c r="R150" s="30" t="str" cm="1">
        <f t="array" ref="R150">_xlfn.IFS(I150&gt;=9,"Excelente",I150&gt;=7,"Muy bueno",I150&gt;=5,"Bueno",I150&gt;=3,"Regular",I150&lt;3,"Insuficiente")</f>
        <v>Muy bueno</v>
      </c>
    </row>
    <row r="151" spans="1:18">
      <c r="A151" t="s">
        <v>176</v>
      </c>
      <c r="B151" s="16">
        <v>3</v>
      </c>
      <c r="C151" s="16">
        <v>17.333333333333332</v>
      </c>
      <c r="D151" s="16">
        <v>17.333333333333332</v>
      </c>
      <c r="E151" s="16">
        <v>17.333333333333332</v>
      </c>
      <c r="F151" s="16">
        <v>8.6666666666666661</v>
      </c>
      <c r="G151" s="16">
        <v>7.333333333333333</v>
      </c>
      <c r="H151" s="16">
        <v>6.666666666666667</v>
      </c>
      <c r="I151" s="16">
        <v>7.333333333333333</v>
      </c>
      <c r="J151" s="28">
        <f t="shared" si="2"/>
        <v>82</v>
      </c>
      <c r="K151" s="29" t="str" cm="1">
        <f t="array" ref="K151">_xlfn.IFS(J151&gt;=90,"Excelente",J151&gt;=80,"Muy Bueno",J151&gt;=75,"Bueno",J151&gt;=65,"Regular",J151&gt;=55,"Insuficiente")</f>
        <v>Muy Bueno</v>
      </c>
      <c r="L151" s="30" t="str" cm="1">
        <f t="array" ref="L151">_xlfn.IFS(C151&gt;=18,"Excelente",C151&gt;=14,"Muy bueno",C151&gt;=10,"Bueno",C151&gt;=6,"Regular",C151&lt;6,"Insuficiente")</f>
        <v>Muy bueno</v>
      </c>
      <c r="M151" s="30" t="str" cm="1">
        <f t="array" ref="M151">_xlfn.IFS(D151&gt;=18,"Excelente",D151&gt;=14,"Muy bueno",D151&gt;=10,"Bueno",D151&gt;=6,"Regular",D151&lt;6,"Insuficiente")</f>
        <v>Muy bueno</v>
      </c>
      <c r="N151" s="30" t="str" cm="1">
        <f t="array" ref="N151">_xlfn.IFS(E151&gt;=18,"Excelente",E151&gt;=14,"Muy bueno",E151&gt;=10,"Bueno",E151&gt;=6,"Regular",E151&lt;6,"Insuficiente")</f>
        <v>Muy bueno</v>
      </c>
      <c r="O151" s="30" t="str" cm="1">
        <f t="array" ref="O151">_xlfn.IFS(F151&gt;=9,"Excelente",F151&gt;=7,"Muy bueno",F151&gt;=5,"Bueno",F151&gt;=3,"Regular",F151&lt;3,"Insuficiente")</f>
        <v>Muy bueno</v>
      </c>
      <c r="P151" s="30" t="str" cm="1">
        <f t="array" ref="P151">_xlfn.IFS(G151&gt;=9,"Excelente",G151&gt;=7,"Muy bueno",G151&gt;=5,"Bueno",G151&gt;=3,"Regular",G151&lt;3,"Insuficiente")</f>
        <v>Muy bueno</v>
      </c>
      <c r="Q151" s="30" t="str" cm="1">
        <f t="array" ref="Q151">_xlfn.IFS(H151&gt;=9,"Excelente",H151&gt;=7,"Muy bueno",H151&gt;=5,"Bueno",H151&gt;=3,"Regular",H151&lt;3,"Insuficiente")</f>
        <v>Bueno</v>
      </c>
      <c r="R151" s="30" t="str" cm="1">
        <f t="array" ref="R151">_xlfn.IFS(I151&gt;=9,"Excelente",I151&gt;=7,"Muy bueno",I151&gt;=5,"Bueno",I151&gt;=3,"Regular",I151&lt;3,"Insuficiente")</f>
        <v>Muy bueno</v>
      </c>
    </row>
    <row r="152" spans="1:18">
      <c r="A152" t="s">
        <v>332</v>
      </c>
      <c r="B152" s="16">
        <v>3</v>
      </c>
      <c r="C152" s="16">
        <v>20</v>
      </c>
      <c r="D152" s="16">
        <v>17.333333333333332</v>
      </c>
      <c r="E152" s="16">
        <v>20</v>
      </c>
      <c r="F152" s="16">
        <v>10</v>
      </c>
      <c r="G152" s="16">
        <v>9.3333333333333339</v>
      </c>
      <c r="H152" s="16">
        <v>8.6666666666666661</v>
      </c>
      <c r="I152" s="16">
        <v>8.6666666666666661</v>
      </c>
      <c r="J152" s="28">
        <f t="shared" si="2"/>
        <v>94</v>
      </c>
      <c r="K152" s="29" t="str" cm="1">
        <f t="array" ref="K152">_xlfn.IFS(J152&gt;=90,"Excelente",J152&gt;=80,"Muy Bueno",J152&gt;=75,"Bueno",J152&gt;=65,"Regular",J152&gt;=55,"Insuficiente")</f>
        <v>Excelente</v>
      </c>
      <c r="L152" s="30" t="str" cm="1">
        <f t="array" ref="L152">_xlfn.IFS(C152&gt;=18,"Excelente",C152&gt;=14,"Muy bueno",C152&gt;=10,"Bueno",C152&gt;=6,"Regular",C152&lt;6,"Insuficiente")</f>
        <v>Excelente</v>
      </c>
      <c r="M152" s="30" t="str" cm="1">
        <f t="array" ref="M152">_xlfn.IFS(D152&gt;=18,"Excelente",D152&gt;=14,"Muy bueno",D152&gt;=10,"Bueno",D152&gt;=6,"Regular",D152&lt;6,"Insuficiente")</f>
        <v>Muy bueno</v>
      </c>
      <c r="N152" s="30" t="str" cm="1">
        <f t="array" ref="N152">_xlfn.IFS(E152&gt;=18,"Excelente",E152&gt;=14,"Muy bueno",E152&gt;=10,"Bueno",E152&gt;=6,"Regular",E152&lt;6,"Insuficiente")</f>
        <v>Excelente</v>
      </c>
      <c r="O152" s="30" t="str" cm="1">
        <f t="array" ref="O152">_xlfn.IFS(F152&gt;=9,"Excelente",F152&gt;=7,"Muy bueno",F152&gt;=5,"Bueno",F152&gt;=3,"Regular",F152&lt;3,"Insuficiente")</f>
        <v>Excelente</v>
      </c>
      <c r="P152" s="30" t="str" cm="1">
        <f t="array" ref="P152">_xlfn.IFS(G152&gt;=9,"Excelente",G152&gt;=7,"Muy bueno",G152&gt;=5,"Bueno",G152&gt;=3,"Regular",G152&lt;3,"Insuficiente")</f>
        <v>Excelente</v>
      </c>
      <c r="Q152" s="30" t="str" cm="1">
        <f t="array" ref="Q152">_xlfn.IFS(H152&gt;=9,"Excelente",H152&gt;=7,"Muy bueno",H152&gt;=5,"Bueno",H152&gt;=3,"Regular",H152&lt;3,"Insuficiente")</f>
        <v>Muy bueno</v>
      </c>
      <c r="R152" s="30" t="str" cm="1">
        <f t="array" ref="R152">_xlfn.IFS(I152&gt;=9,"Excelente",I152&gt;=7,"Muy bueno",I152&gt;=5,"Bueno",I152&gt;=3,"Regular",I152&lt;3,"Insuficiente")</f>
        <v>Muy bueno</v>
      </c>
    </row>
    <row r="153" spans="1:18">
      <c r="A153" t="s">
        <v>190</v>
      </c>
      <c r="B153" s="16">
        <v>3</v>
      </c>
      <c r="C153" s="16">
        <v>20</v>
      </c>
      <c r="D153" s="16">
        <v>20</v>
      </c>
      <c r="E153" s="16">
        <v>18.666666666666668</v>
      </c>
      <c r="F153" s="16">
        <v>10</v>
      </c>
      <c r="G153" s="16">
        <v>9.3333333333333339</v>
      </c>
      <c r="H153" s="16">
        <v>10</v>
      </c>
      <c r="I153" s="16">
        <v>10</v>
      </c>
      <c r="J153" s="28">
        <f t="shared" si="2"/>
        <v>98</v>
      </c>
      <c r="K153" s="29" t="str" cm="1">
        <f t="array" ref="K153">_xlfn.IFS(J153&gt;=90,"Excelente",J153&gt;=80,"Muy Bueno",J153&gt;=75,"Bueno",J153&gt;=65,"Regular",J153&gt;=55,"Insuficiente")</f>
        <v>Excelente</v>
      </c>
      <c r="L153" s="30" t="str" cm="1">
        <f t="array" ref="L153">_xlfn.IFS(C153&gt;=18,"Excelente",C153&gt;=14,"Muy bueno",C153&gt;=10,"Bueno",C153&gt;=6,"Regular",C153&lt;6,"Insuficiente")</f>
        <v>Excelente</v>
      </c>
      <c r="M153" s="30" t="str" cm="1">
        <f t="array" ref="M153">_xlfn.IFS(D153&gt;=18,"Excelente",D153&gt;=14,"Muy bueno",D153&gt;=10,"Bueno",D153&gt;=6,"Regular",D153&lt;6,"Insuficiente")</f>
        <v>Excelente</v>
      </c>
      <c r="N153" s="30" t="str" cm="1">
        <f t="array" ref="N153">_xlfn.IFS(E153&gt;=18,"Excelente",E153&gt;=14,"Muy bueno",E153&gt;=10,"Bueno",E153&gt;=6,"Regular",E153&lt;6,"Insuficiente")</f>
        <v>Excelente</v>
      </c>
      <c r="O153" s="30" t="str" cm="1">
        <f t="array" ref="O153">_xlfn.IFS(F153&gt;=9,"Excelente",F153&gt;=7,"Muy bueno",F153&gt;=5,"Bueno",F153&gt;=3,"Regular",F153&lt;3,"Insuficiente")</f>
        <v>Excelente</v>
      </c>
      <c r="P153" s="30" t="str" cm="1">
        <f t="array" ref="P153">_xlfn.IFS(G153&gt;=9,"Excelente",G153&gt;=7,"Muy bueno",G153&gt;=5,"Bueno",G153&gt;=3,"Regular",G153&lt;3,"Insuficiente")</f>
        <v>Excelente</v>
      </c>
      <c r="Q153" s="30" t="str" cm="1">
        <f t="array" ref="Q153">_xlfn.IFS(H153&gt;=9,"Excelente",H153&gt;=7,"Muy bueno",H153&gt;=5,"Bueno",H153&gt;=3,"Regular",H153&lt;3,"Insuficiente")</f>
        <v>Excelente</v>
      </c>
      <c r="R153" s="30" t="str" cm="1">
        <f t="array" ref="R153">_xlfn.IFS(I153&gt;=9,"Excelente",I153&gt;=7,"Muy bueno",I153&gt;=5,"Bueno",I153&gt;=3,"Regular",I153&lt;3,"Insuficiente")</f>
        <v>Excelente</v>
      </c>
    </row>
    <row r="154" spans="1:18">
      <c r="A154" t="s">
        <v>206</v>
      </c>
      <c r="B154" s="16">
        <v>3</v>
      </c>
      <c r="C154" s="16">
        <v>20</v>
      </c>
      <c r="D154" s="16">
        <v>20</v>
      </c>
      <c r="E154" s="16">
        <v>20</v>
      </c>
      <c r="F154" s="16">
        <v>10</v>
      </c>
      <c r="G154" s="16">
        <v>10</v>
      </c>
      <c r="H154" s="16">
        <v>10</v>
      </c>
      <c r="I154" s="16">
        <v>10</v>
      </c>
      <c r="J154" s="28">
        <f t="shared" si="2"/>
        <v>100</v>
      </c>
      <c r="K154" s="29" t="str" cm="1">
        <f t="array" ref="K154">_xlfn.IFS(J154&gt;=90,"Excelente",J154&gt;=80,"Muy Bueno",J154&gt;=75,"Bueno",J154&gt;=65,"Regular",J154&gt;=55,"Insuficiente")</f>
        <v>Excelente</v>
      </c>
      <c r="L154" s="30" t="str" cm="1">
        <f t="array" ref="L154">_xlfn.IFS(C154&gt;=18,"Excelente",C154&gt;=14,"Muy bueno",C154&gt;=10,"Bueno",C154&gt;=6,"Regular",C154&lt;6,"Insuficiente")</f>
        <v>Excelente</v>
      </c>
      <c r="M154" s="30" t="str" cm="1">
        <f t="array" ref="M154">_xlfn.IFS(D154&gt;=18,"Excelente",D154&gt;=14,"Muy bueno",D154&gt;=10,"Bueno",D154&gt;=6,"Regular",D154&lt;6,"Insuficiente")</f>
        <v>Excelente</v>
      </c>
      <c r="N154" s="30" t="str" cm="1">
        <f t="array" ref="N154">_xlfn.IFS(E154&gt;=18,"Excelente",E154&gt;=14,"Muy bueno",E154&gt;=10,"Bueno",E154&gt;=6,"Regular",E154&lt;6,"Insuficiente")</f>
        <v>Excelente</v>
      </c>
      <c r="O154" s="30" t="str" cm="1">
        <f t="array" ref="O154">_xlfn.IFS(F154&gt;=9,"Excelente",F154&gt;=7,"Muy bueno",F154&gt;=5,"Bueno",F154&gt;=3,"Regular",F154&lt;3,"Insuficiente")</f>
        <v>Excelente</v>
      </c>
      <c r="P154" s="30" t="str" cm="1">
        <f t="array" ref="P154">_xlfn.IFS(G154&gt;=9,"Excelente",G154&gt;=7,"Muy bueno",G154&gt;=5,"Bueno",G154&gt;=3,"Regular",G154&lt;3,"Insuficiente")</f>
        <v>Excelente</v>
      </c>
      <c r="Q154" s="30" t="str" cm="1">
        <f t="array" ref="Q154">_xlfn.IFS(H154&gt;=9,"Excelente",H154&gt;=7,"Muy bueno",H154&gt;=5,"Bueno",H154&gt;=3,"Regular",H154&lt;3,"Insuficiente")</f>
        <v>Excelente</v>
      </c>
      <c r="R154" s="30" t="str" cm="1">
        <f t="array" ref="R154">_xlfn.IFS(I154&gt;=9,"Excelente",I154&gt;=7,"Muy bueno",I154&gt;=5,"Bueno",I154&gt;=3,"Regular",I154&lt;3,"Insuficiente")</f>
        <v>Excelente</v>
      </c>
    </row>
    <row r="155" spans="1:18">
      <c r="A155" t="s">
        <v>185</v>
      </c>
      <c r="B155" s="16">
        <v>3</v>
      </c>
      <c r="C155" s="16">
        <v>17.333333333333332</v>
      </c>
      <c r="D155" s="16">
        <v>17.333333333333332</v>
      </c>
      <c r="E155" s="16">
        <v>16</v>
      </c>
      <c r="F155" s="16">
        <v>7.333333333333333</v>
      </c>
      <c r="G155" s="16">
        <v>8.6666666666666661</v>
      </c>
      <c r="H155" s="16">
        <v>6</v>
      </c>
      <c r="I155" s="16">
        <v>6</v>
      </c>
      <c r="J155" s="28">
        <f t="shared" si="2"/>
        <v>78.666666666666671</v>
      </c>
      <c r="K155" s="29" t="str" cm="1">
        <f t="array" ref="K155">_xlfn.IFS(J155&gt;=90,"Excelente",J155&gt;=80,"Muy Bueno",J155&gt;=75,"Bueno",J155&gt;=65,"Regular",J155&gt;=55,"Insuficiente")</f>
        <v>Bueno</v>
      </c>
      <c r="L155" s="30" t="str" cm="1">
        <f t="array" ref="L155">_xlfn.IFS(C155&gt;=18,"Excelente",C155&gt;=14,"Muy bueno",C155&gt;=10,"Bueno",C155&gt;=6,"Regular",C155&lt;6,"Insuficiente")</f>
        <v>Muy bueno</v>
      </c>
      <c r="M155" s="30" t="str" cm="1">
        <f t="array" ref="M155">_xlfn.IFS(D155&gt;=18,"Excelente",D155&gt;=14,"Muy bueno",D155&gt;=10,"Bueno",D155&gt;=6,"Regular",D155&lt;6,"Insuficiente")</f>
        <v>Muy bueno</v>
      </c>
      <c r="N155" s="30" t="str" cm="1">
        <f t="array" ref="N155">_xlfn.IFS(E155&gt;=18,"Excelente",E155&gt;=14,"Muy bueno",E155&gt;=10,"Bueno",E155&gt;=6,"Regular",E155&lt;6,"Insuficiente")</f>
        <v>Muy bueno</v>
      </c>
      <c r="O155" s="30" t="str" cm="1">
        <f t="array" ref="O155">_xlfn.IFS(F155&gt;=9,"Excelente",F155&gt;=7,"Muy bueno",F155&gt;=5,"Bueno",F155&gt;=3,"Regular",F155&lt;3,"Insuficiente")</f>
        <v>Muy bueno</v>
      </c>
      <c r="P155" s="30" t="str" cm="1">
        <f t="array" ref="P155">_xlfn.IFS(G155&gt;=9,"Excelente",G155&gt;=7,"Muy bueno",G155&gt;=5,"Bueno",G155&gt;=3,"Regular",G155&lt;3,"Insuficiente")</f>
        <v>Muy bueno</v>
      </c>
      <c r="Q155" s="30" t="str" cm="1">
        <f t="array" ref="Q155">_xlfn.IFS(H155&gt;=9,"Excelente",H155&gt;=7,"Muy bueno",H155&gt;=5,"Bueno",H155&gt;=3,"Regular",H155&lt;3,"Insuficiente")</f>
        <v>Bueno</v>
      </c>
      <c r="R155" s="30" t="str" cm="1">
        <f t="array" ref="R155">_xlfn.IFS(I155&gt;=9,"Excelente",I155&gt;=7,"Muy bueno",I155&gt;=5,"Bueno",I155&gt;=3,"Regular",I155&lt;3,"Insuficiente")</f>
        <v>Bueno</v>
      </c>
    </row>
    <row r="156" spans="1:18">
      <c r="A156" t="s">
        <v>53</v>
      </c>
      <c r="B156" s="16">
        <v>3</v>
      </c>
      <c r="C156" s="16">
        <v>20</v>
      </c>
      <c r="D156" s="16">
        <v>18.666666666666668</v>
      </c>
      <c r="E156" s="16">
        <v>18.666666666666668</v>
      </c>
      <c r="F156" s="16">
        <v>9.3333333333333339</v>
      </c>
      <c r="G156" s="16">
        <v>9.3333333333333339</v>
      </c>
      <c r="H156" s="16">
        <v>10</v>
      </c>
      <c r="I156" s="16">
        <v>8.6666666666666661</v>
      </c>
      <c r="J156" s="28">
        <f t="shared" si="2"/>
        <v>94.666666666666671</v>
      </c>
      <c r="K156" s="29" t="str" cm="1">
        <f t="array" ref="K156">_xlfn.IFS(J156&gt;=90,"Excelente",J156&gt;=80,"Muy Bueno",J156&gt;=75,"Bueno",J156&gt;=65,"Regular",J156&gt;=55,"Insuficiente")</f>
        <v>Excelente</v>
      </c>
      <c r="L156" s="30" t="str" cm="1">
        <f t="array" ref="L156">_xlfn.IFS(C156&gt;=18,"Excelente",C156&gt;=14,"Muy bueno",C156&gt;=10,"Bueno",C156&gt;=6,"Regular",C156&lt;6,"Insuficiente")</f>
        <v>Excelente</v>
      </c>
      <c r="M156" s="30" t="str" cm="1">
        <f t="array" ref="M156">_xlfn.IFS(D156&gt;=18,"Excelente",D156&gt;=14,"Muy bueno",D156&gt;=10,"Bueno",D156&gt;=6,"Regular",D156&lt;6,"Insuficiente")</f>
        <v>Excelente</v>
      </c>
      <c r="N156" s="30" t="str" cm="1">
        <f t="array" ref="N156">_xlfn.IFS(E156&gt;=18,"Excelente",E156&gt;=14,"Muy bueno",E156&gt;=10,"Bueno",E156&gt;=6,"Regular",E156&lt;6,"Insuficiente")</f>
        <v>Excelente</v>
      </c>
      <c r="O156" s="30" t="str" cm="1">
        <f t="array" ref="O156">_xlfn.IFS(F156&gt;=9,"Excelente",F156&gt;=7,"Muy bueno",F156&gt;=5,"Bueno",F156&gt;=3,"Regular",F156&lt;3,"Insuficiente")</f>
        <v>Excelente</v>
      </c>
      <c r="P156" s="30" t="str" cm="1">
        <f t="array" ref="P156">_xlfn.IFS(G156&gt;=9,"Excelente",G156&gt;=7,"Muy bueno",G156&gt;=5,"Bueno",G156&gt;=3,"Regular",G156&lt;3,"Insuficiente")</f>
        <v>Excelente</v>
      </c>
      <c r="Q156" s="30" t="str" cm="1">
        <f t="array" ref="Q156">_xlfn.IFS(H156&gt;=9,"Excelente",H156&gt;=7,"Muy bueno",H156&gt;=5,"Bueno",H156&gt;=3,"Regular",H156&lt;3,"Insuficiente")</f>
        <v>Excelente</v>
      </c>
      <c r="R156" s="30" t="str" cm="1">
        <f t="array" ref="R156">_xlfn.IFS(I156&gt;=9,"Excelente",I156&gt;=7,"Muy bueno",I156&gt;=5,"Bueno",I156&gt;=3,"Regular",I156&lt;3,"Insuficiente")</f>
        <v>Muy bueno</v>
      </c>
    </row>
    <row r="157" spans="1:18">
      <c r="A157" t="s">
        <v>64</v>
      </c>
      <c r="B157" s="16">
        <v>3</v>
      </c>
      <c r="C157" s="16">
        <v>20</v>
      </c>
      <c r="D157" s="16">
        <v>20</v>
      </c>
      <c r="E157" s="16">
        <v>20</v>
      </c>
      <c r="F157" s="16">
        <v>10</v>
      </c>
      <c r="G157" s="16">
        <v>10</v>
      </c>
      <c r="H157" s="16">
        <v>10</v>
      </c>
      <c r="I157" s="16">
        <v>10</v>
      </c>
      <c r="J157" s="28">
        <f t="shared" si="2"/>
        <v>100</v>
      </c>
      <c r="K157" s="29" t="str" cm="1">
        <f t="array" ref="K157">_xlfn.IFS(J157&gt;=90,"Excelente",J157&gt;=80,"Muy Bueno",J157&gt;=75,"Bueno",J157&gt;=65,"Regular",J157&gt;=55,"Insuficiente")</f>
        <v>Excelente</v>
      </c>
      <c r="L157" s="30" t="str" cm="1">
        <f t="array" ref="L157">_xlfn.IFS(C157&gt;=18,"Excelente",C157&gt;=14,"Muy bueno",C157&gt;=10,"Bueno",C157&gt;=6,"Regular",C157&lt;6,"Insuficiente")</f>
        <v>Excelente</v>
      </c>
      <c r="M157" s="30" t="str" cm="1">
        <f t="array" ref="M157">_xlfn.IFS(D157&gt;=18,"Excelente",D157&gt;=14,"Muy bueno",D157&gt;=10,"Bueno",D157&gt;=6,"Regular",D157&lt;6,"Insuficiente")</f>
        <v>Excelente</v>
      </c>
      <c r="N157" s="30" t="str" cm="1">
        <f t="array" ref="N157">_xlfn.IFS(E157&gt;=18,"Excelente",E157&gt;=14,"Muy bueno",E157&gt;=10,"Bueno",E157&gt;=6,"Regular",E157&lt;6,"Insuficiente")</f>
        <v>Excelente</v>
      </c>
      <c r="O157" s="30" t="str" cm="1">
        <f t="array" ref="O157">_xlfn.IFS(F157&gt;=9,"Excelente",F157&gt;=7,"Muy bueno",F157&gt;=5,"Bueno",F157&gt;=3,"Regular",F157&lt;3,"Insuficiente")</f>
        <v>Excelente</v>
      </c>
      <c r="P157" s="30" t="str" cm="1">
        <f t="array" ref="P157">_xlfn.IFS(G157&gt;=9,"Excelente",G157&gt;=7,"Muy bueno",G157&gt;=5,"Bueno",G157&gt;=3,"Regular",G157&lt;3,"Insuficiente")</f>
        <v>Excelente</v>
      </c>
      <c r="Q157" s="30" t="str" cm="1">
        <f t="array" ref="Q157">_xlfn.IFS(H157&gt;=9,"Excelente",H157&gt;=7,"Muy bueno",H157&gt;=5,"Bueno",H157&gt;=3,"Regular",H157&lt;3,"Insuficiente")</f>
        <v>Excelente</v>
      </c>
      <c r="R157" s="30" t="str" cm="1">
        <f t="array" ref="R157">_xlfn.IFS(I157&gt;=9,"Excelente",I157&gt;=7,"Muy bueno",I157&gt;=5,"Bueno",I157&gt;=3,"Regular",I157&lt;3,"Insuficiente")</f>
        <v>Excelente</v>
      </c>
    </row>
    <row r="158" spans="1:18">
      <c r="A158" t="s">
        <v>255</v>
      </c>
      <c r="B158" s="16">
        <v>3</v>
      </c>
      <c r="C158" s="16">
        <v>18.666666666666668</v>
      </c>
      <c r="D158" s="16">
        <v>20</v>
      </c>
      <c r="E158" s="16">
        <v>20</v>
      </c>
      <c r="F158" s="16">
        <v>9.3333333333333339</v>
      </c>
      <c r="G158" s="16">
        <v>9.3333333333333339</v>
      </c>
      <c r="H158" s="16">
        <v>10</v>
      </c>
      <c r="I158" s="16">
        <v>10</v>
      </c>
      <c r="J158" s="28">
        <f t="shared" si="2"/>
        <v>97.333333333333329</v>
      </c>
      <c r="K158" s="29" t="str" cm="1">
        <f t="array" ref="K158">_xlfn.IFS(J158&gt;=90,"Excelente",J158&gt;=80,"Muy Bueno",J158&gt;=75,"Bueno",J158&gt;=65,"Regular",J158&gt;=55,"Insuficiente")</f>
        <v>Excelente</v>
      </c>
      <c r="L158" s="30" t="str" cm="1">
        <f t="array" ref="L158">_xlfn.IFS(C158&gt;=18,"Excelente",C158&gt;=14,"Muy bueno",C158&gt;=10,"Bueno",C158&gt;=6,"Regular",C158&lt;6,"Insuficiente")</f>
        <v>Excelente</v>
      </c>
      <c r="M158" s="30" t="str" cm="1">
        <f t="array" ref="M158">_xlfn.IFS(D158&gt;=18,"Excelente",D158&gt;=14,"Muy bueno",D158&gt;=10,"Bueno",D158&gt;=6,"Regular",D158&lt;6,"Insuficiente")</f>
        <v>Excelente</v>
      </c>
      <c r="N158" s="30" t="str" cm="1">
        <f t="array" ref="N158">_xlfn.IFS(E158&gt;=18,"Excelente",E158&gt;=14,"Muy bueno",E158&gt;=10,"Bueno",E158&gt;=6,"Regular",E158&lt;6,"Insuficiente")</f>
        <v>Excelente</v>
      </c>
      <c r="O158" s="30" t="str" cm="1">
        <f t="array" ref="O158">_xlfn.IFS(F158&gt;=9,"Excelente",F158&gt;=7,"Muy bueno",F158&gt;=5,"Bueno",F158&gt;=3,"Regular",F158&lt;3,"Insuficiente")</f>
        <v>Excelente</v>
      </c>
      <c r="P158" s="30" t="str" cm="1">
        <f t="array" ref="P158">_xlfn.IFS(G158&gt;=9,"Excelente",G158&gt;=7,"Muy bueno",G158&gt;=5,"Bueno",G158&gt;=3,"Regular",G158&lt;3,"Insuficiente")</f>
        <v>Excelente</v>
      </c>
      <c r="Q158" s="30" t="str" cm="1">
        <f t="array" ref="Q158">_xlfn.IFS(H158&gt;=9,"Excelente",H158&gt;=7,"Muy bueno",H158&gt;=5,"Bueno",H158&gt;=3,"Regular",H158&lt;3,"Insuficiente")</f>
        <v>Excelente</v>
      </c>
      <c r="R158" s="30" t="str" cm="1">
        <f t="array" ref="R158">_xlfn.IFS(I158&gt;=9,"Excelente",I158&gt;=7,"Muy bueno",I158&gt;=5,"Bueno",I158&gt;=3,"Regular",I158&lt;3,"Insuficiente")</f>
        <v>Excelente</v>
      </c>
    </row>
    <row r="159" spans="1:18">
      <c r="A159" t="s">
        <v>301</v>
      </c>
      <c r="B159" s="16">
        <v>3</v>
      </c>
      <c r="C159" s="16">
        <v>18.666666666666668</v>
      </c>
      <c r="D159" s="16">
        <v>18.666666666666668</v>
      </c>
      <c r="E159" s="16">
        <v>18.666666666666668</v>
      </c>
      <c r="F159" s="16">
        <v>9.3333333333333339</v>
      </c>
      <c r="G159" s="16">
        <v>9.3333333333333339</v>
      </c>
      <c r="H159" s="16">
        <v>8.6666666666666661</v>
      </c>
      <c r="I159" s="16">
        <v>9.3333333333333339</v>
      </c>
      <c r="J159" s="28">
        <f t="shared" si="2"/>
        <v>92.666666666666657</v>
      </c>
      <c r="K159" s="29" t="str" cm="1">
        <f t="array" ref="K159">_xlfn.IFS(J159&gt;=90,"Excelente",J159&gt;=80,"Muy Bueno",J159&gt;=75,"Bueno",J159&gt;=65,"Regular",J159&gt;=55,"Insuficiente")</f>
        <v>Excelente</v>
      </c>
      <c r="L159" s="30" t="str" cm="1">
        <f t="array" ref="L159">_xlfn.IFS(C159&gt;=18,"Excelente",C159&gt;=14,"Muy bueno",C159&gt;=10,"Bueno",C159&gt;=6,"Regular",C159&lt;6,"Insuficiente")</f>
        <v>Excelente</v>
      </c>
      <c r="M159" s="30" t="str" cm="1">
        <f t="array" ref="M159">_xlfn.IFS(D159&gt;=18,"Excelente",D159&gt;=14,"Muy bueno",D159&gt;=10,"Bueno",D159&gt;=6,"Regular",D159&lt;6,"Insuficiente")</f>
        <v>Excelente</v>
      </c>
      <c r="N159" s="30" t="str" cm="1">
        <f t="array" ref="N159">_xlfn.IFS(E159&gt;=18,"Excelente",E159&gt;=14,"Muy bueno",E159&gt;=10,"Bueno",E159&gt;=6,"Regular",E159&lt;6,"Insuficiente")</f>
        <v>Excelente</v>
      </c>
      <c r="O159" s="30" t="str" cm="1">
        <f t="array" ref="O159">_xlfn.IFS(F159&gt;=9,"Excelente",F159&gt;=7,"Muy bueno",F159&gt;=5,"Bueno",F159&gt;=3,"Regular",F159&lt;3,"Insuficiente")</f>
        <v>Excelente</v>
      </c>
      <c r="P159" s="30" t="str" cm="1">
        <f t="array" ref="P159">_xlfn.IFS(G159&gt;=9,"Excelente",G159&gt;=7,"Muy bueno",G159&gt;=5,"Bueno",G159&gt;=3,"Regular",G159&lt;3,"Insuficiente")</f>
        <v>Excelente</v>
      </c>
      <c r="Q159" s="30" t="str" cm="1">
        <f t="array" ref="Q159">_xlfn.IFS(H159&gt;=9,"Excelente",H159&gt;=7,"Muy bueno",H159&gt;=5,"Bueno",H159&gt;=3,"Regular",H159&lt;3,"Insuficiente")</f>
        <v>Muy bueno</v>
      </c>
      <c r="R159" s="30" t="str" cm="1">
        <f t="array" ref="R159">_xlfn.IFS(I159&gt;=9,"Excelente",I159&gt;=7,"Muy bueno",I159&gt;=5,"Bueno",I159&gt;=3,"Regular",I159&lt;3,"Insuficiente")</f>
        <v>Excelente</v>
      </c>
    </row>
    <row r="160" spans="1:18">
      <c r="A160" t="s">
        <v>325</v>
      </c>
      <c r="B160" s="16">
        <v>3</v>
      </c>
      <c r="C160" s="16">
        <v>20</v>
      </c>
      <c r="D160" s="16">
        <v>18.666666666666668</v>
      </c>
      <c r="E160" s="16">
        <v>17.333333333333332</v>
      </c>
      <c r="F160" s="16">
        <v>9.3333333333333339</v>
      </c>
      <c r="G160" s="16">
        <v>9.3333333333333339</v>
      </c>
      <c r="H160" s="16">
        <v>8.6666666666666661</v>
      </c>
      <c r="I160" s="16">
        <v>9.3333333333333339</v>
      </c>
      <c r="J160" s="28">
        <f t="shared" si="2"/>
        <v>92.666666666666657</v>
      </c>
      <c r="K160" s="29" t="str" cm="1">
        <f t="array" ref="K160">_xlfn.IFS(J160&gt;=90,"Excelente",J160&gt;=80,"Muy Bueno",J160&gt;=75,"Bueno",J160&gt;=65,"Regular",J160&gt;=55,"Insuficiente")</f>
        <v>Excelente</v>
      </c>
      <c r="L160" s="30" t="str" cm="1">
        <f t="array" ref="L160">_xlfn.IFS(C160&gt;=18,"Excelente",C160&gt;=14,"Muy bueno",C160&gt;=10,"Bueno",C160&gt;=6,"Regular",C160&lt;6,"Insuficiente")</f>
        <v>Excelente</v>
      </c>
      <c r="M160" s="30" t="str" cm="1">
        <f t="array" ref="M160">_xlfn.IFS(D160&gt;=18,"Excelente",D160&gt;=14,"Muy bueno",D160&gt;=10,"Bueno",D160&gt;=6,"Regular",D160&lt;6,"Insuficiente")</f>
        <v>Excelente</v>
      </c>
      <c r="N160" s="30" t="str" cm="1">
        <f t="array" ref="N160">_xlfn.IFS(E160&gt;=18,"Excelente",E160&gt;=14,"Muy bueno",E160&gt;=10,"Bueno",E160&gt;=6,"Regular",E160&lt;6,"Insuficiente")</f>
        <v>Muy bueno</v>
      </c>
      <c r="O160" s="30" t="str" cm="1">
        <f t="array" ref="O160">_xlfn.IFS(F160&gt;=9,"Excelente",F160&gt;=7,"Muy bueno",F160&gt;=5,"Bueno",F160&gt;=3,"Regular",F160&lt;3,"Insuficiente")</f>
        <v>Excelente</v>
      </c>
      <c r="P160" s="30" t="str" cm="1">
        <f t="array" ref="P160">_xlfn.IFS(G160&gt;=9,"Excelente",G160&gt;=7,"Muy bueno",G160&gt;=5,"Bueno",G160&gt;=3,"Regular",G160&lt;3,"Insuficiente")</f>
        <v>Excelente</v>
      </c>
      <c r="Q160" s="30" t="str" cm="1">
        <f t="array" ref="Q160">_xlfn.IFS(H160&gt;=9,"Excelente",H160&gt;=7,"Muy bueno",H160&gt;=5,"Bueno",H160&gt;=3,"Regular",H160&lt;3,"Insuficiente")</f>
        <v>Muy bueno</v>
      </c>
      <c r="R160" s="30" t="str" cm="1">
        <f t="array" ref="R160">_xlfn.IFS(I160&gt;=9,"Excelente",I160&gt;=7,"Muy bueno",I160&gt;=5,"Bueno",I160&gt;=3,"Regular",I160&lt;3,"Insuficiente")</f>
        <v>Excelente</v>
      </c>
    </row>
    <row r="161" spans="1:18">
      <c r="A161" t="s">
        <v>159</v>
      </c>
      <c r="B161" s="16">
        <v>3</v>
      </c>
      <c r="C161" s="16">
        <v>20</v>
      </c>
      <c r="D161" s="16">
        <v>20</v>
      </c>
      <c r="E161" s="16">
        <v>18.666666666666668</v>
      </c>
      <c r="F161" s="16">
        <v>8.6666666666666661</v>
      </c>
      <c r="G161" s="16">
        <v>9.3333333333333339</v>
      </c>
      <c r="H161" s="16">
        <v>9.3333333333333339</v>
      </c>
      <c r="I161" s="16">
        <v>10</v>
      </c>
      <c r="J161" s="28">
        <f t="shared" si="2"/>
        <v>96</v>
      </c>
      <c r="K161" s="29" t="str" cm="1">
        <f t="array" ref="K161">_xlfn.IFS(J161&gt;=90,"Excelente",J161&gt;=80,"Muy Bueno",J161&gt;=75,"Bueno",J161&gt;=65,"Regular",J161&gt;=55,"Insuficiente")</f>
        <v>Excelente</v>
      </c>
      <c r="L161" s="30" t="str" cm="1">
        <f t="array" ref="L161">_xlfn.IFS(C161&gt;=18,"Excelente",C161&gt;=14,"Muy bueno",C161&gt;=10,"Bueno",C161&gt;=6,"Regular",C161&lt;6,"Insuficiente")</f>
        <v>Excelente</v>
      </c>
      <c r="M161" s="30" t="str" cm="1">
        <f t="array" ref="M161">_xlfn.IFS(D161&gt;=18,"Excelente",D161&gt;=14,"Muy bueno",D161&gt;=10,"Bueno",D161&gt;=6,"Regular",D161&lt;6,"Insuficiente")</f>
        <v>Excelente</v>
      </c>
      <c r="N161" s="30" t="str" cm="1">
        <f t="array" ref="N161">_xlfn.IFS(E161&gt;=18,"Excelente",E161&gt;=14,"Muy bueno",E161&gt;=10,"Bueno",E161&gt;=6,"Regular",E161&lt;6,"Insuficiente")</f>
        <v>Excelente</v>
      </c>
      <c r="O161" s="30" t="str" cm="1">
        <f t="array" ref="O161">_xlfn.IFS(F161&gt;=9,"Excelente",F161&gt;=7,"Muy bueno",F161&gt;=5,"Bueno",F161&gt;=3,"Regular",F161&lt;3,"Insuficiente")</f>
        <v>Muy bueno</v>
      </c>
      <c r="P161" s="30" t="str" cm="1">
        <f t="array" ref="P161">_xlfn.IFS(G161&gt;=9,"Excelente",G161&gt;=7,"Muy bueno",G161&gt;=5,"Bueno",G161&gt;=3,"Regular",G161&lt;3,"Insuficiente")</f>
        <v>Excelente</v>
      </c>
      <c r="Q161" s="30" t="str" cm="1">
        <f t="array" ref="Q161">_xlfn.IFS(H161&gt;=9,"Excelente",H161&gt;=7,"Muy bueno",H161&gt;=5,"Bueno",H161&gt;=3,"Regular",H161&lt;3,"Insuficiente")</f>
        <v>Excelente</v>
      </c>
      <c r="R161" s="30" t="str" cm="1">
        <f t="array" ref="R161">_xlfn.IFS(I161&gt;=9,"Excelente",I161&gt;=7,"Muy bueno",I161&gt;=5,"Bueno",I161&gt;=3,"Regular",I161&lt;3,"Insuficiente")</f>
        <v>Excelente</v>
      </c>
    </row>
    <row r="162" spans="1:18">
      <c r="A162" t="s">
        <v>333</v>
      </c>
      <c r="B162" s="16">
        <v>3</v>
      </c>
      <c r="C162" s="16">
        <v>18.666666666666668</v>
      </c>
      <c r="D162" s="16">
        <v>17.333333333333332</v>
      </c>
      <c r="E162" s="16">
        <v>20</v>
      </c>
      <c r="F162" s="16">
        <v>10</v>
      </c>
      <c r="G162" s="16">
        <v>10</v>
      </c>
      <c r="H162" s="16">
        <v>8.6666666666666661</v>
      </c>
      <c r="I162" s="16">
        <v>8.6666666666666661</v>
      </c>
      <c r="J162" s="28">
        <f t="shared" si="2"/>
        <v>93.333333333333343</v>
      </c>
      <c r="K162" s="29" t="str" cm="1">
        <f t="array" ref="K162">_xlfn.IFS(J162&gt;=90,"Excelente",J162&gt;=80,"Muy Bueno",J162&gt;=75,"Bueno",J162&gt;=65,"Regular",J162&gt;=55,"Insuficiente")</f>
        <v>Excelente</v>
      </c>
      <c r="L162" s="30" t="str" cm="1">
        <f t="array" ref="L162">_xlfn.IFS(C162&gt;=18,"Excelente",C162&gt;=14,"Muy bueno",C162&gt;=10,"Bueno",C162&gt;=6,"Regular",C162&lt;6,"Insuficiente")</f>
        <v>Excelente</v>
      </c>
      <c r="M162" s="30" t="str" cm="1">
        <f t="array" ref="M162">_xlfn.IFS(D162&gt;=18,"Excelente",D162&gt;=14,"Muy bueno",D162&gt;=10,"Bueno",D162&gt;=6,"Regular",D162&lt;6,"Insuficiente")</f>
        <v>Muy bueno</v>
      </c>
      <c r="N162" s="30" t="str" cm="1">
        <f t="array" ref="N162">_xlfn.IFS(E162&gt;=18,"Excelente",E162&gt;=14,"Muy bueno",E162&gt;=10,"Bueno",E162&gt;=6,"Regular",E162&lt;6,"Insuficiente")</f>
        <v>Excelente</v>
      </c>
      <c r="O162" s="30" t="str" cm="1">
        <f t="array" ref="O162">_xlfn.IFS(F162&gt;=9,"Excelente",F162&gt;=7,"Muy bueno",F162&gt;=5,"Bueno",F162&gt;=3,"Regular",F162&lt;3,"Insuficiente")</f>
        <v>Excelente</v>
      </c>
      <c r="P162" s="30" t="str" cm="1">
        <f t="array" ref="P162">_xlfn.IFS(G162&gt;=9,"Excelente",G162&gt;=7,"Muy bueno",G162&gt;=5,"Bueno",G162&gt;=3,"Regular",G162&lt;3,"Insuficiente")</f>
        <v>Excelente</v>
      </c>
      <c r="Q162" s="30" t="str" cm="1">
        <f t="array" ref="Q162">_xlfn.IFS(H162&gt;=9,"Excelente",H162&gt;=7,"Muy bueno",H162&gt;=5,"Bueno",H162&gt;=3,"Regular",H162&lt;3,"Insuficiente")</f>
        <v>Muy bueno</v>
      </c>
      <c r="R162" s="30" t="str" cm="1">
        <f t="array" ref="R162">_xlfn.IFS(I162&gt;=9,"Excelente",I162&gt;=7,"Muy bueno",I162&gt;=5,"Bueno",I162&gt;=3,"Regular",I162&lt;3,"Insuficiente")</f>
        <v>Muy bueno</v>
      </c>
    </row>
    <row r="163" spans="1:18">
      <c r="A163" t="s">
        <v>238</v>
      </c>
      <c r="B163" s="16">
        <v>3</v>
      </c>
      <c r="C163" s="16">
        <v>18.666666666666668</v>
      </c>
      <c r="D163" s="16">
        <v>18.666666666666668</v>
      </c>
      <c r="E163" s="16">
        <v>16</v>
      </c>
      <c r="F163" s="16">
        <v>7.333333333333333</v>
      </c>
      <c r="G163" s="16">
        <v>8.6666666666666661</v>
      </c>
      <c r="H163" s="16">
        <v>8</v>
      </c>
      <c r="I163" s="16">
        <v>8</v>
      </c>
      <c r="J163" s="28">
        <f t="shared" si="2"/>
        <v>85.333333333333343</v>
      </c>
      <c r="K163" s="29" t="str" cm="1">
        <f t="array" ref="K163">_xlfn.IFS(J163&gt;=90,"Excelente",J163&gt;=80,"Muy Bueno",J163&gt;=75,"Bueno",J163&gt;=65,"Regular",J163&gt;=55,"Insuficiente")</f>
        <v>Muy Bueno</v>
      </c>
      <c r="L163" s="30" t="str" cm="1">
        <f t="array" ref="L163">_xlfn.IFS(C163&gt;=18,"Excelente",C163&gt;=14,"Muy bueno",C163&gt;=10,"Bueno",C163&gt;=6,"Regular",C163&lt;6,"Insuficiente")</f>
        <v>Excelente</v>
      </c>
      <c r="M163" s="30" t="str" cm="1">
        <f t="array" ref="M163">_xlfn.IFS(D163&gt;=18,"Excelente",D163&gt;=14,"Muy bueno",D163&gt;=10,"Bueno",D163&gt;=6,"Regular",D163&lt;6,"Insuficiente")</f>
        <v>Excelente</v>
      </c>
      <c r="N163" s="30" t="str" cm="1">
        <f t="array" ref="N163">_xlfn.IFS(E163&gt;=18,"Excelente",E163&gt;=14,"Muy bueno",E163&gt;=10,"Bueno",E163&gt;=6,"Regular",E163&lt;6,"Insuficiente")</f>
        <v>Muy bueno</v>
      </c>
      <c r="O163" s="30" t="str" cm="1">
        <f t="array" ref="O163">_xlfn.IFS(F163&gt;=9,"Excelente",F163&gt;=7,"Muy bueno",F163&gt;=5,"Bueno",F163&gt;=3,"Regular",F163&lt;3,"Insuficiente")</f>
        <v>Muy bueno</v>
      </c>
      <c r="P163" s="30" t="str" cm="1">
        <f t="array" ref="P163">_xlfn.IFS(G163&gt;=9,"Excelente",G163&gt;=7,"Muy bueno",G163&gt;=5,"Bueno",G163&gt;=3,"Regular",G163&lt;3,"Insuficiente")</f>
        <v>Muy bueno</v>
      </c>
      <c r="Q163" s="30" t="str" cm="1">
        <f t="array" ref="Q163">_xlfn.IFS(H163&gt;=9,"Excelente",H163&gt;=7,"Muy bueno",H163&gt;=5,"Bueno",H163&gt;=3,"Regular",H163&lt;3,"Insuficiente")</f>
        <v>Muy bueno</v>
      </c>
      <c r="R163" s="30" t="str" cm="1">
        <f t="array" ref="R163">_xlfn.IFS(I163&gt;=9,"Excelente",I163&gt;=7,"Muy bueno",I163&gt;=5,"Bueno",I163&gt;=3,"Regular",I163&lt;3,"Insuficiente")</f>
        <v>Muy bueno</v>
      </c>
    </row>
    <row r="164" spans="1:18">
      <c r="A164" t="s">
        <v>147</v>
      </c>
      <c r="B164" s="16">
        <v>3</v>
      </c>
      <c r="C164" s="16">
        <v>20</v>
      </c>
      <c r="D164" s="16">
        <v>20</v>
      </c>
      <c r="E164" s="16">
        <v>20</v>
      </c>
      <c r="F164" s="16">
        <v>9.3333333333333339</v>
      </c>
      <c r="G164" s="16">
        <v>9.3333333333333339</v>
      </c>
      <c r="H164" s="16">
        <v>9.3333333333333339</v>
      </c>
      <c r="I164" s="16">
        <v>9.3333333333333339</v>
      </c>
      <c r="J164" s="28">
        <f t="shared" si="2"/>
        <v>97.333333333333314</v>
      </c>
      <c r="K164" s="29" t="str" cm="1">
        <f t="array" ref="K164">_xlfn.IFS(J164&gt;=90,"Excelente",J164&gt;=80,"Muy Bueno",J164&gt;=75,"Bueno",J164&gt;=65,"Regular",J164&gt;=55,"Insuficiente")</f>
        <v>Excelente</v>
      </c>
      <c r="L164" s="30" t="str" cm="1">
        <f t="array" ref="L164">_xlfn.IFS(C164&gt;=18,"Excelente",C164&gt;=14,"Muy bueno",C164&gt;=10,"Bueno",C164&gt;=6,"Regular",C164&lt;6,"Insuficiente")</f>
        <v>Excelente</v>
      </c>
      <c r="M164" s="30" t="str" cm="1">
        <f t="array" ref="M164">_xlfn.IFS(D164&gt;=18,"Excelente",D164&gt;=14,"Muy bueno",D164&gt;=10,"Bueno",D164&gt;=6,"Regular",D164&lt;6,"Insuficiente")</f>
        <v>Excelente</v>
      </c>
      <c r="N164" s="30" t="str" cm="1">
        <f t="array" ref="N164">_xlfn.IFS(E164&gt;=18,"Excelente",E164&gt;=14,"Muy bueno",E164&gt;=10,"Bueno",E164&gt;=6,"Regular",E164&lt;6,"Insuficiente")</f>
        <v>Excelente</v>
      </c>
      <c r="O164" s="30" t="str" cm="1">
        <f t="array" ref="O164">_xlfn.IFS(F164&gt;=9,"Excelente",F164&gt;=7,"Muy bueno",F164&gt;=5,"Bueno",F164&gt;=3,"Regular",F164&lt;3,"Insuficiente")</f>
        <v>Excelente</v>
      </c>
      <c r="P164" s="30" t="str" cm="1">
        <f t="array" ref="P164">_xlfn.IFS(G164&gt;=9,"Excelente",G164&gt;=7,"Muy bueno",G164&gt;=5,"Bueno",G164&gt;=3,"Regular",G164&lt;3,"Insuficiente")</f>
        <v>Excelente</v>
      </c>
      <c r="Q164" s="30" t="str" cm="1">
        <f t="array" ref="Q164">_xlfn.IFS(H164&gt;=9,"Excelente",H164&gt;=7,"Muy bueno",H164&gt;=5,"Bueno",H164&gt;=3,"Regular",H164&lt;3,"Insuficiente")</f>
        <v>Excelente</v>
      </c>
      <c r="R164" s="30" t="str" cm="1">
        <f t="array" ref="R164">_xlfn.IFS(I164&gt;=9,"Excelente",I164&gt;=7,"Muy bueno",I164&gt;=5,"Bueno",I164&gt;=3,"Regular",I164&lt;3,"Insuficiente")</f>
        <v>Excelente</v>
      </c>
    </row>
    <row r="165" spans="1:18">
      <c r="A165" t="s">
        <v>279</v>
      </c>
      <c r="B165" s="16">
        <v>3</v>
      </c>
      <c r="C165" s="16">
        <v>20</v>
      </c>
      <c r="D165" s="16">
        <v>18.666666666666668</v>
      </c>
      <c r="E165" s="16">
        <v>17.333333333333332</v>
      </c>
      <c r="F165" s="16">
        <v>8</v>
      </c>
      <c r="G165" s="16">
        <v>10</v>
      </c>
      <c r="H165" s="16">
        <v>10</v>
      </c>
      <c r="I165" s="16">
        <v>8.6666666666666661</v>
      </c>
      <c r="J165" s="28">
        <f t="shared" si="2"/>
        <v>92.666666666666671</v>
      </c>
      <c r="K165" s="29" t="str" cm="1">
        <f t="array" ref="K165">_xlfn.IFS(J165&gt;=90,"Excelente",J165&gt;=80,"Muy Bueno",J165&gt;=75,"Bueno",J165&gt;=65,"Regular",J165&gt;=55,"Insuficiente")</f>
        <v>Excelente</v>
      </c>
      <c r="L165" s="30" t="str" cm="1">
        <f t="array" ref="L165">_xlfn.IFS(C165&gt;=18,"Excelente",C165&gt;=14,"Muy bueno",C165&gt;=10,"Bueno",C165&gt;=6,"Regular",C165&lt;6,"Insuficiente")</f>
        <v>Excelente</v>
      </c>
      <c r="M165" s="30" t="str" cm="1">
        <f t="array" ref="M165">_xlfn.IFS(D165&gt;=18,"Excelente",D165&gt;=14,"Muy bueno",D165&gt;=10,"Bueno",D165&gt;=6,"Regular",D165&lt;6,"Insuficiente")</f>
        <v>Excelente</v>
      </c>
      <c r="N165" s="30" t="str" cm="1">
        <f t="array" ref="N165">_xlfn.IFS(E165&gt;=18,"Excelente",E165&gt;=14,"Muy bueno",E165&gt;=10,"Bueno",E165&gt;=6,"Regular",E165&lt;6,"Insuficiente")</f>
        <v>Muy bueno</v>
      </c>
      <c r="O165" s="30" t="str" cm="1">
        <f t="array" ref="O165">_xlfn.IFS(F165&gt;=9,"Excelente",F165&gt;=7,"Muy bueno",F165&gt;=5,"Bueno",F165&gt;=3,"Regular",F165&lt;3,"Insuficiente")</f>
        <v>Muy bueno</v>
      </c>
      <c r="P165" s="30" t="str" cm="1">
        <f t="array" ref="P165">_xlfn.IFS(G165&gt;=9,"Excelente",G165&gt;=7,"Muy bueno",G165&gt;=5,"Bueno",G165&gt;=3,"Regular",G165&lt;3,"Insuficiente")</f>
        <v>Excelente</v>
      </c>
      <c r="Q165" s="30" t="str" cm="1">
        <f t="array" ref="Q165">_xlfn.IFS(H165&gt;=9,"Excelente",H165&gt;=7,"Muy bueno",H165&gt;=5,"Bueno",H165&gt;=3,"Regular",H165&lt;3,"Insuficiente")</f>
        <v>Excelente</v>
      </c>
      <c r="R165" s="30" t="str" cm="1">
        <f t="array" ref="R165">_xlfn.IFS(I165&gt;=9,"Excelente",I165&gt;=7,"Muy bueno",I165&gt;=5,"Bueno",I165&gt;=3,"Regular",I165&lt;3,"Insuficiente")</f>
        <v>Muy bueno</v>
      </c>
    </row>
    <row r="166" spans="1:18">
      <c r="A166" t="s">
        <v>302</v>
      </c>
      <c r="B166" s="16">
        <v>3</v>
      </c>
      <c r="C166" s="16">
        <v>20</v>
      </c>
      <c r="D166" s="16">
        <v>18.666666666666668</v>
      </c>
      <c r="E166" s="16">
        <v>18.666666666666668</v>
      </c>
      <c r="F166" s="16">
        <v>10</v>
      </c>
      <c r="G166" s="16">
        <v>9.3333333333333339</v>
      </c>
      <c r="H166" s="16">
        <v>8.6666666666666661</v>
      </c>
      <c r="I166" s="16">
        <v>9.3333333333333339</v>
      </c>
      <c r="J166" s="28">
        <f t="shared" si="2"/>
        <v>94.666666666666671</v>
      </c>
      <c r="K166" s="29" t="str" cm="1">
        <f t="array" ref="K166">_xlfn.IFS(J166&gt;=90,"Excelente",J166&gt;=80,"Muy Bueno",J166&gt;=75,"Bueno",J166&gt;=65,"Regular",J166&gt;=55,"Insuficiente")</f>
        <v>Excelente</v>
      </c>
      <c r="L166" s="30" t="str" cm="1">
        <f t="array" ref="L166">_xlfn.IFS(C166&gt;=18,"Excelente",C166&gt;=14,"Muy bueno",C166&gt;=10,"Bueno",C166&gt;=6,"Regular",C166&lt;6,"Insuficiente")</f>
        <v>Excelente</v>
      </c>
      <c r="M166" s="30" t="str" cm="1">
        <f t="array" ref="M166">_xlfn.IFS(D166&gt;=18,"Excelente",D166&gt;=14,"Muy bueno",D166&gt;=10,"Bueno",D166&gt;=6,"Regular",D166&lt;6,"Insuficiente")</f>
        <v>Excelente</v>
      </c>
      <c r="N166" s="30" t="str" cm="1">
        <f t="array" ref="N166">_xlfn.IFS(E166&gt;=18,"Excelente",E166&gt;=14,"Muy bueno",E166&gt;=10,"Bueno",E166&gt;=6,"Regular",E166&lt;6,"Insuficiente")</f>
        <v>Excelente</v>
      </c>
      <c r="O166" s="30" t="str" cm="1">
        <f t="array" ref="O166">_xlfn.IFS(F166&gt;=9,"Excelente",F166&gt;=7,"Muy bueno",F166&gt;=5,"Bueno",F166&gt;=3,"Regular",F166&lt;3,"Insuficiente")</f>
        <v>Excelente</v>
      </c>
      <c r="P166" s="30" t="str" cm="1">
        <f t="array" ref="P166">_xlfn.IFS(G166&gt;=9,"Excelente",G166&gt;=7,"Muy bueno",G166&gt;=5,"Bueno",G166&gt;=3,"Regular",G166&lt;3,"Insuficiente")</f>
        <v>Excelente</v>
      </c>
      <c r="Q166" s="30" t="str" cm="1">
        <f t="array" ref="Q166">_xlfn.IFS(H166&gt;=9,"Excelente",H166&gt;=7,"Muy bueno",H166&gt;=5,"Bueno",H166&gt;=3,"Regular",H166&lt;3,"Insuficiente")</f>
        <v>Muy bueno</v>
      </c>
      <c r="R166" s="30" t="str" cm="1">
        <f t="array" ref="R166">_xlfn.IFS(I166&gt;=9,"Excelente",I166&gt;=7,"Muy bueno",I166&gt;=5,"Bueno",I166&gt;=3,"Regular",I166&lt;3,"Insuficiente")</f>
        <v>Excelente</v>
      </c>
    </row>
    <row r="167" spans="1:18">
      <c r="A167" t="s">
        <v>148</v>
      </c>
      <c r="B167" s="16">
        <v>3</v>
      </c>
      <c r="C167" s="16">
        <v>20</v>
      </c>
      <c r="D167" s="16">
        <v>20</v>
      </c>
      <c r="E167" s="16">
        <v>20</v>
      </c>
      <c r="F167" s="16">
        <v>10</v>
      </c>
      <c r="G167" s="16">
        <v>8.6666666666666661</v>
      </c>
      <c r="H167" s="16">
        <v>8.6666666666666661</v>
      </c>
      <c r="I167" s="16">
        <v>9.3333333333333339</v>
      </c>
      <c r="J167" s="28">
        <f t="shared" si="2"/>
        <v>96.666666666666671</v>
      </c>
      <c r="K167" s="29" t="str" cm="1">
        <f t="array" ref="K167">_xlfn.IFS(J167&gt;=90,"Excelente",J167&gt;=80,"Muy Bueno",J167&gt;=75,"Bueno",J167&gt;=65,"Regular",J167&gt;=55,"Insuficiente")</f>
        <v>Excelente</v>
      </c>
      <c r="L167" s="30" t="str" cm="1">
        <f t="array" ref="L167">_xlfn.IFS(C167&gt;=18,"Excelente",C167&gt;=14,"Muy bueno",C167&gt;=10,"Bueno",C167&gt;=6,"Regular",C167&lt;6,"Insuficiente")</f>
        <v>Excelente</v>
      </c>
      <c r="M167" s="30" t="str" cm="1">
        <f t="array" ref="M167">_xlfn.IFS(D167&gt;=18,"Excelente",D167&gt;=14,"Muy bueno",D167&gt;=10,"Bueno",D167&gt;=6,"Regular",D167&lt;6,"Insuficiente")</f>
        <v>Excelente</v>
      </c>
      <c r="N167" s="30" t="str" cm="1">
        <f t="array" ref="N167">_xlfn.IFS(E167&gt;=18,"Excelente",E167&gt;=14,"Muy bueno",E167&gt;=10,"Bueno",E167&gt;=6,"Regular",E167&lt;6,"Insuficiente")</f>
        <v>Excelente</v>
      </c>
      <c r="O167" s="30" t="str" cm="1">
        <f t="array" ref="O167">_xlfn.IFS(F167&gt;=9,"Excelente",F167&gt;=7,"Muy bueno",F167&gt;=5,"Bueno",F167&gt;=3,"Regular",F167&lt;3,"Insuficiente")</f>
        <v>Excelente</v>
      </c>
      <c r="P167" s="30" t="str" cm="1">
        <f t="array" ref="P167">_xlfn.IFS(G167&gt;=9,"Excelente",G167&gt;=7,"Muy bueno",G167&gt;=5,"Bueno",G167&gt;=3,"Regular",G167&lt;3,"Insuficiente")</f>
        <v>Muy bueno</v>
      </c>
      <c r="Q167" s="30" t="str" cm="1">
        <f t="array" ref="Q167">_xlfn.IFS(H167&gt;=9,"Excelente",H167&gt;=7,"Muy bueno",H167&gt;=5,"Bueno",H167&gt;=3,"Regular",H167&lt;3,"Insuficiente")</f>
        <v>Muy bueno</v>
      </c>
      <c r="R167" s="30" t="str" cm="1">
        <f t="array" ref="R167">_xlfn.IFS(I167&gt;=9,"Excelente",I167&gt;=7,"Muy bueno",I167&gt;=5,"Bueno",I167&gt;=3,"Regular",I167&lt;3,"Insuficiente")</f>
        <v>Excelente</v>
      </c>
    </row>
    <row r="168" spans="1:18">
      <c r="A168" t="s">
        <v>296</v>
      </c>
      <c r="B168" s="16">
        <v>3</v>
      </c>
      <c r="C168" s="16">
        <v>20</v>
      </c>
      <c r="D168" s="16">
        <v>20</v>
      </c>
      <c r="E168" s="16">
        <v>18.666666666666668</v>
      </c>
      <c r="F168" s="16">
        <v>9.3333333333333339</v>
      </c>
      <c r="G168" s="16">
        <v>10</v>
      </c>
      <c r="H168" s="16">
        <v>10</v>
      </c>
      <c r="I168" s="16">
        <v>9.3333333333333339</v>
      </c>
      <c r="J168" s="28">
        <f t="shared" si="2"/>
        <v>97.333333333333329</v>
      </c>
      <c r="K168" s="29" t="str" cm="1">
        <f t="array" ref="K168">_xlfn.IFS(J168&gt;=90,"Excelente",J168&gt;=80,"Muy Bueno",J168&gt;=75,"Bueno",J168&gt;=65,"Regular",J168&gt;=55,"Insuficiente")</f>
        <v>Excelente</v>
      </c>
      <c r="L168" s="30" t="str" cm="1">
        <f t="array" ref="L168">_xlfn.IFS(C168&gt;=18,"Excelente",C168&gt;=14,"Muy bueno",C168&gt;=10,"Bueno",C168&gt;=6,"Regular",C168&lt;6,"Insuficiente")</f>
        <v>Excelente</v>
      </c>
      <c r="M168" s="30" t="str" cm="1">
        <f t="array" ref="M168">_xlfn.IFS(D168&gt;=18,"Excelente",D168&gt;=14,"Muy bueno",D168&gt;=10,"Bueno",D168&gt;=6,"Regular",D168&lt;6,"Insuficiente")</f>
        <v>Excelente</v>
      </c>
      <c r="N168" s="30" t="str" cm="1">
        <f t="array" ref="N168">_xlfn.IFS(E168&gt;=18,"Excelente",E168&gt;=14,"Muy bueno",E168&gt;=10,"Bueno",E168&gt;=6,"Regular",E168&lt;6,"Insuficiente")</f>
        <v>Excelente</v>
      </c>
      <c r="O168" s="30" t="str" cm="1">
        <f t="array" ref="O168">_xlfn.IFS(F168&gt;=9,"Excelente",F168&gt;=7,"Muy bueno",F168&gt;=5,"Bueno",F168&gt;=3,"Regular",F168&lt;3,"Insuficiente")</f>
        <v>Excelente</v>
      </c>
      <c r="P168" s="30" t="str" cm="1">
        <f t="array" ref="P168">_xlfn.IFS(G168&gt;=9,"Excelente",G168&gt;=7,"Muy bueno",G168&gt;=5,"Bueno",G168&gt;=3,"Regular",G168&lt;3,"Insuficiente")</f>
        <v>Excelente</v>
      </c>
      <c r="Q168" s="30" t="str" cm="1">
        <f t="array" ref="Q168">_xlfn.IFS(H168&gt;=9,"Excelente",H168&gt;=7,"Muy bueno",H168&gt;=5,"Bueno",H168&gt;=3,"Regular",H168&lt;3,"Insuficiente")</f>
        <v>Excelente</v>
      </c>
      <c r="R168" s="30" t="str" cm="1">
        <f t="array" ref="R168">_xlfn.IFS(I168&gt;=9,"Excelente",I168&gt;=7,"Muy bueno",I168&gt;=5,"Bueno",I168&gt;=3,"Regular",I168&lt;3,"Insuficiente")</f>
        <v>Excelente</v>
      </c>
    </row>
    <row r="169" spans="1:18">
      <c r="A169" t="s">
        <v>269</v>
      </c>
      <c r="B169" s="16">
        <v>3</v>
      </c>
      <c r="C169" s="16">
        <v>20</v>
      </c>
      <c r="D169" s="16">
        <v>20</v>
      </c>
      <c r="E169" s="16">
        <v>20</v>
      </c>
      <c r="F169" s="16">
        <v>9.3333333333333339</v>
      </c>
      <c r="G169" s="16">
        <v>10</v>
      </c>
      <c r="H169" s="16">
        <v>8.6666666666666661</v>
      </c>
      <c r="I169" s="16">
        <v>10</v>
      </c>
      <c r="J169" s="28">
        <f t="shared" si="2"/>
        <v>98</v>
      </c>
      <c r="K169" s="29" t="str" cm="1">
        <f t="array" ref="K169">_xlfn.IFS(J169&gt;=90,"Excelente",J169&gt;=80,"Muy Bueno",J169&gt;=75,"Bueno",J169&gt;=65,"Regular",J169&gt;=55,"Insuficiente")</f>
        <v>Excelente</v>
      </c>
      <c r="L169" s="30" t="str" cm="1">
        <f t="array" ref="L169">_xlfn.IFS(C169&gt;=18,"Excelente",C169&gt;=14,"Muy bueno",C169&gt;=10,"Bueno",C169&gt;=6,"Regular",C169&lt;6,"Insuficiente")</f>
        <v>Excelente</v>
      </c>
      <c r="M169" s="30" t="str" cm="1">
        <f t="array" ref="M169">_xlfn.IFS(D169&gt;=18,"Excelente",D169&gt;=14,"Muy bueno",D169&gt;=10,"Bueno",D169&gt;=6,"Regular",D169&lt;6,"Insuficiente")</f>
        <v>Excelente</v>
      </c>
      <c r="N169" s="30" t="str" cm="1">
        <f t="array" ref="N169">_xlfn.IFS(E169&gt;=18,"Excelente",E169&gt;=14,"Muy bueno",E169&gt;=10,"Bueno",E169&gt;=6,"Regular",E169&lt;6,"Insuficiente")</f>
        <v>Excelente</v>
      </c>
      <c r="O169" s="30" t="str" cm="1">
        <f t="array" ref="O169">_xlfn.IFS(F169&gt;=9,"Excelente",F169&gt;=7,"Muy bueno",F169&gt;=5,"Bueno",F169&gt;=3,"Regular",F169&lt;3,"Insuficiente")</f>
        <v>Excelente</v>
      </c>
      <c r="P169" s="30" t="str" cm="1">
        <f t="array" ref="P169">_xlfn.IFS(G169&gt;=9,"Excelente",G169&gt;=7,"Muy bueno",G169&gt;=5,"Bueno",G169&gt;=3,"Regular",G169&lt;3,"Insuficiente")</f>
        <v>Excelente</v>
      </c>
      <c r="Q169" s="30" t="str" cm="1">
        <f t="array" ref="Q169">_xlfn.IFS(H169&gt;=9,"Excelente",H169&gt;=7,"Muy bueno",H169&gt;=5,"Bueno",H169&gt;=3,"Regular",H169&lt;3,"Insuficiente")</f>
        <v>Muy bueno</v>
      </c>
      <c r="R169" s="30" t="str" cm="1">
        <f t="array" ref="R169">_xlfn.IFS(I169&gt;=9,"Excelente",I169&gt;=7,"Muy bueno",I169&gt;=5,"Bueno",I169&gt;=3,"Regular",I169&lt;3,"Insuficiente")</f>
        <v>Excelente</v>
      </c>
    </row>
    <row r="170" spans="1:18">
      <c r="A170" t="s">
        <v>43</v>
      </c>
      <c r="B170" s="16">
        <v>3</v>
      </c>
      <c r="C170" s="16">
        <v>20</v>
      </c>
      <c r="D170" s="16">
        <v>20</v>
      </c>
      <c r="E170" s="16">
        <v>20</v>
      </c>
      <c r="F170" s="16">
        <v>9.3333333333333339</v>
      </c>
      <c r="G170" s="16">
        <v>10</v>
      </c>
      <c r="H170" s="16">
        <v>10</v>
      </c>
      <c r="I170" s="16">
        <v>10</v>
      </c>
      <c r="J170" s="28">
        <f t="shared" si="2"/>
        <v>99.333333333333329</v>
      </c>
      <c r="K170" s="29" t="str" cm="1">
        <f t="array" ref="K170">_xlfn.IFS(J170&gt;=90,"Excelente",J170&gt;=80,"Muy Bueno",J170&gt;=75,"Bueno",J170&gt;=65,"Regular",J170&gt;=55,"Insuficiente")</f>
        <v>Excelente</v>
      </c>
      <c r="L170" s="30" t="str" cm="1">
        <f t="array" ref="L170">_xlfn.IFS(C170&gt;=18,"Excelente",C170&gt;=14,"Muy bueno",C170&gt;=10,"Bueno",C170&gt;=6,"Regular",C170&lt;6,"Insuficiente")</f>
        <v>Excelente</v>
      </c>
      <c r="M170" s="30" t="str" cm="1">
        <f t="array" ref="M170">_xlfn.IFS(D170&gt;=18,"Excelente",D170&gt;=14,"Muy bueno",D170&gt;=10,"Bueno",D170&gt;=6,"Regular",D170&lt;6,"Insuficiente")</f>
        <v>Excelente</v>
      </c>
      <c r="N170" s="30" t="str" cm="1">
        <f t="array" ref="N170">_xlfn.IFS(E170&gt;=18,"Excelente",E170&gt;=14,"Muy bueno",E170&gt;=10,"Bueno",E170&gt;=6,"Regular",E170&lt;6,"Insuficiente")</f>
        <v>Excelente</v>
      </c>
      <c r="O170" s="30" t="str" cm="1">
        <f t="array" ref="O170">_xlfn.IFS(F170&gt;=9,"Excelente",F170&gt;=7,"Muy bueno",F170&gt;=5,"Bueno",F170&gt;=3,"Regular",F170&lt;3,"Insuficiente")</f>
        <v>Excelente</v>
      </c>
      <c r="P170" s="30" t="str" cm="1">
        <f t="array" ref="P170">_xlfn.IFS(G170&gt;=9,"Excelente",G170&gt;=7,"Muy bueno",G170&gt;=5,"Bueno",G170&gt;=3,"Regular",G170&lt;3,"Insuficiente")</f>
        <v>Excelente</v>
      </c>
      <c r="Q170" s="30" t="str" cm="1">
        <f t="array" ref="Q170">_xlfn.IFS(H170&gt;=9,"Excelente",H170&gt;=7,"Muy bueno",H170&gt;=5,"Bueno",H170&gt;=3,"Regular",H170&lt;3,"Insuficiente")</f>
        <v>Excelente</v>
      </c>
      <c r="R170" s="30" t="str" cm="1">
        <f t="array" ref="R170">_xlfn.IFS(I170&gt;=9,"Excelente",I170&gt;=7,"Muy bueno",I170&gt;=5,"Bueno",I170&gt;=3,"Regular",I170&lt;3,"Insuficiente")</f>
        <v>Excelente</v>
      </c>
    </row>
    <row r="171" spans="1:18">
      <c r="A171" t="s">
        <v>196</v>
      </c>
      <c r="B171" s="16">
        <v>3</v>
      </c>
      <c r="C171" s="16">
        <v>20</v>
      </c>
      <c r="D171" s="16">
        <v>20</v>
      </c>
      <c r="E171" s="16">
        <v>18.666666666666668</v>
      </c>
      <c r="F171" s="16">
        <v>10</v>
      </c>
      <c r="G171" s="16">
        <v>10</v>
      </c>
      <c r="H171" s="16">
        <v>8.6666666666666661</v>
      </c>
      <c r="I171" s="16">
        <v>10</v>
      </c>
      <c r="J171" s="28">
        <f t="shared" si="2"/>
        <v>97.333333333333343</v>
      </c>
      <c r="K171" s="29" t="str" cm="1">
        <f t="array" ref="K171">_xlfn.IFS(J171&gt;=90,"Excelente",J171&gt;=80,"Muy Bueno",J171&gt;=75,"Bueno",J171&gt;=65,"Regular",J171&gt;=55,"Insuficiente")</f>
        <v>Excelente</v>
      </c>
      <c r="L171" s="30" t="str" cm="1">
        <f t="array" ref="L171">_xlfn.IFS(C171&gt;=18,"Excelente",C171&gt;=14,"Muy bueno",C171&gt;=10,"Bueno",C171&gt;=6,"Regular",C171&lt;6,"Insuficiente")</f>
        <v>Excelente</v>
      </c>
      <c r="M171" s="30" t="str" cm="1">
        <f t="array" ref="M171">_xlfn.IFS(D171&gt;=18,"Excelente",D171&gt;=14,"Muy bueno",D171&gt;=10,"Bueno",D171&gt;=6,"Regular",D171&lt;6,"Insuficiente")</f>
        <v>Excelente</v>
      </c>
      <c r="N171" s="30" t="str" cm="1">
        <f t="array" ref="N171">_xlfn.IFS(E171&gt;=18,"Excelente",E171&gt;=14,"Muy bueno",E171&gt;=10,"Bueno",E171&gt;=6,"Regular",E171&lt;6,"Insuficiente")</f>
        <v>Excelente</v>
      </c>
      <c r="O171" s="30" t="str" cm="1">
        <f t="array" ref="O171">_xlfn.IFS(F171&gt;=9,"Excelente",F171&gt;=7,"Muy bueno",F171&gt;=5,"Bueno",F171&gt;=3,"Regular",F171&lt;3,"Insuficiente")</f>
        <v>Excelente</v>
      </c>
      <c r="P171" s="30" t="str" cm="1">
        <f t="array" ref="P171">_xlfn.IFS(G171&gt;=9,"Excelente",G171&gt;=7,"Muy bueno",G171&gt;=5,"Bueno",G171&gt;=3,"Regular",G171&lt;3,"Insuficiente")</f>
        <v>Excelente</v>
      </c>
      <c r="Q171" s="30" t="str" cm="1">
        <f t="array" ref="Q171">_xlfn.IFS(H171&gt;=9,"Excelente",H171&gt;=7,"Muy bueno",H171&gt;=5,"Bueno",H171&gt;=3,"Regular",H171&lt;3,"Insuficiente")</f>
        <v>Muy bueno</v>
      </c>
      <c r="R171" s="30" t="str" cm="1">
        <f t="array" ref="R171">_xlfn.IFS(I171&gt;=9,"Excelente",I171&gt;=7,"Muy bueno",I171&gt;=5,"Bueno",I171&gt;=3,"Regular",I171&lt;3,"Insuficiente")</f>
        <v>Excelente</v>
      </c>
    </row>
    <row r="172" spans="1:18">
      <c r="A172" t="s">
        <v>146</v>
      </c>
      <c r="B172" s="16">
        <v>3</v>
      </c>
      <c r="C172" s="16">
        <v>20</v>
      </c>
      <c r="D172" s="16">
        <v>20</v>
      </c>
      <c r="E172" s="16">
        <v>20</v>
      </c>
      <c r="F172" s="16">
        <v>10</v>
      </c>
      <c r="G172" s="16">
        <v>10</v>
      </c>
      <c r="H172" s="16">
        <v>9.3333333333333339</v>
      </c>
      <c r="I172" s="16">
        <v>9.3333333333333339</v>
      </c>
      <c r="J172" s="28">
        <f t="shared" si="2"/>
        <v>98.666666666666657</v>
      </c>
      <c r="K172" s="29" t="str" cm="1">
        <f t="array" ref="K172">_xlfn.IFS(J172&gt;=90,"Excelente",J172&gt;=80,"Muy Bueno",J172&gt;=75,"Bueno",J172&gt;=65,"Regular",J172&gt;=55,"Insuficiente")</f>
        <v>Excelente</v>
      </c>
      <c r="L172" s="30" t="str" cm="1">
        <f t="array" ref="L172">_xlfn.IFS(C172&gt;=18,"Excelente",C172&gt;=14,"Muy bueno",C172&gt;=10,"Bueno",C172&gt;=6,"Regular",C172&lt;6,"Insuficiente")</f>
        <v>Excelente</v>
      </c>
      <c r="M172" s="30" t="str" cm="1">
        <f t="array" ref="M172">_xlfn.IFS(D172&gt;=18,"Excelente",D172&gt;=14,"Muy bueno",D172&gt;=10,"Bueno",D172&gt;=6,"Regular",D172&lt;6,"Insuficiente")</f>
        <v>Excelente</v>
      </c>
      <c r="N172" s="30" t="str" cm="1">
        <f t="array" ref="N172">_xlfn.IFS(E172&gt;=18,"Excelente",E172&gt;=14,"Muy bueno",E172&gt;=10,"Bueno",E172&gt;=6,"Regular",E172&lt;6,"Insuficiente")</f>
        <v>Excelente</v>
      </c>
      <c r="O172" s="30" t="str" cm="1">
        <f t="array" ref="O172">_xlfn.IFS(F172&gt;=9,"Excelente",F172&gt;=7,"Muy bueno",F172&gt;=5,"Bueno",F172&gt;=3,"Regular",F172&lt;3,"Insuficiente")</f>
        <v>Excelente</v>
      </c>
      <c r="P172" s="30" t="str" cm="1">
        <f t="array" ref="P172">_xlfn.IFS(G172&gt;=9,"Excelente",G172&gt;=7,"Muy bueno",G172&gt;=5,"Bueno",G172&gt;=3,"Regular",G172&lt;3,"Insuficiente")</f>
        <v>Excelente</v>
      </c>
      <c r="Q172" s="30" t="str" cm="1">
        <f t="array" ref="Q172">_xlfn.IFS(H172&gt;=9,"Excelente",H172&gt;=7,"Muy bueno",H172&gt;=5,"Bueno",H172&gt;=3,"Regular",H172&lt;3,"Insuficiente")</f>
        <v>Excelente</v>
      </c>
      <c r="R172" s="30" t="str" cm="1">
        <f t="array" ref="R172">_xlfn.IFS(I172&gt;=9,"Excelente",I172&gt;=7,"Muy bueno",I172&gt;=5,"Bueno",I172&gt;=3,"Regular",I172&lt;3,"Insuficiente")</f>
        <v>Excelente</v>
      </c>
    </row>
    <row r="173" spans="1:18">
      <c r="A173" t="s">
        <v>178</v>
      </c>
      <c r="B173" s="16">
        <v>3</v>
      </c>
      <c r="C173" s="16">
        <v>20</v>
      </c>
      <c r="D173" s="16">
        <v>18.666666666666668</v>
      </c>
      <c r="E173" s="16">
        <v>20</v>
      </c>
      <c r="F173" s="16">
        <v>8</v>
      </c>
      <c r="G173" s="16">
        <v>10</v>
      </c>
      <c r="H173" s="16">
        <v>10</v>
      </c>
      <c r="I173" s="16">
        <v>10</v>
      </c>
      <c r="J173" s="28">
        <f t="shared" si="2"/>
        <v>96.666666666666671</v>
      </c>
      <c r="K173" s="29" t="str" cm="1">
        <f t="array" ref="K173">_xlfn.IFS(J173&gt;=90,"Excelente",J173&gt;=80,"Muy Bueno",J173&gt;=75,"Bueno",J173&gt;=65,"Regular",J173&gt;=55,"Insuficiente")</f>
        <v>Excelente</v>
      </c>
      <c r="L173" s="30" t="str" cm="1">
        <f t="array" ref="L173">_xlfn.IFS(C173&gt;=18,"Excelente",C173&gt;=14,"Muy bueno",C173&gt;=10,"Bueno",C173&gt;=6,"Regular",C173&lt;6,"Insuficiente")</f>
        <v>Excelente</v>
      </c>
      <c r="M173" s="30" t="str" cm="1">
        <f t="array" ref="M173">_xlfn.IFS(D173&gt;=18,"Excelente",D173&gt;=14,"Muy bueno",D173&gt;=10,"Bueno",D173&gt;=6,"Regular",D173&lt;6,"Insuficiente")</f>
        <v>Excelente</v>
      </c>
      <c r="N173" s="30" t="str" cm="1">
        <f t="array" ref="N173">_xlfn.IFS(E173&gt;=18,"Excelente",E173&gt;=14,"Muy bueno",E173&gt;=10,"Bueno",E173&gt;=6,"Regular",E173&lt;6,"Insuficiente")</f>
        <v>Excelente</v>
      </c>
      <c r="O173" s="30" t="str" cm="1">
        <f t="array" ref="O173">_xlfn.IFS(F173&gt;=9,"Excelente",F173&gt;=7,"Muy bueno",F173&gt;=5,"Bueno",F173&gt;=3,"Regular",F173&lt;3,"Insuficiente")</f>
        <v>Muy bueno</v>
      </c>
      <c r="P173" s="30" t="str" cm="1">
        <f t="array" ref="P173">_xlfn.IFS(G173&gt;=9,"Excelente",G173&gt;=7,"Muy bueno",G173&gt;=5,"Bueno",G173&gt;=3,"Regular",G173&lt;3,"Insuficiente")</f>
        <v>Excelente</v>
      </c>
      <c r="Q173" s="30" t="str" cm="1">
        <f t="array" ref="Q173">_xlfn.IFS(H173&gt;=9,"Excelente",H173&gt;=7,"Muy bueno",H173&gt;=5,"Bueno",H173&gt;=3,"Regular",H173&lt;3,"Insuficiente")</f>
        <v>Excelente</v>
      </c>
      <c r="R173" s="30" t="str" cm="1">
        <f t="array" ref="R173">_xlfn.IFS(I173&gt;=9,"Excelente",I173&gt;=7,"Muy bueno",I173&gt;=5,"Bueno",I173&gt;=3,"Regular",I173&lt;3,"Insuficiente")</f>
        <v>Excelente</v>
      </c>
    </row>
    <row r="174" spans="1:18">
      <c r="A174" t="s">
        <v>264</v>
      </c>
      <c r="B174" s="16">
        <v>3</v>
      </c>
      <c r="C174" s="16">
        <v>20</v>
      </c>
      <c r="D174" s="16">
        <v>20</v>
      </c>
      <c r="E174" s="16">
        <v>20</v>
      </c>
      <c r="F174" s="16">
        <v>10</v>
      </c>
      <c r="G174" s="16">
        <v>10</v>
      </c>
      <c r="H174" s="16">
        <v>10</v>
      </c>
      <c r="I174" s="16">
        <v>10</v>
      </c>
      <c r="J174" s="28">
        <f t="shared" si="2"/>
        <v>100</v>
      </c>
      <c r="K174" s="29" t="str" cm="1">
        <f t="array" ref="K174">_xlfn.IFS(J174&gt;=90,"Excelente",J174&gt;=80,"Muy Bueno",J174&gt;=75,"Bueno",J174&gt;=65,"Regular",J174&gt;=55,"Insuficiente")</f>
        <v>Excelente</v>
      </c>
      <c r="L174" s="30" t="str" cm="1">
        <f t="array" ref="L174">_xlfn.IFS(C174&gt;=18,"Excelente",C174&gt;=14,"Muy bueno",C174&gt;=10,"Bueno",C174&gt;=6,"Regular",C174&lt;6,"Insuficiente")</f>
        <v>Excelente</v>
      </c>
      <c r="M174" s="30" t="str" cm="1">
        <f t="array" ref="M174">_xlfn.IFS(D174&gt;=18,"Excelente",D174&gt;=14,"Muy bueno",D174&gt;=10,"Bueno",D174&gt;=6,"Regular",D174&lt;6,"Insuficiente")</f>
        <v>Excelente</v>
      </c>
      <c r="N174" s="30" t="str" cm="1">
        <f t="array" ref="N174">_xlfn.IFS(E174&gt;=18,"Excelente",E174&gt;=14,"Muy bueno",E174&gt;=10,"Bueno",E174&gt;=6,"Regular",E174&lt;6,"Insuficiente")</f>
        <v>Excelente</v>
      </c>
      <c r="O174" s="30" t="str" cm="1">
        <f t="array" ref="O174">_xlfn.IFS(F174&gt;=9,"Excelente",F174&gt;=7,"Muy bueno",F174&gt;=5,"Bueno",F174&gt;=3,"Regular",F174&lt;3,"Insuficiente")</f>
        <v>Excelente</v>
      </c>
      <c r="P174" s="30" t="str" cm="1">
        <f t="array" ref="P174">_xlfn.IFS(G174&gt;=9,"Excelente",G174&gt;=7,"Muy bueno",G174&gt;=5,"Bueno",G174&gt;=3,"Regular",G174&lt;3,"Insuficiente")</f>
        <v>Excelente</v>
      </c>
      <c r="Q174" s="30" t="str" cm="1">
        <f t="array" ref="Q174">_xlfn.IFS(H174&gt;=9,"Excelente",H174&gt;=7,"Muy bueno",H174&gt;=5,"Bueno",H174&gt;=3,"Regular",H174&lt;3,"Insuficiente")</f>
        <v>Excelente</v>
      </c>
      <c r="R174" s="30" t="str" cm="1">
        <f t="array" ref="R174">_xlfn.IFS(I174&gt;=9,"Excelente",I174&gt;=7,"Muy bueno",I174&gt;=5,"Bueno",I174&gt;=3,"Regular",I174&lt;3,"Insuficiente")</f>
        <v>Excelente</v>
      </c>
    </row>
    <row r="175" spans="1:18">
      <c r="A175" t="s">
        <v>72</v>
      </c>
      <c r="B175" s="16">
        <v>3</v>
      </c>
      <c r="C175" s="16">
        <v>18.666666666666668</v>
      </c>
      <c r="D175" s="16">
        <v>20</v>
      </c>
      <c r="E175" s="16">
        <v>18.666666666666668</v>
      </c>
      <c r="F175" s="16">
        <v>10</v>
      </c>
      <c r="G175" s="16">
        <v>10</v>
      </c>
      <c r="H175" s="16">
        <v>10</v>
      </c>
      <c r="I175" s="16">
        <v>8.6666666666666661</v>
      </c>
      <c r="J175" s="28">
        <f t="shared" si="2"/>
        <v>96.000000000000014</v>
      </c>
      <c r="K175" s="29" t="str" cm="1">
        <f t="array" ref="K175">_xlfn.IFS(J175&gt;=90,"Excelente",J175&gt;=80,"Muy Bueno",J175&gt;=75,"Bueno",J175&gt;=65,"Regular",J175&gt;=55,"Insuficiente")</f>
        <v>Excelente</v>
      </c>
      <c r="L175" s="30" t="str" cm="1">
        <f t="array" ref="L175">_xlfn.IFS(C175&gt;=18,"Excelente",C175&gt;=14,"Muy bueno",C175&gt;=10,"Bueno",C175&gt;=6,"Regular",C175&lt;6,"Insuficiente")</f>
        <v>Excelente</v>
      </c>
      <c r="M175" s="30" t="str" cm="1">
        <f t="array" ref="M175">_xlfn.IFS(D175&gt;=18,"Excelente",D175&gt;=14,"Muy bueno",D175&gt;=10,"Bueno",D175&gt;=6,"Regular",D175&lt;6,"Insuficiente")</f>
        <v>Excelente</v>
      </c>
      <c r="N175" s="30" t="str" cm="1">
        <f t="array" ref="N175">_xlfn.IFS(E175&gt;=18,"Excelente",E175&gt;=14,"Muy bueno",E175&gt;=10,"Bueno",E175&gt;=6,"Regular",E175&lt;6,"Insuficiente")</f>
        <v>Excelente</v>
      </c>
      <c r="O175" s="30" t="str" cm="1">
        <f t="array" ref="O175">_xlfn.IFS(F175&gt;=9,"Excelente",F175&gt;=7,"Muy bueno",F175&gt;=5,"Bueno",F175&gt;=3,"Regular",F175&lt;3,"Insuficiente")</f>
        <v>Excelente</v>
      </c>
      <c r="P175" s="30" t="str" cm="1">
        <f t="array" ref="P175">_xlfn.IFS(G175&gt;=9,"Excelente",G175&gt;=7,"Muy bueno",G175&gt;=5,"Bueno",G175&gt;=3,"Regular",G175&lt;3,"Insuficiente")</f>
        <v>Excelente</v>
      </c>
      <c r="Q175" s="30" t="str" cm="1">
        <f t="array" ref="Q175">_xlfn.IFS(H175&gt;=9,"Excelente",H175&gt;=7,"Muy bueno",H175&gt;=5,"Bueno",H175&gt;=3,"Regular",H175&lt;3,"Insuficiente")</f>
        <v>Excelente</v>
      </c>
      <c r="R175" s="30" t="str" cm="1">
        <f t="array" ref="R175">_xlfn.IFS(I175&gt;=9,"Excelente",I175&gt;=7,"Muy bueno",I175&gt;=5,"Bueno",I175&gt;=3,"Regular",I175&lt;3,"Insuficiente")</f>
        <v>Muy bueno</v>
      </c>
    </row>
    <row r="176" spans="1:18">
      <c r="A176" t="s">
        <v>288</v>
      </c>
      <c r="B176" s="16">
        <v>3</v>
      </c>
      <c r="C176" s="16">
        <v>18.666666666666668</v>
      </c>
      <c r="D176" s="16">
        <v>17.333333333333332</v>
      </c>
      <c r="E176" s="16">
        <v>20</v>
      </c>
      <c r="F176" s="16">
        <v>7.333333333333333</v>
      </c>
      <c r="G176" s="16">
        <v>9.3333333333333339</v>
      </c>
      <c r="H176" s="16">
        <v>10</v>
      </c>
      <c r="I176" s="16">
        <v>9.3333333333333339</v>
      </c>
      <c r="J176" s="28">
        <f t="shared" si="2"/>
        <v>92</v>
      </c>
      <c r="K176" s="29" t="str" cm="1">
        <f t="array" ref="K176">_xlfn.IFS(J176&gt;=90,"Excelente",J176&gt;=80,"Muy Bueno",J176&gt;=75,"Bueno",J176&gt;=65,"Regular",J176&gt;=55,"Insuficiente")</f>
        <v>Excelente</v>
      </c>
      <c r="L176" s="30" t="str" cm="1">
        <f t="array" ref="L176">_xlfn.IFS(C176&gt;=18,"Excelente",C176&gt;=14,"Muy bueno",C176&gt;=10,"Bueno",C176&gt;=6,"Regular",C176&lt;6,"Insuficiente")</f>
        <v>Excelente</v>
      </c>
      <c r="M176" s="30" t="str" cm="1">
        <f t="array" ref="M176">_xlfn.IFS(D176&gt;=18,"Excelente",D176&gt;=14,"Muy bueno",D176&gt;=10,"Bueno",D176&gt;=6,"Regular",D176&lt;6,"Insuficiente")</f>
        <v>Muy bueno</v>
      </c>
      <c r="N176" s="30" t="str" cm="1">
        <f t="array" ref="N176">_xlfn.IFS(E176&gt;=18,"Excelente",E176&gt;=14,"Muy bueno",E176&gt;=10,"Bueno",E176&gt;=6,"Regular",E176&lt;6,"Insuficiente")</f>
        <v>Excelente</v>
      </c>
      <c r="O176" s="30" t="str" cm="1">
        <f t="array" ref="O176">_xlfn.IFS(F176&gt;=9,"Excelente",F176&gt;=7,"Muy bueno",F176&gt;=5,"Bueno",F176&gt;=3,"Regular",F176&lt;3,"Insuficiente")</f>
        <v>Muy bueno</v>
      </c>
      <c r="P176" s="30" t="str" cm="1">
        <f t="array" ref="P176">_xlfn.IFS(G176&gt;=9,"Excelente",G176&gt;=7,"Muy bueno",G176&gt;=5,"Bueno",G176&gt;=3,"Regular",G176&lt;3,"Insuficiente")</f>
        <v>Excelente</v>
      </c>
      <c r="Q176" s="30" t="str" cm="1">
        <f t="array" ref="Q176">_xlfn.IFS(H176&gt;=9,"Excelente",H176&gt;=7,"Muy bueno",H176&gt;=5,"Bueno",H176&gt;=3,"Regular",H176&lt;3,"Insuficiente")</f>
        <v>Excelente</v>
      </c>
      <c r="R176" s="30" t="str" cm="1">
        <f t="array" ref="R176">_xlfn.IFS(I176&gt;=9,"Excelente",I176&gt;=7,"Muy bueno",I176&gt;=5,"Bueno",I176&gt;=3,"Regular",I176&lt;3,"Insuficiente")</f>
        <v>Excelente</v>
      </c>
    </row>
    <row r="177" spans="1:18">
      <c r="A177" t="s">
        <v>202</v>
      </c>
      <c r="B177" s="16">
        <v>3</v>
      </c>
      <c r="C177" s="16">
        <v>18.666666666666668</v>
      </c>
      <c r="D177" s="16">
        <v>16</v>
      </c>
      <c r="E177" s="16">
        <v>17.333333333333332</v>
      </c>
      <c r="F177" s="16">
        <v>8.6666666666666661</v>
      </c>
      <c r="G177" s="16">
        <v>8.6666666666666661</v>
      </c>
      <c r="H177" s="16">
        <v>8.6666666666666661</v>
      </c>
      <c r="I177" s="16">
        <v>8.6666666666666661</v>
      </c>
      <c r="J177" s="28">
        <f t="shared" si="2"/>
        <v>86.666666666666671</v>
      </c>
      <c r="K177" s="29" t="str" cm="1">
        <f t="array" ref="K177">_xlfn.IFS(J177&gt;=90,"Excelente",J177&gt;=80,"Muy Bueno",J177&gt;=75,"Bueno",J177&gt;=65,"Regular",J177&gt;=55,"Insuficiente")</f>
        <v>Muy Bueno</v>
      </c>
      <c r="L177" s="30" t="str" cm="1">
        <f t="array" ref="L177">_xlfn.IFS(C177&gt;=18,"Excelente",C177&gt;=14,"Muy bueno",C177&gt;=10,"Bueno",C177&gt;=6,"Regular",C177&lt;6,"Insuficiente")</f>
        <v>Excelente</v>
      </c>
      <c r="M177" s="30" t="str" cm="1">
        <f t="array" ref="M177">_xlfn.IFS(D177&gt;=18,"Excelente",D177&gt;=14,"Muy bueno",D177&gt;=10,"Bueno",D177&gt;=6,"Regular",D177&lt;6,"Insuficiente")</f>
        <v>Muy bueno</v>
      </c>
      <c r="N177" s="30" t="str" cm="1">
        <f t="array" ref="N177">_xlfn.IFS(E177&gt;=18,"Excelente",E177&gt;=14,"Muy bueno",E177&gt;=10,"Bueno",E177&gt;=6,"Regular",E177&lt;6,"Insuficiente")</f>
        <v>Muy bueno</v>
      </c>
      <c r="O177" s="30" t="str" cm="1">
        <f t="array" ref="O177">_xlfn.IFS(F177&gt;=9,"Excelente",F177&gt;=7,"Muy bueno",F177&gt;=5,"Bueno",F177&gt;=3,"Regular",F177&lt;3,"Insuficiente")</f>
        <v>Muy bueno</v>
      </c>
      <c r="P177" s="30" t="str" cm="1">
        <f t="array" ref="P177">_xlfn.IFS(G177&gt;=9,"Excelente",G177&gt;=7,"Muy bueno",G177&gt;=5,"Bueno",G177&gt;=3,"Regular",G177&lt;3,"Insuficiente")</f>
        <v>Muy bueno</v>
      </c>
      <c r="Q177" s="30" t="str" cm="1">
        <f t="array" ref="Q177">_xlfn.IFS(H177&gt;=9,"Excelente",H177&gt;=7,"Muy bueno",H177&gt;=5,"Bueno",H177&gt;=3,"Regular",H177&lt;3,"Insuficiente")</f>
        <v>Muy bueno</v>
      </c>
      <c r="R177" s="30" t="str" cm="1">
        <f t="array" ref="R177">_xlfn.IFS(I177&gt;=9,"Excelente",I177&gt;=7,"Muy bueno",I177&gt;=5,"Bueno",I177&gt;=3,"Regular",I177&lt;3,"Insuficiente")</f>
        <v>Muy bueno</v>
      </c>
    </row>
    <row r="178" spans="1:18">
      <c r="A178" t="s">
        <v>157</v>
      </c>
      <c r="B178" s="16">
        <v>3</v>
      </c>
      <c r="C178" s="16">
        <v>20</v>
      </c>
      <c r="D178" s="16">
        <v>20</v>
      </c>
      <c r="E178" s="16">
        <v>20</v>
      </c>
      <c r="F178" s="16">
        <v>7.333333333333333</v>
      </c>
      <c r="G178" s="16">
        <v>9.3333333333333339</v>
      </c>
      <c r="H178" s="16">
        <v>10</v>
      </c>
      <c r="I178" s="16">
        <v>10</v>
      </c>
      <c r="J178" s="28">
        <f t="shared" si="2"/>
        <v>96.666666666666657</v>
      </c>
      <c r="K178" s="29" t="str" cm="1">
        <f t="array" ref="K178">_xlfn.IFS(J178&gt;=90,"Excelente",J178&gt;=80,"Muy Bueno",J178&gt;=75,"Bueno",J178&gt;=65,"Regular",J178&gt;=55,"Insuficiente")</f>
        <v>Excelente</v>
      </c>
      <c r="L178" s="30" t="str" cm="1">
        <f t="array" ref="L178">_xlfn.IFS(C178&gt;=18,"Excelente",C178&gt;=14,"Muy bueno",C178&gt;=10,"Bueno",C178&gt;=6,"Regular",C178&lt;6,"Insuficiente")</f>
        <v>Excelente</v>
      </c>
      <c r="M178" s="30" t="str" cm="1">
        <f t="array" ref="M178">_xlfn.IFS(D178&gt;=18,"Excelente",D178&gt;=14,"Muy bueno",D178&gt;=10,"Bueno",D178&gt;=6,"Regular",D178&lt;6,"Insuficiente")</f>
        <v>Excelente</v>
      </c>
      <c r="N178" s="30" t="str" cm="1">
        <f t="array" ref="N178">_xlfn.IFS(E178&gt;=18,"Excelente",E178&gt;=14,"Muy bueno",E178&gt;=10,"Bueno",E178&gt;=6,"Regular",E178&lt;6,"Insuficiente")</f>
        <v>Excelente</v>
      </c>
      <c r="O178" s="30" t="str" cm="1">
        <f t="array" ref="O178">_xlfn.IFS(F178&gt;=9,"Excelente",F178&gt;=7,"Muy bueno",F178&gt;=5,"Bueno",F178&gt;=3,"Regular",F178&lt;3,"Insuficiente")</f>
        <v>Muy bueno</v>
      </c>
      <c r="P178" s="30" t="str" cm="1">
        <f t="array" ref="P178">_xlfn.IFS(G178&gt;=9,"Excelente",G178&gt;=7,"Muy bueno",G178&gt;=5,"Bueno",G178&gt;=3,"Regular",G178&lt;3,"Insuficiente")</f>
        <v>Excelente</v>
      </c>
      <c r="Q178" s="30" t="str" cm="1">
        <f t="array" ref="Q178">_xlfn.IFS(H178&gt;=9,"Excelente",H178&gt;=7,"Muy bueno",H178&gt;=5,"Bueno",H178&gt;=3,"Regular",H178&lt;3,"Insuficiente")</f>
        <v>Excelente</v>
      </c>
      <c r="R178" s="30" t="str" cm="1">
        <f t="array" ref="R178">_xlfn.IFS(I178&gt;=9,"Excelente",I178&gt;=7,"Muy bueno",I178&gt;=5,"Bueno",I178&gt;=3,"Regular",I178&lt;3,"Insuficiente")</f>
        <v>Excelente</v>
      </c>
    </row>
    <row r="179" spans="1:18">
      <c r="A179" t="s">
        <v>278</v>
      </c>
      <c r="B179" s="16">
        <v>3</v>
      </c>
      <c r="C179" s="16">
        <v>20</v>
      </c>
      <c r="D179" s="16">
        <v>18.666666666666668</v>
      </c>
      <c r="E179" s="16">
        <v>20</v>
      </c>
      <c r="F179" s="16">
        <v>10</v>
      </c>
      <c r="G179" s="16">
        <v>9.3333333333333339</v>
      </c>
      <c r="H179" s="16">
        <v>9.3333333333333339</v>
      </c>
      <c r="I179" s="16">
        <v>10</v>
      </c>
      <c r="J179" s="28">
        <f t="shared" si="2"/>
        <v>97.333333333333329</v>
      </c>
      <c r="K179" s="29" t="str" cm="1">
        <f t="array" ref="K179">_xlfn.IFS(J179&gt;=90,"Excelente",J179&gt;=80,"Muy Bueno",J179&gt;=75,"Bueno",J179&gt;=65,"Regular",J179&gt;=55,"Insuficiente")</f>
        <v>Excelente</v>
      </c>
      <c r="L179" s="30" t="str" cm="1">
        <f t="array" ref="L179">_xlfn.IFS(C179&gt;=18,"Excelente",C179&gt;=14,"Muy bueno",C179&gt;=10,"Bueno",C179&gt;=6,"Regular",C179&lt;6,"Insuficiente")</f>
        <v>Excelente</v>
      </c>
      <c r="M179" s="30" t="str" cm="1">
        <f t="array" ref="M179">_xlfn.IFS(D179&gt;=18,"Excelente",D179&gt;=14,"Muy bueno",D179&gt;=10,"Bueno",D179&gt;=6,"Regular",D179&lt;6,"Insuficiente")</f>
        <v>Excelente</v>
      </c>
      <c r="N179" s="30" t="str" cm="1">
        <f t="array" ref="N179">_xlfn.IFS(E179&gt;=18,"Excelente",E179&gt;=14,"Muy bueno",E179&gt;=10,"Bueno",E179&gt;=6,"Regular",E179&lt;6,"Insuficiente")</f>
        <v>Excelente</v>
      </c>
      <c r="O179" s="30" t="str" cm="1">
        <f t="array" ref="O179">_xlfn.IFS(F179&gt;=9,"Excelente",F179&gt;=7,"Muy bueno",F179&gt;=5,"Bueno",F179&gt;=3,"Regular",F179&lt;3,"Insuficiente")</f>
        <v>Excelente</v>
      </c>
      <c r="P179" s="30" t="str" cm="1">
        <f t="array" ref="P179">_xlfn.IFS(G179&gt;=9,"Excelente",G179&gt;=7,"Muy bueno",G179&gt;=5,"Bueno",G179&gt;=3,"Regular",G179&lt;3,"Insuficiente")</f>
        <v>Excelente</v>
      </c>
      <c r="Q179" s="30" t="str" cm="1">
        <f t="array" ref="Q179">_xlfn.IFS(H179&gt;=9,"Excelente",H179&gt;=7,"Muy bueno",H179&gt;=5,"Bueno",H179&gt;=3,"Regular",H179&lt;3,"Insuficiente")</f>
        <v>Excelente</v>
      </c>
      <c r="R179" s="30" t="str" cm="1">
        <f t="array" ref="R179">_xlfn.IFS(I179&gt;=9,"Excelente",I179&gt;=7,"Muy bueno",I179&gt;=5,"Bueno",I179&gt;=3,"Regular",I179&lt;3,"Insuficiente")</f>
        <v>Excelente</v>
      </c>
    </row>
    <row r="180" spans="1:18">
      <c r="A180" t="s">
        <v>258</v>
      </c>
      <c r="B180" s="16">
        <v>3</v>
      </c>
      <c r="C180" s="16">
        <v>20</v>
      </c>
      <c r="D180" s="16">
        <v>18.666666666666668</v>
      </c>
      <c r="E180" s="16">
        <v>18.666666666666668</v>
      </c>
      <c r="F180" s="16">
        <v>10</v>
      </c>
      <c r="G180" s="16">
        <v>10</v>
      </c>
      <c r="H180" s="16">
        <v>8.6666666666666661</v>
      </c>
      <c r="I180" s="16">
        <v>9.3333333333333339</v>
      </c>
      <c r="J180" s="28">
        <f t="shared" si="2"/>
        <v>95.333333333333343</v>
      </c>
      <c r="K180" s="29" t="str" cm="1">
        <f t="array" ref="K180">_xlfn.IFS(J180&gt;=90,"Excelente",J180&gt;=80,"Muy Bueno",J180&gt;=75,"Bueno",J180&gt;=65,"Regular",J180&gt;=55,"Insuficiente")</f>
        <v>Excelente</v>
      </c>
      <c r="L180" s="30" t="str" cm="1">
        <f t="array" ref="L180">_xlfn.IFS(C180&gt;=18,"Excelente",C180&gt;=14,"Muy bueno",C180&gt;=10,"Bueno",C180&gt;=6,"Regular",C180&lt;6,"Insuficiente")</f>
        <v>Excelente</v>
      </c>
      <c r="M180" s="30" t="str" cm="1">
        <f t="array" ref="M180">_xlfn.IFS(D180&gt;=18,"Excelente",D180&gt;=14,"Muy bueno",D180&gt;=10,"Bueno",D180&gt;=6,"Regular",D180&lt;6,"Insuficiente")</f>
        <v>Excelente</v>
      </c>
      <c r="N180" s="30" t="str" cm="1">
        <f t="array" ref="N180">_xlfn.IFS(E180&gt;=18,"Excelente",E180&gt;=14,"Muy bueno",E180&gt;=10,"Bueno",E180&gt;=6,"Regular",E180&lt;6,"Insuficiente")</f>
        <v>Excelente</v>
      </c>
      <c r="O180" s="30" t="str" cm="1">
        <f t="array" ref="O180">_xlfn.IFS(F180&gt;=9,"Excelente",F180&gt;=7,"Muy bueno",F180&gt;=5,"Bueno",F180&gt;=3,"Regular",F180&lt;3,"Insuficiente")</f>
        <v>Excelente</v>
      </c>
      <c r="P180" s="30" t="str" cm="1">
        <f t="array" ref="P180">_xlfn.IFS(G180&gt;=9,"Excelente",G180&gt;=7,"Muy bueno",G180&gt;=5,"Bueno",G180&gt;=3,"Regular",G180&lt;3,"Insuficiente")</f>
        <v>Excelente</v>
      </c>
      <c r="Q180" s="30" t="str" cm="1">
        <f t="array" ref="Q180">_xlfn.IFS(H180&gt;=9,"Excelente",H180&gt;=7,"Muy bueno",H180&gt;=5,"Bueno",H180&gt;=3,"Regular",H180&lt;3,"Insuficiente")</f>
        <v>Muy bueno</v>
      </c>
      <c r="R180" s="30" t="str" cm="1">
        <f t="array" ref="R180">_xlfn.IFS(I180&gt;=9,"Excelente",I180&gt;=7,"Muy bueno",I180&gt;=5,"Bueno",I180&gt;=3,"Regular",I180&lt;3,"Insuficiente")</f>
        <v>Excelente</v>
      </c>
    </row>
    <row r="181" spans="1:18">
      <c r="A181" t="s">
        <v>228</v>
      </c>
      <c r="B181" s="16">
        <v>3</v>
      </c>
      <c r="C181" s="16">
        <v>20</v>
      </c>
      <c r="D181" s="16">
        <v>20</v>
      </c>
      <c r="E181" s="16">
        <v>20</v>
      </c>
      <c r="F181" s="16">
        <v>10</v>
      </c>
      <c r="G181" s="16">
        <v>10</v>
      </c>
      <c r="H181" s="16">
        <v>10</v>
      </c>
      <c r="I181" s="16">
        <v>10</v>
      </c>
      <c r="J181" s="28">
        <f t="shared" si="2"/>
        <v>100</v>
      </c>
      <c r="K181" s="29" t="str" cm="1">
        <f t="array" ref="K181">_xlfn.IFS(J181&gt;=90,"Excelente",J181&gt;=80,"Muy Bueno",J181&gt;=75,"Bueno",J181&gt;=65,"Regular",J181&gt;=55,"Insuficiente")</f>
        <v>Excelente</v>
      </c>
      <c r="L181" s="30" t="str" cm="1">
        <f t="array" ref="L181">_xlfn.IFS(C181&gt;=18,"Excelente",C181&gt;=14,"Muy bueno",C181&gt;=10,"Bueno",C181&gt;=6,"Regular",C181&lt;6,"Insuficiente")</f>
        <v>Excelente</v>
      </c>
      <c r="M181" s="30" t="str" cm="1">
        <f t="array" ref="M181">_xlfn.IFS(D181&gt;=18,"Excelente",D181&gt;=14,"Muy bueno",D181&gt;=10,"Bueno",D181&gt;=6,"Regular",D181&lt;6,"Insuficiente")</f>
        <v>Excelente</v>
      </c>
      <c r="N181" s="30" t="str" cm="1">
        <f t="array" ref="N181">_xlfn.IFS(E181&gt;=18,"Excelente",E181&gt;=14,"Muy bueno",E181&gt;=10,"Bueno",E181&gt;=6,"Regular",E181&lt;6,"Insuficiente")</f>
        <v>Excelente</v>
      </c>
      <c r="O181" s="30" t="str" cm="1">
        <f t="array" ref="O181">_xlfn.IFS(F181&gt;=9,"Excelente",F181&gt;=7,"Muy bueno",F181&gt;=5,"Bueno",F181&gt;=3,"Regular",F181&lt;3,"Insuficiente")</f>
        <v>Excelente</v>
      </c>
      <c r="P181" s="30" t="str" cm="1">
        <f t="array" ref="P181">_xlfn.IFS(G181&gt;=9,"Excelente",G181&gt;=7,"Muy bueno",G181&gt;=5,"Bueno",G181&gt;=3,"Regular",G181&lt;3,"Insuficiente")</f>
        <v>Excelente</v>
      </c>
      <c r="Q181" s="30" t="str" cm="1">
        <f t="array" ref="Q181">_xlfn.IFS(H181&gt;=9,"Excelente",H181&gt;=7,"Muy bueno",H181&gt;=5,"Bueno",H181&gt;=3,"Regular",H181&lt;3,"Insuficiente")</f>
        <v>Excelente</v>
      </c>
      <c r="R181" s="30" t="str" cm="1">
        <f t="array" ref="R181">_xlfn.IFS(I181&gt;=9,"Excelente",I181&gt;=7,"Muy bueno",I181&gt;=5,"Bueno",I181&gt;=3,"Regular",I181&lt;3,"Insuficiente")</f>
        <v>Excelente</v>
      </c>
    </row>
    <row r="182" spans="1:18">
      <c r="A182" t="s">
        <v>161</v>
      </c>
      <c r="B182" s="16">
        <v>3</v>
      </c>
      <c r="C182" s="16">
        <v>20</v>
      </c>
      <c r="D182" s="16">
        <v>20</v>
      </c>
      <c r="E182" s="16">
        <v>18.666666666666668</v>
      </c>
      <c r="F182" s="16">
        <v>9.3333333333333339</v>
      </c>
      <c r="G182" s="16">
        <v>9.3333333333333339</v>
      </c>
      <c r="H182" s="16">
        <v>10</v>
      </c>
      <c r="I182" s="16">
        <v>10</v>
      </c>
      <c r="J182" s="28">
        <f t="shared" si="2"/>
        <v>97.333333333333329</v>
      </c>
      <c r="K182" s="29" t="str" cm="1">
        <f t="array" ref="K182">_xlfn.IFS(J182&gt;=90,"Excelente",J182&gt;=80,"Muy Bueno",J182&gt;=75,"Bueno",J182&gt;=65,"Regular",J182&gt;=55,"Insuficiente")</f>
        <v>Excelente</v>
      </c>
      <c r="L182" s="30" t="str" cm="1">
        <f t="array" ref="L182">_xlfn.IFS(C182&gt;=18,"Excelente",C182&gt;=14,"Muy bueno",C182&gt;=10,"Bueno",C182&gt;=6,"Regular",C182&lt;6,"Insuficiente")</f>
        <v>Excelente</v>
      </c>
      <c r="M182" s="30" t="str" cm="1">
        <f t="array" ref="M182">_xlfn.IFS(D182&gt;=18,"Excelente",D182&gt;=14,"Muy bueno",D182&gt;=10,"Bueno",D182&gt;=6,"Regular",D182&lt;6,"Insuficiente")</f>
        <v>Excelente</v>
      </c>
      <c r="N182" s="30" t="str" cm="1">
        <f t="array" ref="N182">_xlfn.IFS(E182&gt;=18,"Excelente",E182&gt;=14,"Muy bueno",E182&gt;=10,"Bueno",E182&gt;=6,"Regular",E182&lt;6,"Insuficiente")</f>
        <v>Excelente</v>
      </c>
      <c r="O182" s="30" t="str" cm="1">
        <f t="array" ref="O182">_xlfn.IFS(F182&gt;=9,"Excelente",F182&gt;=7,"Muy bueno",F182&gt;=5,"Bueno",F182&gt;=3,"Regular",F182&lt;3,"Insuficiente")</f>
        <v>Excelente</v>
      </c>
      <c r="P182" s="30" t="str" cm="1">
        <f t="array" ref="P182">_xlfn.IFS(G182&gt;=9,"Excelente",G182&gt;=7,"Muy bueno",G182&gt;=5,"Bueno",G182&gt;=3,"Regular",G182&lt;3,"Insuficiente")</f>
        <v>Excelente</v>
      </c>
      <c r="Q182" s="30" t="str" cm="1">
        <f t="array" ref="Q182">_xlfn.IFS(H182&gt;=9,"Excelente",H182&gt;=7,"Muy bueno",H182&gt;=5,"Bueno",H182&gt;=3,"Regular",H182&lt;3,"Insuficiente")</f>
        <v>Excelente</v>
      </c>
      <c r="R182" s="30" t="str" cm="1">
        <f t="array" ref="R182">_xlfn.IFS(I182&gt;=9,"Excelente",I182&gt;=7,"Muy bueno",I182&gt;=5,"Bueno",I182&gt;=3,"Regular",I182&lt;3,"Insuficiente")</f>
        <v>Excelente</v>
      </c>
    </row>
    <row r="183" spans="1:18">
      <c r="A183" t="s">
        <v>193</v>
      </c>
      <c r="B183" s="16">
        <v>3</v>
      </c>
      <c r="C183" s="16">
        <v>18.666666666666668</v>
      </c>
      <c r="D183" s="16">
        <v>18.666666666666668</v>
      </c>
      <c r="E183" s="16">
        <v>17.333333333333332</v>
      </c>
      <c r="F183" s="16">
        <v>9.3333333333333339</v>
      </c>
      <c r="G183" s="16">
        <v>8.6666666666666661</v>
      </c>
      <c r="H183" s="16">
        <v>8.6666666666666661</v>
      </c>
      <c r="I183" s="16">
        <v>8.6666666666666661</v>
      </c>
      <c r="J183" s="28">
        <f t="shared" si="2"/>
        <v>90.000000000000014</v>
      </c>
      <c r="K183" s="29" t="str" cm="1">
        <f t="array" ref="K183">_xlfn.IFS(J183&gt;=90,"Excelente",J183&gt;=80,"Muy Bueno",J183&gt;=75,"Bueno",J183&gt;=65,"Regular",J183&gt;=55,"Insuficiente")</f>
        <v>Excelente</v>
      </c>
      <c r="L183" s="30" t="str" cm="1">
        <f t="array" ref="L183">_xlfn.IFS(C183&gt;=18,"Excelente",C183&gt;=14,"Muy bueno",C183&gt;=10,"Bueno",C183&gt;=6,"Regular",C183&lt;6,"Insuficiente")</f>
        <v>Excelente</v>
      </c>
      <c r="M183" s="30" t="str" cm="1">
        <f t="array" ref="M183">_xlfn.IFS(D183&gt;=18,"Excelente",D183&gt;=14,"Muy bueno",D183&gt;=10,"Bueno",D183&gt;=6,"Regular",D183&lt;6,"Insuficiente")</f>
        <v>Excelente</v>
      </c>
      <c r="N183" s="30" t="str" cm="1">
        <f t="array" ref="N183">_xlfn.IFS(E183&gt;=18,"Excelente",E183&gt;=14,"Muy bueno",E183&gt;=10,"Bueno",E183&gt;=6,"Regular",E183&lt;6,"Insuficiente")</f>
        <v>Muy bueno</v>
      </c>
      <c r="O183" s="30" t="str" cm="1">
        <f t="array" ref="O183">_xlfn.IFS(F183&gt;=9,"Excelente",F183&gt;=7,"Muy bueno",F183&gt;=5,"Bueno",F183&gt;=3,"Regular",F183&lt;3,"Insuficiente")</f>
        <v>Excelente</v>
      </c>
      <c r="P183" s="30" t="str" cm="1">
        <f t="array" ref="P183">_xlfn.IFS(G183&gt;=9,"Excelente",G183&gt;=7,"Muy bueno",G183&gt;=5,"Bueno",G183&gt;=3,"Regular",G183&lt;3,"Insuficiente")</f>
        <v>Muy bueno</v>
      </c>
      <c r="Q183" s="30" t="str" cm="1">
        <f t="array" ref="Q183">_xlfn.IFS(H183&gt;=9,"Excelente",H183&gt;=7,"Muy bueno",H183&gt;=5,"Bueno",H183&gt;=3,"Regular",H183&lt;3,"Insuficiente")</f>
        <v>Muy bueno</v>
      </c>
      <c r="R183" s="30" t="str" cm="1">
        <f t="array" ref="R183">_xlfn.IFS(I183&gt;=9,"Excelente",I183&gt;=7,"Muy bueno",I183&gt;=5,"Bueno",I183&gt;=3,"Regular",I183&lt;3,"Insuficiente")</f>
        <v>Muy bueno</v>
      </c>
    </row>
    <row r="184" spans="1:18">
      <c r="A184" t="s">
        <v>197</v>
      </c>
      <c r="B184" s="16">
        <v>3</v>
      </c>
      <c r="C184" s="16">
        <v>20</v>
      </c>
      <c r="D184" s="16">
        <v>20</v>
      </c>
      <c r="E184" s="16">
        <v>18.666666666666668</v>
      </c>
      <c r="F184" s="16">
        <v>10</v>
      </c>
      <c r="G184" s="16">
        <v>10</v>
      </c>
      <c r="H184" s="16">
        <v>9.3333333333333339</v>
      </c>
      <c r="I184" s="16">
        <v>9.3333333333333339</v>
      </c>
      <c r="J184" s="28">
        <f t="shared" si="2"/>
        <v>97.333333333333329</v>
      </c>
      <c r="K184" s="29" t="str" cm="1">
        <f t="array" ref="K184">_xlfn.IFS(J184&gt;=90,"Excelente",J184&gt;=80,"Muy Bueno",J184&gt;=75,"Bueno",J184&gt;=65,"Regular",J184&gt;=55,"Insuficiente")</f>
        <v>Excelente</v>
      </c>
      <c r="L184" s="30" t="str" cm="1">
        <f t="array" ref="L184">_xlfn.IFS(C184&gt;=18,"Excelente",C184&gt;=14,"Muy bueno",C184&gt;=10,"Bueno",C184&gt;=6,"Regular",C184&lt;6,"Insuficiente")</f>
        <v>Excelente</v>
      </c>
      <c r="M184" s="30" t="str" cm="1">
        <f t="array" ref="M184">_xlfn.IFS(D184&gt;=18,"Excelente",D184&gt;=14,"Muy bueno",D184&gt;=10,"Bueno",D184&gt;=6,"Regular",D184&lt;6,"Insuficiente")</f>
        <v>Excelente</v>
      </c>
      <c r="N184" s="30" t="str" cm="1">
        <f t="array" ref="N184">_xlfn.IFS(E184&gt;=18,"Excelente",E184&gt;=14,"Muy bueno",E184&gt;=10,"Bueno",E184&gt;=6,"Regular",E184&lt;6,"Insuficiente")</f>
        <v>Excelente</v>
      </c>
      <c r="O184" s="30" t="str" cm="1">
        <f t="array" ref="O184">_xlfn.IFS(F184&gt;=9,"Excelente",F184&gt;=7,"Muy bueno",F184&gt;=5,"Bueno",F184&gt;=3,"Regular",F184&lt;3,"Insuficiente")</f>
        <v>Excelente</v>
      </c>
      <c r="P184" s="30" t="str" cm="1">
        <f t="array" ref="P184">_xlfn.IFS(G184&gt;=9,"Excelente",G184&gt;=7,"Muy bueno",G184&gt;=5,"Bueno",G184&gt;=3,"Regular",G184&lt;3,"Insuficiente")</f>
        <v>Excelente</v>
      </c>
      <c r="Q184" s="30" t="str" cm="1">
        <f t="array" ref="Q184">_xlfn.IFS(H184&gt;=9,"Excelente",H184&gt;=7,"Muy bueno",H184&gt;=5,"Bueno",H184&gt;=3,"Regular",H184&lt;3,"Insuficiente")</f>
        <v>Excelente</v>
      </c>
      <c r="R184" s="30" t="str" cm="1">
        <f t="array" ref="R184">_xlfn.IFS(I184&gt;=9,"Excelente",I184&gt;=7,"Muy bueno",I184&gt;=5,"Bueno",I184&gt;=3,"Regular",I184&lt;3,"Insuficiente")</f>
        <v>Excelente</v>
      </c>
    </row>
    <row r="185" spans="1:18">
      <c r="A185" t="s">
        <v>207</v>
      </c>
      <c r="B185" s="16">
        <v>3</v>
      </c>
      <c r="C185" s="16">
        <v>18.666666666666668</v>
      </c>
      <c r="D185" s="16">
        <v>18.666666666666668</v>
      </c>
      <c r="E185" s="16">
        <v>18.666666666666668</v>
      </c>
      <c r="F185" s="16">
        <v>9.3333333333333339</v>
      </c>
      <c r="G185" s="16">
        <v>9.3333333333333339</v>
      </c>
      <c r="H185" s="16">
        <v>7.333333333333333</v>
      </c>
      <c r="I185" s="16">
        <v>8</v>
      </c>
      <c r="J185" s="28">
        <f t="shared" si="2"/>
        <v>89.999999999999986</v>
      </c>
      <c r="K185" s="29" t="str" cm="1">
        <f t="array" ref="K185">_xlfn.IFS(J185&gt;=90,"Excelente",J185&gt;=80,"Muy Bueno",J185&gt;=75,"Bueno",J185&gt;=65,"Regular",J185&gt;=55,"Insuficiente")</f>
        <v>Excelente</v>
      </c>
      <c r="L185" s="30" t="str" cm="1">
        <f t="array" ref="L185">_xlfn.IFS(C185&gt;=18,"Excelente",C185&gt;=14,"Muy bueno",C185&gt;=10,"Bueno",C185&gt;=6,"Regular",C185&lt;6,"Insuficiente")</f>
        <v>Excelente</v>
      </c>
      <c r="M185" s="30" t="str" cm="1">
        <f t="array" ref="M185">_xlfn.IFS(D185&gt;=18,"Excelente",D185&gt;=14,"Muy bueno",D185&gt;=10,"Bueno",D185&gt;=6,"Regular",D185&lt;6,"Insuficiente")</f>
        <v>Excelente</v>
      </c>
      <c r="N185" s="30" t="str" cm="1">
        <f t="array" ref="N185">_xlfn.IFS(E185&gt;=18,"Excelente",E185&gt;=14,"Muy bueno",E185&gt;=10,"Bueno",E185&gt;=6,"Regular",E185&lt;6,"Insuficiente")</f>
        <v>Excelente</v>
      </c>
      <c r="O185" s="30" t="str" cm="1">
        <f t="array" ref="O185">_xlfn.IFS(F185&gt;=9,"Excelente",F185&gt;=7,"Muy bueno",F185&gt;=5,"Bueno",F185&gt;=3,"Regular",F185&lt;3,"Insuficiente")</f>
        <v>Excelente</v>
      </c>
      <c r="P185" s="30" t="str" cm="1">
        <f t="array" ref="P185">_xlfn.IFS(G185&gt;=9,"Excelente",G185&gt;=7,"Muy bueno",G185&gt;=5,"Bueno",G185&gt;=3,"Regular",G185&lt;3,"Insuficiente")</f>
        <v>Excelente</v>
      </c>
      <c r="Q185" s="30" t="str" cm="1">
        <f t="array" ref="Q185">_xlfn.IFS(H185&gt;=9,"Excelente",H185&gt;=7,"Muy bueno",H185&gt;=5,"Bueno",H185&gt;=3,"Regular",H185&lt;3,"Insuficiente")</f>
        <v>Muy bueno</v>
      </c>
      <c r="R185" s="30" t="str" cm="1">
        <f t="array" ref="R185">_xlfn.IFS(I185&gt;=9,"Excelente",I185&gt;=7,"Muy bueno",I185&gt;=5,"Bueno",I185&gt;=3,"Regular",I185&lt;3,"Insuficiente")</f>
        <v>Muy bueno</v>
      </c>
    </row>
    <row r="186" spans="1:18">
      <c r="A186" t="s">
        <v>294</v>
      </c>
      <c r="B186" s="16">
        <v>3</v>
      </c>
      <c r="C186" s="16">
        <v>20</v>
      </c>
      <c r="D186" s="16">
        <v>20</v>
      </c>
      <c r="E186" s="16">
        <v>20</v>
      </c>
      <c r="F186" s="16">
        <v>10</v>
      </c>
      <c r="G186" s="16">
        <v>10</v>
      </c>
      <c r="H186" s="16">
        <v>9.3333333333333339</v>
      </c>
      <c r="I186" s="16">
        <v>9.3333333333333339</v>
      </c>
      <c r="J186" s="28">
        <f t="shared" si="2"/>
        <v>98.666666666666657</v>
      </c>
      <c r="K186" s="29" t="str" cm="1">
        <f t="array" ref="K186">_xlfn.IFS(J186&gt;=90,"Excelente",J186&gt;=80,"Muy Bueno",J186&gt;=75,"Bueno",J186&gt;=65,"Regular",J186&gt;=55,"Insuficiente")</f>
        <v>Excelente</v>
      </c>
      <c r="L186" s="30" t="str" cm="1">
        <f t="array" ref="L186">_xlfn.IFS(C186&gt;=18,"Excelente",C186&gt;=14,"Muy bueno",C186&gt;=10,"Bueno",C186&gt;=6,"Regular",C186&lt;6,"Insuficiente")</f>
        <v>Excelente</v>
      </c>
      <c r="M186" s="30" t="str" cm="1">
        <f t="array" ref="M186">_xlfn.IFS(D186&gt;=18,"Excelente",D186&gt;=14,"Muy bueno",D186&gt;=10,"Bueno",D186&gt;=6,"Regular",D186&lt;6,"Insuficiente")</f>
        <v>Excelente</v>
      </c>
      <c r="N186" s="30" t="str" cm="1">
        <f t="array" ref="N186">_xlfn.IFS(E186&gt;=18,"Excelente",E186&gt;=14,"Muy bueno",E186&gt;=10,"Bueno",E186&gt;=6,"Regular",E186&lt;6,"Insuficiente")</f>
        <v>Excelente</v>
      </c>
      <c r="O186" s="30" t="str" cm="1">
        <f t="array" ref="O186">_xlfn.IFS(F186&gt;=9,"Excelente",F186&gt;=7,"Muy bueno",F186&gt;=5,"Bueno",F186&gt;=3,"Regular",F186&lt;3,"Insuficiente")</f>
        <v>Excelente</v>
      </c>
      <c r="P186" s="30" t="str" cm="1">
        <f t="array" ref="P186">_xlfn.IFS(G186&gt;=9,"Excelente",G186&gt;=7,"Muy bueno",G186&gt;=5,"Bueno",G186&gt;=3,"Regular",G186&lt;3,"Insuficiente")</f>
        <v>Excelente</v>
      </c>
      <c r="Q186" s="30" t="str" cm="1">
        <f t="array" ref="Q186">_xlfn.IFS(H186&gt;=9,"Excelente",H186&gt;=7,"Muy bueno",H186&gt;=5,"Bueno",H186&gt;=3,"Regular",H186&lt;3,"Insuficiente")</f>
        <v>Excelente</v>
      </c>
      <c r="R186" s="30" t="str" cm="1">
        <f t="array" ref="R186">_xlfn.IFS(I186&gt;=9,"Excelente",I186&gt;=7,"Muy bueno",I186&gt;=5,"Bueno",I186&gt;=3,"Regular",I186&lt;3,"Insuficiente")</f>
        <v>Excelente</v>
      </c>
    </row>
    <row r="187" spans="1:18">
      <c r="A187" t="s">
        <v>136</v>
      </c>
      <c r="B187" s="16">
        <v>3</v>
      </c>
      <c r="C187" s="16">
        <v>20</v>
      </c>
      <c r="D187" s="16">
        <v>20</v>
      </c>
      <c r="E187" s="16">
        <v>20</v>
      </c>
      <c r="F187" s="16">
        <v>10</v>
      </c>
      <c r="G187" s="16">
        <v>8.6666666666666661</v>
      </c>
      <c r="H187" s="16">
        <v>9.3333333333333339</v>
      </c>
      <c r="I187" s="16">
        <v>10</v>
      </c>
      <c r="J187" s="28">
        <f t="shared" si="2"/>
        <v>98</v>
      </c>
      <c r="K187" s="29" t="str" cm="1">
        <f t="array" ref="K187">_xlfn.IFS(J187&gt;=90,"Excelente",J187&gt;=80,"Muy Bueno",J187&gt;=75,"Bueno",J187&gt;=65,"Regular",J187&gt;=55,"Insuficiente")</f>
        <v>Excelente</v>
      </c>
      <c r="L187" s="30" t="str" cm="1">
        <f t="array" ref="L187">_xlfn.IFS(C187&gt;=18,"Excelente",C187&gt;=14,"Muy bueno",C187&gt;=10,"Bueno",C187&gt;=6,"Regular",C187&lt;6,"Insuficiente")</f>
        <v>Excelente</v>
      </c>
      <c r="M187" s="30" t="str" cm="1">
        <f t="array" ref="M187">_xlfn.IFS(D187&gt;=18,"Excelente",D187&gt;=14,"Muy bueno",D187&gt;=10,"Bueno",D187&gt;=6,"Regular",D187&lt;6,"Insuficiente")</f>
        <v>Excelente</v>
      </c>
      <c r="N187" s="30" t="str" cm="1">
        <f t="array" ref="N187">_xlfn.IFS(E187&gt;=18,"Excelente",E187&gt;=14,"Muy bueno",E187&gt;=10,"Bueno",E187&gt;=6,"Regular",E187&lt;6,"Insuficiente")</f>
        <v>Excelente</v>
      </c>
      <c r="O187" s="30" t="str" cm="1">
        <f t="array" ref="O187">_xlfn.IFS(F187&gt;=9,"Excelente",F187&gt;=7,"Muy bueno",F187&gt;=5,"Bueno",F187&gt;=3,"Regular",F187&lt;3,"Insuficiente")</f>
        <v>Excelente</v>
      </c>
      <c r="P187" s="30" t="str" cm="1">
        <f t="array" ref="P187">_xlfn.IFS(G187&gt;=9,"Excelente",G187&gt;=7,"Muy bueno",G187&gt;=5,"Bueno",G187&gt;=3,"Regular",G187&lt;3,"Insuficiente")</f>
        <v>Muy bueno</v>
      </c>
      <c r="Q187" s="30" t="str" cm="1">
        <f t="array" ref="Q187">_xlfn.IFS(H187&gt;=9,"Excelente",H187&gt;=7,"Muy bueno",H187&gt;=5,"Bueno",H187&gt;=3,"Regular",H187&lt;3,"Insuficiente")</f>
        <v>Excelente</v>
      </c>
      <c r="R187" s="30" t="str" cm="1">
        <f t="array" ref="R187">_xlfn.IFS(I187&gt;=9,"Excelente",I187&gt;=7,"Muy bueno",I187&gt;=5,"Bueno",I187&gt;=3,"Regular",I187&lt;3,"Insuficiente")</f>
        <v>Excelente</v>
      </c>
    </row>
    <row r="188" spans="1:18">
      <c r="A188" t="s">
        <v>149</v>
      </c>
      <c r="B188" s="16">
        <v>3</v>
      </c>
      <c r="C188" s="16">
        <v>20</v>
      </c>
      <c r="D188" s="16">
        <v>20</v>
      </c>
      <c r="E188" s="16">
        <v>20</v>
      </c>
      <c r="F188" s="16">
        <v>9.3333333333333339</v>
      </c>
      <c r="G188" s="16">
        <v>9.3333333333333339</v>
      </c>
      <c r="H188" s="16">
        <v>10</v>
      </c>
      <c r="I188" s="16">
        <v>8.6666666666666661</v>
      </c>
      <c r="J188" s="28">
        <f t="shared" si="2"/>
        <v>97.333333333333329</v>
      </c>
      <c r="K188" s="29" t="str" cm="1">
        <f t="array" ref="K188">_xlfn.IFS(J188&gt;=90,"Excelente",J188&gt;=80,"Muy Bueno",J188&gt;=75,"Bueno",J188&gt;=65,"Regular",J188&gt;=55,"Insuficiente")</f>
        <v>Excelente</v>
      </c>
      <c r="L188" s="30" t="str" cm="1">
        <f t="array" ref="L188">_xlfn.IFS(C188&gt;=18,"Excelente",C188&gt;=14,"Muy bueno",C188&gt;=10,"Bueno",C188&gt;=6,"Regular",C188&lt;6,"Insuficiente")</f>
        <v>Excelente</v>
      </c>
      <c r="M188" s="30" t="str" cm="1">
        <f t="array" ref="M188">_xlfn.IFS(D188&gt;=18,"Excelente",D188&gt;=14,"Muy bueno",D188&gt;=10,"Bueno",D188&gt;=6,"Regular",D188&lt;6,"Insuficiente")</f>
        <v>Excelente</v>
      </c>
      <c r="N188" s="30" t="str" cm="1">
        <f t="array" ref="N188">_xlfn.IFS(E188&gt;=18,"Excelente",E188&gt;=14,"Muy bueno",E188&gt;=10,"Bueno",E188&gt;=6,"Regular",E188&lt;6,"Insuficiente")</f>
        <v>Excelente</v>
      </c>
      <c r="O188" s="30" t="str" cm="1">
        <f t="array" ref="O188">_xlfn.IFS(F188&gt;=9,"Excelente",F188&gt;=7,"Muy bueno",F188&gt;=5,"Bueno",F188&gt;=3,"Regular",F188&lt;3,"Insuficiente")</f>
        <v>Excelente</v>
      </c>
      <c r="P188" s="30" t="str" cm="1">
        <f t="array" ref="P188">_xlfn.IFS(G188&gt;=9,"Excelente",G188&gt;=7,"Muy bueno",G188&gt;=5,"Bueno",G188&gt;=3,"Regular",G188&lt;3,"Insuficiente")</f>
        <v>Excelente</v>
      </c>
      <c r="Q188" s="30" t="str" cm="1">
        <f t="array" ref="Q188">_xlfn.IFS(H188&gt;=9,"Excelente",H188&gt;=7,"Muy bueno",H188&gt;=5,"Bueno",H188&gt;=3,"Regular",H188&lt;3,"Insuficiente")</f>
        <v>Excelente</v>
      </c>
      <c r="R188" s="30" t="str" cm="1">
        <f t="array" ref="R188">_xlfn.IFS(I188&gt;=9,"Excelente",I188&gt;=7,"Muy bueno",I188&gt;=5,"Bueno",I188&gt;=3,"Regular",I188&lt;3,"Insuficiente")</f>
        <v>Muy bueno</v>
      </c>
    </row>
    <row r="189" spans="1:18">
      <c r="A189" t="s">
        <v>120</v>
      </c>
      <c r="B189" s="16">
        <v>3</v>
      </c>
      <c r="C189" s="16">
        <v>20</v>
      </c>
      <c r="D189" s="16">
        <v>20</v>
      </c>
      <c r="E189" s="16">
        <v>20</v>
      </c>
      <c r="F189" s="16">
        <v>10</v>
      </c>
      <c r="G189" s="16">
        <v>10</v>
      </c>
      <c r="H189" s="16">
        <v>10</v>
      </c>
      <c r="I189" s="16">
        <v>10</v>
      </c>
      <c r="J189" s="28">
        <f t="shared" si="2"/>
        <v>100</v>
      </c>
      <c r="K189" s="29" t="str" cm="1">
        <f t="array" ref="K189">_xlfn.IFS(J189&gt;=90,"Excelente",J189&gt;=80,"Muy Bueno",J189&gt;=75,"Bueno",J189&gt;=65,"Regular",J189&gt;=55,"Insuficiente")</f>
        <v>Excelente</v>
      </c>
      <c r="L189" s="30" t="str" cm="1">
        <f t="array" ref="L189">_xlfn.IFS(C189&gt;=18,"Excelente",C189&gt;=14,"Muy bueno",C189&gt;=10,"Bueno",C189&gt;=6,"Regular",C189&lt;6,"Insuficiente")</f>
        <v>Excelente</v>
      </c>
      <c r="M189" s="30" t="str" cm="1">
        <f t="array" ref="M189">_xlfn.IFS(D189&gt;=18,"Excelente",D189&gt;=14,"Muy bueno",D189&gt;=10,"Bueno",D189&gt;=6,"Regular",D189&lt;6,"Insuficiente")</f>
        <v>Excelente</v>
      </c>
      <c r="N189" s="30" t="str" cm="1">
        <f t="array" ref="N189">_xlfn.IFS(E189&gt;=18,"Excelente",E189&gt;=14,"Muy bueno",E189&gt;=10,"Bueno",E189&gt;=6,"Regular",E189&lt;6,"Insuficiente")</f>
        <v>Excelente</v>
      </c>
      <c r="O189" s="30" t="str" cm="1">
        <f t="array" ref="O189">_xlfn.IFS(F189&gt;=9,"Excelente",F189&gt;=7,"Muy bueno",F189&gt;=5,"Bueno",F189&gt;=3,"Regular",F189&lt;3,"Insuficiente")</f>
        <v>Excelente</v>
      </c>
      <c r="P189" s="30" t="str" cm="1">
        <f t="array" ref="P189">_xlfn.IFS(G189&gt;=9,"Excelente",G189&gt;=7,"Muy bueno",G189&gt;=5,"Bueno",G189&gt;=3,"Regular",G189&lt;3,"Insuficiente")</f>
        <v>Excelente</v>
      </c>
      <c r="Q189" s="30" t="str" cm="1">
        <f t="array" ref="Q189">_xlfn.IFS(H189&gt;=9,"Excelente",H189&gt;=7,"Muy bueno",H189&gt;=5,"Bueno",H189&gt;=3,"Regular",H189&lt;3,"Insuficiente")</f>
        <v>Excelente</v>
      </c>
      <c r="R189" s="30" t="str" cm="1">
        <f t="array" ref="R189">_xlfn.IFS(I189&gt;=9,"Excelente",I189&gt;=7,"Muy bueno",I189&gt;=5,"Bueno",I189&gt;=3,"Regular",I189&lt;3,"Insuficiente")</f>
        <v>Excelente</v>
      </c>
    </row>
    <row r="190" spans="1:18">
      <c r="A190" t="s">
        <v>313</v>
      </c>
      <c r="B190" s="16">
        <v>3</v>
      </c>
      <c r="C190" s="16">
        <v>20</v>
      </c>
      <c r="D190" s="16">
        <v>20</v>
      </c>
      <c r="E190" s="16">
        <v>20</v>
      </c>
      <c r="F190" s="16">
        <v>10</v>
      </c>
      <c r="G190" s="16">
        <v>10</v>
      </c>
      <c r="H190" s="16">
        <v>9.3333333333333339</v>
      </c>
      <c r="I190" s="16">
        <v>10</v>
      </c>
      <c r="J190" s="28">
        <f t="shared" si="2"/>
        <v>99.333333333333329</v>
      </c>
      <c r="K190" s="29" t="str" cm="1">
        <f t="array" ref="K190">_xlfn.IFS(J190&gt;=90,"Excelente",J190&gt;=80,"Muy Bueno",J190&gt;=75,"Bueno",J190&gt;=65,"Regular",J190&gt;=55,"Insuficiente")</f>
        <v>Excelente</v>
      </c>
      <c r="L190" s="30" t="str" cm="1">
        <f t="array" ref="L190">_xlfn.IFS(C190&gt;=18,"Excelente",C190&gt;=14,"Muy bueno",C190&gt;=10,"Bueno",C190&gt;=6,"Regular",C190&lt;6,"Insuficiente")</f>
        <v>Excelente</v>
      </c>
      <c r="M190" s="30" t="str" cm="1">
        <f t="array" ref="M190">_xlfn.IFS(D190&gt;=18,"Excelente",D190&gt;=14,"Muy bueno",D190&gt;=10,"Bueno",D190&gt;=6,"Regular",D190&lt;6,"Insuficiente")</f>
        <v>Excelente</v>
      </c>
      <c r="N190" s="30" t="str" cm="1">
        <f t="array" ref="N190">_xlfn.IFS(E190&gt;=18,"Excelente",E190&gt;=14,"Muy bueno",E190&gt;=10,"Bueno",E190&gt;=6,"Regular",E190&lt;6,"Insuficiente")</f>
        <v>Excelente</v>
      </c>
      <c r="O190" s="30" t="str" cm="1">
        <f t="array" ref="O190">_xlfn.IFS(F190&gt;=9,"Excelente",F190&gt;=7,"Muy bueno",F190&gt;=5,"Bueno",F190&gt;=3,"Regular",F190&lt;3,"Insuficiente")</f>
        <v>Excelente</v>
      </c>
      <c r="P190" s="30" t="str" cm="1">
        <f t="array" ref="P190">_xlfn.IFS(G190&gt;=9,"Excelente",G190&gt;=7,"Muy bueno",G190&gt;=5,"Bueno",G190&gt;=3,"Regular",G190&lt;3,"Insuficiente")</f>
        <v>Excelente</v>
      </c>
      <c r="Q190" s="30" t="str" cm="1">
        <f t="array" ref="Q190">_xlfn.IFS(H190&gt;=9,"Excelente",H190&gt;=7,"Muy bueno",H190&gt;=5,"Bueno",H190&gt;=3,"Regular",H190&lt;3,"Insuficiente")</f>
        <v>Excelente</v>
      </c>
      <c r="R190" s="30" t="str" cm="1">
        <f t="array" ref="R190">_xlfn.IFS(I190&gt;=9,"Excelente",I190&gt;=7,"Muy bueno",I190&gt;=5,"Bueno",I190&gt;=3,"Regular",I190&lt;3,"Insuficiente")</f>
        <v>Excelente</v>
      </c>
    </row>
    <row r="191" spans="1:18">
      <c r="A191" t="s">
        <v>298</v>
      </c>
      <c r="B191" s="16">
        <v>3</v>
      </c>
      <c r="C191" s="16">
        <v>20</v>
      </c>
      <c r="D191" s="16">
        <v>20</v>
      </c>
      <c r="E191" s="16">
        <v>17.333333333333332</v>
      </c>
      <c r="F191" s="16">
        <v>9.3333333333333339</v>
      </c>
      <c r="G191" s="16">
        <v>10</v>
      </c>
      <c r="H191" s="16">
        <v>8.6666666666666661</v>
      </c>
      <c r="I191" s="16">
        <v>10</v>
      </c>
      <c r="J191" s="28">
        <f t="shared" si="2"/>
        <v>95.333333333333329</v>
      </c>
      <c r="K191" s="29" t="str" cm="1">
        <f t="array" ref="K191">_xlfn.IFS(J191&gt;=90,"Excelente",J191&gt;=80,"Muy Bueno",J191&gt;=75,"Bueno",J191&gt;=65,"Regular",J191&gt;=55,"Insuficiente")</f>
        <v>Excelente</v>
      </c>
      <c r="L191" s="30" t="str" cm="1">
        <f t="array" ref="L191">_xlfn.IFS(C191&gt;=18,"Excelente",C191&gt;=14,"Muy bueno",C191&gt;=10,"Bueno",C191&gt;=6,"Regular",C191&lt;6,"Insuficiente")</f>
        <v>Excelente</v>
      </c>
      <c r="M191" s="30" t="str" cm="1">
        <f t="array" ref="M191">_xlfn.IFS(D191&gt;=18,"Excelente",D191&gt;=14,"Muy bueno",D191&gt;=10,"Bueno",D191&gt;=6,"Regular",D191&lt;6,"Insuficiente")</f>
        <v>Excelente</v>
      </c>
      <c r="N191" s="30" t="str" cm="1">
        <f t="array" ref="N191">_xlfn.IFS(E191&gt;=18,"Excelente",E191&gt;=14,"Muy bueno",E191&gt;=10,"Bueno",E191&gt;=6,"Regular",E191&lt;6,"Insuficiente")</f>
        <v>Muy bueno</v>
      </c>
      <c r="O191" s="30" t="str" cm="1">
        <f t="array" ref="O191">_xlfn.IFS(F191&gt;=9,"Excelente",F191&gt;=7,"Muy bueno",F191&gt;=5,"Bueno",F191&gt;=3,"Regular",F191&lt;3,"Insuficiente")</f>
        <v>Excelente</v>
      </c>
      <c r="P191" s="30" t="str" cm="1">
        <f t="array" ref="P191">_xlfn.IFS(G191&gt;=9,"Excelente",G191&gt;=7,"Muy bueno",G191&gt;=5,"Bueno",G191&gt;=3,"Regular",G191&lt;3,"Insuficiente")</f>
        <v>Excelente</v>
      </c>
      <c r="Q191" s="30" t="str" cm="1">
        <f t="array" ref="Q191">_xlfn.IFS(H191&gt;=9,"Excelente",H191&gt;=7,"Muy bueno",H191&gt;=5,"Bueno",H191&gt;=3,"Regular",H191&lt;3,"Insuficiente")</f>
        <v>Muy bueno</v>
      </c>
      <c r="R191" s="30" t="str" cm="1">
        <f t="array" ref="R191">_xlfn.IFS(I191&gt;=9,"Excelente",I191&gt;=7,"Muy bueno",I191&gt;=5,"Bueno",I191&gt;=3,"Regular",I191&lt;3,"Insuficiente")</f>
        <v>Excelente</v>
      </c>
    </row>
    <row r="192" spans="1:18">
      <c r="A192" t="s">
        <v>275</v>
      </c>
      <c r="B192" s="16">
        <v>3</v>
      </c>
      <c r="C192" s="16">
        <v>18.666666666666668</v>
      </c>
      <c r="D192" s="16">
        <v>18.666666666666668</v>
      </c>
      <c r="E192" s="16">
        <v>17.333333333333332</v>
      </c>
      <c r="F192" s="16">
        <v>7.333333333333333</v>
      </c>
      <c r="G192" s="16">
        <v>8</v>
      </c>
      <c r="H192" s="16">
        <v>6.666666666666667</v>
      </c>
      <c r="I192" s="16">
        <v>8.6666666666666661</v>
      </c>
      <c r="J192" s="28">
        <f t="shared" si="2"/>
        <v>85.333333333333343</v>
      </c>
      <c r="K192" s="29" t="str" cm="1">
        <f t="array" ref="K192">_xlfn.IFS(J192&gt;=90,"Excelente",J192&gt;=80,"Muy Bueno",J192&gt;=75,"Bueno",J192&gt;=65,"Regular",J192&gt;=55,"Insuficiente")</f>
        <v>Muy Bueno</v>
      </c>
      <c r="L192" s="30" t="str" cm="1">
        <f t="array" ref="L192">_xlfn.IFS(C192&gt;=18,"Excelente",C192&gt;=14,"Muy bueno",C192&gt;=10,"Bueno",C192&gt;=6,"Regular",C192&lt;6,"Insuficiente")</f>
        <v>Excelente</v>
      </c>
      <c r="M192" s="30" t="str" cm="1">
        <f t="array" ref="M192">_xlfn.IFS(D192&gt;=18,"Excelente",D192&gt;=14,"Muy bueno",D192&gt;=10,"Bueno",D192&gt;=6,"Regular",D192&lt;6,"Insuficiente")</f>
        <v>Excelente</v>
      </c>
      <c r="N192" s="30" t="str" cm="1">
        <f t="array" ref="N192">_xlfn.IFS(E192&gt;=18,"Excelente",E192&gt;=14,"Muy bueno",E192&gt;=10,"Bueno",E192&gt;=6,"Regular",E192&lt;6,"Insuficiente")</f>
        <v>Muy bueno</v>
      </c>
      <c r="O192" s="30" t="str" cm="1">
        <f t="array" ref="O192">_xlfn.IFS(F192&gt;=9,"Excelente",F192&gt;=7,"Muy bueno",F192&gt;=5,"Bueno",F192&gt;=3,"Regular",F192&lt;3,"Insuficiente")</f>
        <v>Muy bueno</v>
      </c>
      <c r="P192" s="30" t="str" cm="1">
        <f t="array" ref="P192">_xlfn.IFS(G192&gt;=9,"Excelente",G192&gt;=7,"Muy bueno",G192&gt;=5,"Bueno",G192&gt;=3,"Regular",G192&lt;3,"Insuficiente")</f>
        <v>Muy bueno</v>
      </c>
      <c r="Q192" s="30" t="str" cm="1">
        <f t="array" ref="Q192">_xlfn.IFS(H192&gt;=9,"Excelente",H192&gt;=7,"Muy bueno",H192&gt;=5,"Bueno",H192&gt;=3,"Regular",H192&lt;3,"Insuficiente")</f>
        <v>Bueno</v>
      </c>
      <c r="R192" s="30" t="str" cm="1">
        <f t="array" ref="R192">_xlfn.IFS(I192&gt;=9,"Excelente",I192&gt;=7,"Muy bueno",I192&gt;=5,"Bueno",I192&gt;=3,"Regular",I192&lt;3,"Insuficiente")</f>
        <v>Muy bueno</v>
      </c>
    </row>
    <row r="193" spans="1:18">
      <c r="A193" t="s">
        <v>208</v>
      </c>
      <c r="B193" s="16">
        <v>3</v>
      </c>
      <c r="C193" s="16">
        <v>18.666666666666668</v>
      </c>
      <c r="D193" s="16">
        <v>18.666666666666668</v>
      </c>
      <c r="E193" s="16">
        <v>18.666666666666668</v>
      </c>
      <c r="F193" s="16">
        <v>9.3333333333333339</v>
      </c>
      <c r="G193" s="16">
        <v>9.3333333333333339</v>
      </c>
      <c r="H193" s="16">
        <v>8.6666666666666661</v>
      </c>
      <c r="I193" s="16">
        <v>8.6666666666666661</v>
      </c>
      <c r="J193" s="28">
        <f t="shared" si="2"/>
        <v>92</v>
      </c>
      <c r="K193" s="29" t="str" cm="1">
        <f t="array" ref="K193">_xlfn.IFS(J193&gt;=90,"Excelente",J193&gt;=80,"Muy Bueno",J193&gt;=75,"Bueno",J193&gt;=65,"Regular",J193&gt;=55,"Insuficiente")</f>
        <v>Excelente</v>
      </c>
      <c r="L193" s="30" t="str" cm="1">
        <f t="array" ref="L193">_xlfn.IFS(C193&gt;=18,"Excelente",C193&gt;=14,"Muy bueno",C193&gt;=10,"Bueno",C193&gt;=6,"Regular",C193&lt;6,"Insuficiente")</f>
        <v>Excelente</v>
      </c>
      <c r="M193" s="30" t="str" cm="1">
        <f t="array" ref="M193">_xlfn.IFS(D193&gt;=18,"Excelente",D193&gt;=14,"Muy bueno",D193&gt;=10,"Bueno",D193&gt;=6,"Regular",D193&lt;6,"Insuficiente")</f>
        <v>Excelente</v>
      </c>
      <c r="N193" s="30" t="str" cm="1">
        <f t="array" ref="N193">_xlfn.IFS(E193&gt;=18,"Excelente",E193&gt;=14,"Muy bueno",E193&gt;=10,"Bueno",E193&gt;=6,"Regular",E193&lt;6,"Insuficiente")</f>
        <v>Excelente</v>
      </c>
      <c r="O193" s="30" t="str" cm="1">
        <f t="array" ref="O193">_xlfn.IFS(F193&gt;=9,"Excelente",F193&gt;=7,"Muy bueno",F193&gt;=5,"Bueno",F193&gt;=3,"Regular",F193&lt;3,"Insuficiente")</f>
        <v>Excelente</v>
      </c>
      <c r="P193" s="30" t="str" cm="1">
        <f t="array" ref="P193">_xlfn.IFS(G193&gt;=9,"Excelente",G193&gt;=7,"Muy bueno",G193&gt;=5,"Bueno",G193&gt;=3,"Regular",G193&lt;3,"Insuficiente")</f>
        <v>Excelente</v>
      </c>
      <c r="Q193" s="30" t="str" cm="1">
        <f t="array" ref="Q193">_xlfn.IFS(H193&gt;=9,"Excelente",H193&gt;=7,"Muy bueno",H193&gt;=5,"Bueno",H193&gt;=3,"Regular",H193&lt;3,"Insuficiente")</f>
        <v>Muy bueno</v>
      </c>
      <c r="R193" s="30" t="str" cm="1">
        <f t="array" ref="R193">_xlfn.IFS(I193&gt;=9,"Excelente",I193&gt;=7,"Muy bueno",I193&gt;=5,"Bueno",I193&gt;=3,"Regular",I193&lt;3,"Insuficiente")</f>
        <v>Muy bueno</v>
      </c>
    </row>
    <row r="194" spans="1:18">
      <c r="A194" t="s">
        <v>137</v>
      </c>
      <c r="B194" s="16">
        <v>3</v>
      </c>
      <c r="C194" s="16">
        <v>20</v>
      </c>
      <c r="D194" s="16">
        <v>20</v>
      </c>
      <c r="E194" s="16">
        <v>20</v>
      </c>
      <c r="F194" s="16">
        <v>10</v>
      </c>
      <c r="G194" s="16">
        <v>8.6666666666666661</v>
      </c>
      <c r="H194" s="16">
        <v>9.3333333333333339</v>
      </c>
      <c r="I194" s="16">
        <v>10</v>
      </c>
      <c r="J194" s="28">
        <f t="shared" si="2"/>
        <v>98</v>
      </c>
      <c r="K194" s="29" t="str" cm="1">
        <f t="array" ref="K194">_xlfn.IFS(J194&gt;=90,"Excelente",J194&gt;=80,"Muy Bueno",J194&gt;=75,"Bueno",J194&gt;=65,"Regular",J194&gt;=55,"Insuficiente")</f>
        <v>Excelente</v>
      </c>
      <c r="L194" s="30" t="str" cm="1">
        <f t="array" ref="L194">_xlfn.IFS(C194&gt;=18,"Excelente",C194&gt;=14,"Muy bueno",C194&gt;=10,"Bueno",C194&gt;=6,"Regular",C194&lt;6,"Insuficiente")</f>
        <v>Excelente</v>
      </c>
      <c r="M194" s="30" t="str" cm="1">
        <f t="array" ref="M194">_xlfn.IFS(D194&gt;=18,"Excelente",D194&gt;=14,"Muy bueno",D194&gt;=10,"Bueno",D194&gt;=6,"Regular",D194&lt;6,"Insuficiente")</f>
        <v>Excelente</v>
      </c>
      <c r="N194" s="30" t="str" cm="1">
        <f t="array" ref="N194">_xlfn.IFS(E194&gt;=18,"Excelente",E194&gt;=14,"Muy bueno",E194&gt;=10,"Bueno",E194&gt;=6,"Regular",E194&lt;6,"Insuficiente")</f>
        <v>Excelente</v>
      </c>
      <c r="O194" s="30" t="str" cm="1">
        <f t="array" ref="O194">_xlfn.IFS(F194&gt;=9,"Excelente",F194&gt;=7,"Muy bueno",F194&gt;=5,"Bueno",F194&gt;=3,"Regular",F194&lt;3,"Insuficiente")</f>
        <v>Excelente</v>
      </c>
      <c r="P194" s="30" t="str" cm="1">
        <f t="array" ref="P194">_xlfn.IFS(G194&gt;=9,"Excelente",G194&gt;=7,"Muy bueno",G194&gt;=5,"Bueno",G194&gt;=3,"Regular",G194&lt;3,"Insuficiente")</f>
        <v>Muy bueno</v>
      </c>
      <c r="Q194" s="30" t="str" cm="1">
        <f t="array" ref="Q194">_xlfn.IFS(H194&gt;=9,"Excelente",H194&gt;=7,"Muy bueno",H194&gt;=5,"Bueno",H194&gt;=3,"Regular",H194&lt;3,"Insuficiente")</f>
        <v>Excelente</v>
      </c>
      <c r="R194" s="30" t="str" cm="1">
        <f t="array" ref="R194">_xlfn.IFS(I194&gt;=9,"Excelente",I194&gt;=7,"Muy bueno",I194&gt;=5,"Bueno",I194&gt;=3,"Regular",I194&lt;3,"Insuficiente")</f>
        <v>Excelente</v>
      </c>
    </row>
    <row r="195" spans="1:18">
      <c r="A195" t="s">
        <v>77</v>
      </c>
      <c r="B195" s="16">
        <v>3</v>
      </c>
      <c r="C195" s="16">
        <v>18.666666666666668</v>
      </c>
      <c r="D195" s="16">
        <v>20</v>
      </c>
      <c r="E195" s="16">
        <v>18.666666666666668</v>
      </c>
      <c r="F195" s="16">
        <v>8</v>
      </c>
      <c r="G195" s="16">
        <v>9.3333333333333339</v>
      </c>
      <c r="H195" s="16">
        <v>10</v>
      </c>
      <c r="I195" s="16">
        <v>8.6666666666666661</v>
      </c>
      <c r="J195" s="28">
        <f t="shared" si="2"/>
        <v>93.333333333333343</v>
      </c>
      <c r="K195" s="29" t="str" cm="1">
        <f t="array" ref="K195">_xlfn.IFS(J195&gt;=90,"Excelente",J195&gt;=80,"Muy Bueno",J195&gt;=75,"Bueno",J195&gt;=65,"Regular",J195&gt;=55,"Insuficiente")</f>
        <v>Excelente</v>
      </c>
      <c r="L195" s="30" t="str" cm="1">
        <f t="array" ref="L195">_xlfn.IFS(C195&gt;=18,"Excelente",C195&gt;=14,"Muy bueno",C195&gt;=10,"Bueno",C195&gt;=6,"Regular",C195&lt;6,"Insuficiente")</f>
        <v>Excelente</v>
      </c>
      <c r="M195" s="30" t="str" cm="1">
        <f t="array" ref="M195">_xlfn.IFS(D195&gt;=18,"Excelente",D195&gt;=14,"Muy bueno",D195&gt;=10,"Bueno",D195&gt;=6,"Regular",D195&lt;6,"Insuficiente")</f>
        <v>Excelente</v>
      </c>
      <c r="N195" s="30" t="str" cm="1">
        <f t="array" ref="N195">_xlfn.IFS(E195&gt;=18,"Excelente",E195&gt;=14,"Muy bueno",E195&gt;=10,"Bueno",E195&gt;=6,"Regular",E195&lt;6,"Insuficiente")</f>
        <v>Excelente</v>
      </c>
      <c r="O195" s="30" t="str" cm="1">
        <f t="array" ref="O195">_xlfn.IFS(F195&gt;=9,"Excelente",F195&gt;=7,"Muy bueno",F195&gt;=5,"Bueno",F195&gt;=3,"Regular",F195&lt;3,"Insuficiente")</f>
        <v>Muy bueno</v>
      </c>
      <c r="P195" s="30" t="str" cm="1">
        <f t="array" ref="P195">_xlfn.IFS(G195&gt;=9,"Excelente",G195&gt;=7,"Muy bueno",G195&gt;=5,"Bueno",G195&gt;=3,"Regular",G195&lt;3,"Insuficiente")</f>
        <v>Excelente</v>
      </c>
      <c r="Q195" s="30" t="str" cm="1">
        <f t="array" ref="Q195">_xlfn.IFS(H195&gt;=9,"Excelente",H195&gt;=7,"Muy bueno",H195&gt;=5,"Bueno",H195&gt;=3,"Regular",H195&lt;3,"Insuficiente")</f>
        <v>Excelente</v>
      </c>
      <c r="R195" s="30" t="str" cm="1">
        <f t="array" ref="R195">_xlfn.IFS(I195&gt;=9,"Excelente",I195&gt;=7,"Muy bueno",I195&gt;=5,"Bueno",I195&gt;=3,"Regular",I195&lt;3,"Insuficiente")</f>
        <v>Muy bueno</v>
      </c>
    </row>
    <row r="196" spans="1:18">
      <c r="A196" t="s">
        <v>295</v>
      </c>
      <c r="B196" s="16">
        <v>3</v>
      </c>
      <c r="C196" s="16">
        <v>20</v>
      </c>
      <c r="D196" s="16">
        <v>20</v>
      </c>
      <c r="E196" s="16">
        <v>20</v>
      </c>
      <c r="F196" s="16">
        <v>10</v>
      </c>
      <c r="G196" s="16">
        <v>10</v>
      </c>
      <c r="H196" s="16">
        <v>9.3333333333333339</v>
      </c>
      <c r="I196" s="16">
        <v>10</v>
      </c>
      <c r="J196" s="28">
        <f t="shared" si="2"/>
        <v>99.333333333333329</v>
      </c>
      <c r="K196" s="29" t="str" cm="1">
        <f t="array" ref="K196">_xlfn.IFS(J196&gt;=90,"Excelente",J196&gt;=80,"Muy Bueno",J196&gt;=75,"Bueno",J196&gt;=65,"Regular",J196&gt;=55,"Insuficiente")</f>
        <v>Excelente</v>
      </c>
      <c r="L196" s="30" t="str" cm="1">
        <f t="array" ref="L196">_xlfn.IFS(C196&gt;=18,"Excelente",C196&gt;=14,"Muy bueno",C196&gt;=10,"Bueno",C196&gt;=6,"Regular",C196&lt;6,"Insuficiente")</f>
        <v>Excelente</v>
      </c>
      <c r="M196" s="30" t="str" cm="1">
        <f t="array" ref="M196">_xlfn.IFS(D196&gt;=18,"Excelente",D196&gt;=14,"Muy bueno",D196&gt;=10,"Bueno",D196&gt;=6,"Regular",D196&lt;6,"Insuficiente")</f>
        <v>Excelente</v>
      </c>
      <c r="N196" s="30" t="str" cm="1">
        <f t="array" ref="N196">_xlfn.IFS(E196&gt;=18,"Excelente",E196&gt;=14,"Muy bueno",E196&gt;=10,"Bueno",E196&gt;=6,"Regular",E196&lt;6,"Insuficiente")</f>
        <v>Excelente</v>
      </c>
      <c r="O196" s="30" t="str" cm="1">
        <f t="array" ref="O196">_xlfn.IFS(F196&gt;=9,"Excelente",F196&gt;=7,"Muy bueno",F196&gt;=5,"Bueno",F196&gt;=3,"Regular",F196&lt;3,"Insuficiente")</f>
        <v>Excelente</v>
      </c>
      <c r="P196" s="30" t="str" cm="1">
        <f t="array" ref="P196">_xlfn.IFS(G196&gt;=9,"Excelente",G196&gt;=7,"Muy bueno",G196&gt;=5,"Bueno",G196&gt;=3,"Regular",G196&lt;3,"Insuficiente")</f>
        <v>Excelente</v>
      </c>
      <c r="Q196" s="30" t="str" cm="1">
        <f t="array" ref="Q196">_xlfn.IFS(H196&gt;=9,"Excelente",H196&gt;=7,"Muy bueno",H196&gt;=5,"Bueno",H196&gt;=3,"Regular",H196&lt;3,"Insuficiente")</f>
        <v>Excelente</v>
      </c>
      <c r="R196" s="30" t="str" cm="1">
        <f t="array" ref="R196">_xlfn.IFS(I196&gt;=9,"Excelente",I196&gt;=7,"Muy bueno",I196&gt;=5,"Bueno",I196&gt;=3,"Regular",I196&lt;3,"Insuficiente")</f>
        <v>Excelente</v>
      </c>
    </row>
    <row r="197" spans="1:18">
      <c r="A197" t="s">
        <v>61</v>
      </c>
      <c r="B197" s="16">
        <v>3</v>
      </c>
      <c r="C197" s="16">
        <v>20</v>
      </c>
      <c r="D197" s="16">
        <v>20</v>
      </c>
      <c r="E197" s="16">
        <v>20</v>
      </c>
      <c r="F197" s="16">
        <v>8.6666666666666661</v>
      </c>
      <c r="G197" s="16">
        <v>9.3333333333333339</v>
      </c>
      <c r="H197" s="16">
        <v>8.6666666666666661</v>
      </c>
      <c r="I197" s="16">
        <v>10</v>
      </c>
      <c r="J197" s="28">
        <f t="shared" ref="J197:J203" si="3">(C197+D197+E197+F197+G197+H197+I197)</f>
        <v>96.666666666666671</v>
      </c>
      <c r="K197" s="29" t="str" cm="1">
        <f t="array" ref="K197">_xlfn.IFS(J197&gt;=90,"Excelente",J197&gt;=80,"Muy Bueno",J197&gt;=75,"Bueno",J197&gt;=65,"Regular",J197&gt;=55,"Insuficiente")</f>
        <v>Excelente</v>
      </c>
      <c r="L197" s="30" t="str" cm="1">
        <f t="array" ref="L197">_xlfn.IFS(C197&gt;=18,"Excelente",C197&gt;=14,"Muy bueno",C197&gt;=10,"Bueno",C197&gt;=6,"Regular",C197&lt;6,"Insuficiente")</f>
        <v>Excelente</v>
      </c>
      <c r="M197" s="30" t="str" cm="1">
        <f t="array" ref="M197">_xlfn.IFS(D197&gt;=18,"Excelente",D197&gt;=14,"Muy bueno",D197&gt;=10,"Bueno",D197&gt;=6,"Regular",D197&lt;6,"Insuficiente")</f>
        <v>Excelente</v>
      </c>
      <c r="N197" s="30" t="str" cm="1">
        <f t="array" ref="N197">_xlfn.IFS(E197&gt;=18,"Excelente",E197&gt;=14,"Muy bueno",E197&gt;=10,"Bueno",E197&gt;=6,"Regular",E197&lt;6,"Insuficiente")</f>
        <v>Excelente</v>
      </c>
      <c r="O197" s="30" t="str" cm="1">
        <f t="array" ref="O197">_xlfn.IFS(F197&gt;=9,"Excelente",F197&gt;=7,"Muy bueno",F197&gt;=5,"Bueno",F197&gt;=3,"Regular",F197&lt;3,"Insuficiente")</f>
        <v>Muy bueno</v>
      </c>
      <c r="P197" s="30" t="str" cm="1">
        <f t="array" ref="P197">_xlfn.IFS(G197&gt;=9,"Excelente",G197&gt;=7,"Muy bueno",G197&gt;=5,"Bueno",G197&gt;=3,"Regular",G197&lt;3,"Insuficiente")</f>
        <v>Excelente</v>
      </c>
      <c r="Q197" s="30" t="str" cm="1">
        <f t="array" ref="Q197">_xlfn.IFS(H197&gt;=9,"Excelente",H197&gt;=7,"Muy bueno",H197&gt;=5,"Bueno",H197&gt;=3,"Regular",H197&lt;3,"Insuficiente")</f>
        <v>Muy bueno</v>
      </c>
      <c r="R197" s="30" t="str" cm="1">
        <f t="array" ref="R197">_xlfn.IFS(I197&gt;=9,"Excelente",I197&gt;=7,"Muy bueno",I197&gt;=5,"Bueno",I197&gt;=3,"Regular",I197&lt;3,"Insuficiente")</f>
        <v>Excelente</v>
      </c>
    </row>
    <row r="198" spans="1:18">
      <c r="A198" t="s">
        <v>244</v>
      </c>
      <c r="B198" s="16">
        <v>3</v>
      </c>
      <c r="C198" s="16">
        <v>20</v>
      </c>
      <c r="D198" s="16">
        <v>20</v>
      </c>
      <c r="E198" s="16">
        <v>20</v>
      </c>
      <c r="F198" s="16">
        <v>10</v>
      </c>
      <c r="G198" s="16">
        <v>10</v>
      </c>
      <c r="H198" s="16">
        <v>9.3333333333333339</v>
      </c>
      <c r="I198" s="16">
        <v>10</v>
      </c>
      <c r="J198" s="28">
        <f t="shared" si="3"/>
        <v>99.333333333333329</v>
      </c>
      <c r="K198" s="29" t="str" cm="1">
        <f t="array" ref="K198">_xlfn.IFS(J198&gt;=90,"Excelente",J198&gt;=80,"Muy Bueno",J198&gt;=75,"Bueno",J198&gt;=65,"Regular",J198&gt;=55,"Insuficiente")</f>
        <v>Excelente</v>
      </c>
      <c r="L198" s="30" t="str" cm="1">
        <f t="array" ref="L198">_xlfn.IFS(C198&gt;=18,"Excelente",C198&gt;=14,"Muy bueno",C198&gt;=10,"Bueno",C198&gt;=6,"Regular",C198&lt;6,"Insuficiente")</f>
        <v>Excelente</v>
      </c>
      <c r="M198" s="30" t="str" cm="1">
        <f t="array" ref="M198">_xlfn.IFS(D198&gt;=18,"Excelente",D198&gt;=14,"Muy bueno",D198&gt;=10,"Bueno",D198&gt;=6,"Regular",D198&lt;6,"Insuficiente")</f>
        <v>Excelente</v>
      </c>
      <c r="N198" s="30" t="str" cm="1">
        <f t="array" ref="N198">_xlfn.IFS(E198&gt;=18,"Excelente",E198&gt;=14,"Muy bueno",E198&gt;=10,"Bueno",E198&gt;=6,"Regular",E198&lt;6,"Insuficiente")</f>
        <v>Excelente</v>
      </c>
      <c r="O198" s="30" t="str" cm="1">
        <f t="array" ref="O198">_xlfn.IFS(F198&gt;=9,"Excelente",F198&gt;=7,"Muy bueno",F198&gt;=5,"Bueno",F198&gt;=3,"Regular",F198&lt;3,"Insuficiente")</f>
        <v>Excelente</v>
      </c>
      <c r="P198" s="30" t="str" cm="1">
        <f t="array" ref="P198">_xlfn.IFS(G198&gt;=9,"Excelente",G198&gt;=7,"Muy bueno",G198&gt;=5,"Bueno",G198&gt;=3,"Regular",G198&lt;3,"Insuficiente")</f>
        <v>Excelente</v>
      </c>
      <c r="Q198" s="30" t="str" cm="1">
        <f t="array" ref="Q198">_xlfn.IFS(H198&gt;=9,"Excelente",H198&gt;=7,"Muy bueno",H198&gt;=5,"Bueno",H198&gt;=3,"Regular",H198&lt;3,"Insuficiente")</f>
        <v>Excelente</v>
      </c>
      <c r="R198" s="30" t="str" cm="1">
        <f t="array" ref="R198">_xlfn.IFS(I198&gt;=9,"Excelente",I198&gt;=7,"Muy bueno",I198&gt;=5,"Bueno",I198&gt;=3,"Regular",I198&lt;3,"Insuficiente")</f>
        <v>Excelente</v>
      </c>
    </row>
    <row r="199" spans="1:18">
      <c r="A199" t="s">
        <v>324</v>
      </c>
      <c r="B199" s="16">
        <v>3</v>
      </c>
      <c r="C199" s="16">
        <v>18.666666666666668</v>
      </c>
      <c r="D199" s="16">
        <v>17.333333333333332</v>
      </c>
      <c r="E199" s="16">
        <v>17.333333333333332</v>
      </c>
      <c r="F199" s="16">
        <v>9.3333333333333339</v>
      </c>
      <c r="G199" s="16">
        <v>9.3333333333333339</v>
      </c>
      <c r="H199" s="16">
        <v>8</v>
      </c>
      <c r="I199" s="16">
        <v>9.3333333333333339</v>
      </c>
      <c r="J199" s="28">
        <f t="shared" si="3"/>
        <v>89.333333333333329</v>
      </c>
      <c r="K199" s="29" t="str" cm="1">
        <f t="array" ref="K199">_xlfn.IFS(J199&gt;=90,"Excelente",J199&gt;=80,"Muy Bueno",J199&gt;=75,"Bueno",J199&gt;=65,"Regular",J199&gt;=55,"Insuficiente")</f>
        <v>Muy Bueno</v>
      </c>
      <c r="L199" s="30" t="str" cm="1">
        <f t="array" ref="L199">_xlfn.IFS(C199&gt;=18,"Excelente",C199&gt;=14,"Muy bueno",C199&gt;=10,"Bueno",C199&gt;=6,"Regular",C199&lt;6,"Insuficiente")</f>
        <v>Excelente</v>
      </c>
      <c r="M199" s="30" t="str" cm="1">
        <f t="array" ref="M199">_xlfn.IFS(D199&gt;=18,"Excelente",D199&gt;=14,"Muy bueno",D199&gt;=10,"Bueno",D199&gt;=6,"Regular",D199&lt;6,"Insuficiente")</f>
        <v>Muy bueno</v>
      </c>
      <c r="N199" s="30" t="str" cm="1">
        <f t="array" ref="N199">_xlfn.IFS(E199&gt;=18,"Excelente",E199&gt;=14,"Muy bueno",E199&gt;=10,"Bueno",E199&gt;=6,"Regular",E199&lt;6,"Insuficiente")</f>
        <v>Muy bueno</v>
      </c>
      <c r="O199" s="30" t="str" cm="1">
        <f t="array" ref="O199">_xlfn.IFS(F199&gt;=9,"Excelente",F199&gt;=7,"Muy bueno",F199&gt;=5,"Bueno",F199&gt;=3,"Regular",F199&lt;3,"Insuficiente")</f>
        <v>Excelente</v>
      </c>
      <c r="P199" s="30" t="str" cm="1">
        <f t="array" ref="P199">_xlfn.IFS(G199&gt;=9,"Excelente",G199&gt;=7,"Muy bueno",G199&gt;=5,"Bueno",G199&gt;=3,"Regular",G199&lt;3,"Insuficiente")</f>
        <v>Excelente</v>
      </c>
      <c r="Q199" s="30" t="str" cm="1">
        <f t="array" ref="Q199">_xlfn.IFS(H199&gt;=9,"Excelente",H199&gt;=7,"Muy bueno",H199&gt;=5,"Bueno",H199&gt;=3,"Regular",H199&lt;3,"Insuficiente")</f>
        <v>Muy bueno</v>
      </c>
      <c r="R199" s="30" t="str" cm="1">
        <f t="array" ref="R199">_xlfn.IFS(I199&gt;=9,"Excelente",I199&gt;=7,"Muy bueno",I199&gt;=5,"Bueno",I199&gt;=3,"Regular",I199&lt;3,"Insuficiente")</f>
        <v>Excelente</v>
      </c>
    </row>
    <row r="200" spans="1:18">
      <c r="A200" t="s">
        <v>151</v>
      </c>
      <c r="B200" s="16">
        <v>3</v>
      </c>
      <c r="C200" s="16">
        <v>18.666666666666668</v>
      </c>
      <c r="D200" s="16">
        <v>18.666666666666668</v>
      </c>
      <c r="E200" s="16">
        <v>17.333333333333332</v>
      </c>
      <c r="F200" s="16">
        <v>10</v>
      </c>
      <c r="G200" s="16">
        <v>9.3333333333333339</v>
      </c>
      <c r="H200" s="16">
        <v>9.3333333333333339</v>
      </c>
      <c r="I200" s="16">
        <v>10</v>
      </c>
      <c r="J200" s="28">
        <f t="shared" si="3"/>
        <v>93.333333333333329</v>
      </c>
      <c r="K200" s="29" t="str" cm="1">
        <f t="array" ref="K200">_xlfn.IFS(J200&gt;=90,"Excelente",J200&gt;=80,"Muy Bueno",J200&gt;=75,"Bueno",J200&gt;=65,"Regular",J200&gt;=55,"Insuficiente")</f>
        <v>Excelente</v>
      </c>
      <c r="L200" s="30" t="str" cm="1">
        <f t="array" ref="L200">_xlfn.IFS(C200&gt;=18,"Excelente",C200&gt;=14,"Muy bueno",C200&gt;=10,"Bueno",C200&gt;=6,"Regular",C200&lt;6,"Insuficiente")</f>
        <v>Excelente</v>
      </c>
      <c r="M200" s="30" t="str" cm="1">
        <f t="array" ref="M200">_xlfn.IFS(D200&gt;=18,"Excelente",D200&gt;=14,"Muy bueno",D200&gt;=10,"Bueno",D200&gt;=6,"Regular",D200&lt;6,"Insuficiente")</f>
        <v>Excelente</v>
      </c>
      <c r="N200" s="30" t="str" cm="1">
        <f t="array" ref="N200">_xlfn.IFS(E200&gt;=18,"Excelente",E200&gt;=14,"Muy bueno",E200&gt;=10,"Bueno",E200&gt;=6,"Regular",E200&lt;6,"Insuficiente")</f>
        <v>Muy bueno</v>
      </c>
      <c r="O200" s="30" t="str" cm="1">
        <f t="array" ref="O200">_xlfn.IFS(F200&gt;=9,"Excelente",F200&gt;=7,"Muy bueno",F200&gt;=5,"Bueno",F200&gt;=3,"Regular",F200&lt;3,"Insuficiente")</f>
        <v>Excelente</v>
      </c>
      <c r="P200" s="30" t="str" cm="1">
        <f t="array" ref="P200">_xlfn.IFS(G200&gt;=9,"Excelente",G200&gt;=7,"Muy bueno",G200&gt;=5,"Bueno",G200&gt;=3,"Regular",G200&lt;3,"Insuficiente")</f>
        <v>Excelente</v>
      </c>
      <c r="Q200" s="30" t="str" cm="1">
        <f t="array" ref="Q200">_xlfn.IFS(H200&gt;=9,"Excelente",H200&gt;=7,"Muy bueno",H200&gt;=5,"Bueno",H200&gt;=3,"Regular",H200&lt;3,"Insuficiente")</f>
        <v>Excelente</v>
      </c>
      <c r="R200" s="30" t="str" cm="1">
        <f t="array" ref="R200">_xlfn.IFS(I200&gt;=9,"Excelente",I200&gt;=7,"Muy bueno",I200&gt;=5,"Bueno",I200&gt;=3,"Regular",I200&lt;3,"Insuficiente")</f>
        <v>Excelente</v>
      </c>
    </row>
    <row r="201" spans="1:18">
      <c r="A201" t="s">
        <v>65</v>
      </c>
      <c r="B201" s="16">
        <v>3</v>
      </c>
      <c r="C201" s="16">
        <v>20</v>
      </c>
      <c r="D201" s="16">
        <v>20</v>
      </c>
      <c r="E201" s="16">
        <v>20</v>
      </c>
      <c r="F201" s="16">
        <v>10</v>
      </c>
      <c r="G201" s="16">
        <v>10</v>
      </c>
      <c r="H201" s="16">
        <v>10</v>
      </c>
      <c r="I201" s="16">
        <v>10</v>
      </c>
      <c r="J201" s="28">
        <f t="shared" si="3"/>
        <v>100</v>
      </c>
      <c r="K201" s="29" t="str" cm="1">
        <f t="array" ref="K201">_xlfn.IFS(J201&gt;=90,"Excelente",J201&gt;=80,"Muy Bueno",J201&gt;=75,"Bueno",J201&gt;=65,"Regular",J201&gt;=55,"Insuficiente")</f>
        <v>Excelente</v>
      </c>
      <c r="L201" s="30" t="str" cm="1">
        <f t="array" ref="L201">_xlfn.IFS(C201&gt;=18,"Excelente",C201&gt;=14,"Muy bueno",C201&gt;=10,"Bueno",C201&gt;=6,"Regular",C201&lt;6,"Insuficiente")</f>
        <v>Excelente</v>
      </c>
      <c r="M201" s="30" t="str" cm="1">
        <f t="array" ref="M201">_xlfn.IFS(D201&gt;=18,"Excelente",D201&gt;=14,"Muy bueno",D201&gt;=10,"Bueno",D201&gt;=6,"Regular",D201&lt;6,"Insuficiente")</f>
        <v>Excelente</v>
      </c>
      <c r="N201" s="30" t="str" cm="1">
        <f t="array" ref="N201">_xlfn.IFS(E201&gt;=18,"Excelente",E201&gt;=14,"Muy bueno",E201&gt;=10,"Bueno",E201&gt;=6,"Regular",E201&lt;6,"Insuficiente")</f>
        <v>Excelente</v>
      </c>
      <c r="O201" s="30" t="str" cm="1">
        <f t="array" ref="O201">_xlfn.IFS(F201&gt;=9,"Excelente",F201&gt;=7,"Muy bueno",F201&gt;=5,"Bueno",F201&gt;=3,"Regular",F201&lt;3,"Insuficiente")</f>
        <v>Excelente</v>
      </c>
      <c r="P201" s="30" t="str" cm="1">
        <f t="array" ref="P201">_xlfn.IFS(G201&gt;=9,"Excelente",G201&gt;=7,"Muy bueno",G201&gt;=5,"Bueno",G201&gt;=3,"Regular",G201&lt;3,"Insuficiente")</f>
        <v>Excelente</v>
      </c>
      <c r="Q201" s="30" t="str" cm="1">
        <f t="array" ref="Q201">_xlfn.IFS(H201&gt;=9,"Excelente",H201&gt;=7,"Muy bueno",H201&gt;=5,"Bueno",H201&gt;=3,"Regular",H201&lt;3,"Insuficiente")</f>
        <v>Excelente</v>
      </c>
      <c r="R201" s="30" t="str" cm="1">
        <f t="array" ref="R201">_xlfn.IFS(I201&gt;=9,"Excelente",I201&gt;=7,"Muy bueno",I201&gt;=5,"Bueno",I201&gt;=3,"Regular",I201&lt;3,"Insuficiente")</f>
        <v>Excelente</v>
      </c>
    </row>
    <row r="202" spans="1:18">
      <c r="A202" t="s">
        <v>80</v>
      </c>
      <c r="B202" s="16">
        <v>3</v>
      </c>
      <c r="C202" s="16">
        <v>20</v>
      </c>
      <c r="D202" s="16">
        <v>20</v>
      </c>
      <c r="E202" s="16">
        <v>20</v>
      </c>
      <c r="F202" s="16">
        <v>9.3333333333333339</v>
      </c>
      <c r="G202" s="16">
        <v>9.3333333333333339</v>
      </c>
      <c r="H202" s="16">
        <v>10</v>
      </c>
      <c r="I202" s="16">
        <v>10</v>
      </c>
      <c r="J202" s="28">
        <f t="shared" si="3"/>
        <v>98.666666666666657</v>
      </c>
      <c r="K202" s="29" t="str" cm="1">
        <f t="array" ref="K202">_xlfn.IFS(J202&gt;=90,"Excelente",J202&gt;=80,"Muy Bueno",J202&gt;=75,"Bueno",J202&gt;=65,"Regular",J202&gt;=55,"Insuficiente")</f>
        <v>Excelente</v>
      </c>
      <c r="L202" s="30" t="str" cm="1">
        <f t="array" ref="L202">_xlfn.IFS(C202&gt;=18,"Excelente",C202&gt;=14,"Muy bueno",C202&gt;=10,"Bueno",C202&gt;=6,"Regular",C202&lt;6,"Insuficiente")</f>
        <v>Excelente</v>
      </c>
      <c r="M202" s="30" t="str" cm="1">
        <f t="array" ref="M202">_xlfn.IFS(D202&gt;=18,"Excelente",D202&gt;=14,"Muy bueno",D202&gt;=10,"Bueno",D202&gt;=6,"Regular",D202&lt;6,"Insuficiente")</f>
        <v>Excelente</v>
      </c>
      <c r="N202" s="30" t="str" cm="1">
        <f t="array" ref="N202">_xlfn.IFS(E202&gt;=18,"Excelente",E202&gt;=14,"Muy bueno",E202&gt;=10,"Bueno",E202&gt;=6,"Regular",E202&lt;6,"Insuficiente")</f>
        <v>Excelente</v>
      </c>
      <c r="O202" s="30" t="str" cm="1">
        <f t="array" ref="O202">_xlfn.IFS(F202&gt;=9,"Excelente",F202&gt;=7,"Muy bueno",F202&gt;=5,"Bueno",F202&gt;=3,"Regular",F202&lt;3,"Insuficiente")</f>
        <v>Excelente</v>
      </c>
      <c r="P202" s="30" t="str" cm="1">
        <f t="array" ref="P202">_xlfn.IFS(G202&gt;=9,"Excelente",G202&gt;=7,"Muy bueno",G202&gt;=5,"Bueno",G202&gt;=3,"Regular",G202&lt;3,"Insuficiente")</f>
        <v>Excelente</v>
      </c>
      <c r="Q202" s="30" t="str" cm="1">
        <f t="array" ref="Q202">_xlfn.IFS(H202&gt;=9,"Excelente",H202&gt;=7,"Muy bueno",H202&gt;=5,"Bueno",H202&gt;=3,"Regular",H202&lt;3,"Insuficiente")</f>
        <v>Excelente</v>
      </c>
      <c r="R202" s="30" t="str" cm="1">
        <f t="array" ref="R202">_xlfn.IFS(I202&gt;=9,"Excelente",I202&gt;=7,"Muy bueno",I202&gt;=5,"Bueno",I202&gt;=3,"Regular",I202&lt;3,"Insuficiente")</f>
        <v>Excelente</v>
      </c>
    </row>
    <row r="203" spans="1:18">
      <c r="A203" t="s">
        <v>184</v>
      </c>
      <c r="B203" s="16">
        <v>3</v>
      </c>
      <c r="C203" s="16">
        <v>16</v>
      </c>
      <c r="D203" s="16">
        <v>16</v>
      </c>
      <c r="E203" s="16">
        <v>16</v>
      </c>
      <c r="F203" s="16">
        <v>6</v>
      </c>
      <c r="G203" s="16">
        <v>8</v>
      </c>
      <c r="H203" s="16">
        <v>6</v>
      </c>
      <c r="I203" s="16">
        <v>6</v>
      </c>
      <c r="J203" s="28">
        <f t="shared" si="3"/>
        <v>74</v>
      </c>
      <c r="K203" s="29" t="str" cm="1">
        <f t="array" ref="K203">_xlfn.IFS(J203&gt;=90,"Excelente",J203&gt;=80,"Muy Bueno",J203&gt;=75,"Bueno",J203&gt;=65,"Regular",J203&gt;=55,"Insuficiente")</f>
        <v>Regular</v>
      </c>
      <c r="L203" s="30" t="str" cm="1">
        <f t="array" ref="L203">_xlfn.IFS(C203&gt;=18,"Excelente",C203&gt;=14,"Muy bueno",C203&gt;=10,"Bueno",C203&gt;=6,"Regular",C203&lt;6,"Insuficiente")</f>
        <v>Muy bueno</v>
      </c>
      <c r="M203" s="30" t="str" cm="1">
        <f t="array" ref="M203">_xlfn.IFS(D203&gt;=18,"Excelente",D203&gt;=14,"Muy bueno",D203&gt;=10,"Bueno",D203&gt;=6,"Regular",D203&lt;6,"Insuficiente")</f>
        <v>Muy bueno</v>
      </c>
      <c r="N203" s="30" t="str" cm="1">
        <f t="array" ref="N203">_xlfn.IFS(E203&gt;=18,"Excelente",E203&gt;=14,"Muy bueno",E203&gt;=10,"Bueno",E203&gt;=6,"Regular",E203&lt;6,"Insuficiente")</f>
        <v>Muy bueno</v>
      </c>
      <c r="O203" s="30" t="str" cm="1">
        <f t="array" ref="O203">_xlfn.IFS(F203&gt;=9,"Excelente",F203&gt;=7,"Muy bueno",F203&gt;=5,"Bueno",F203&gt;=3,"Regular",F203&lt;3,"Insuficiente")</f>
        <v>Bueno</v>
      </c>
      <c r="P203" s="30" t="str" cm="1">
        <f t="array" ref="P203">_xlfn.IFS(G203&gt;=9,"Excelente",G203&gt;=7,"Muy bueno",G203&gt;=5,"Bueno",G203&gt;=3,"Regular",G203&lt;3,"Insuficiente")</f>
        <v>Muy bueno</v>
      </c>
      <c r="Q203" s="30" t="str" cm="1">
        <f t="array" ref="Q203">_xlfn.IFS(H203&gt;=9,"Excelente",H203&gt;=7,"Muy bueno",H203&gt;=5,"Bueno",H203&gt;=3,"Regular",H203&lt;3,"Insuficiente")</f>
        <v>Bueno</v>
      </c>
      <c r="R203" s="30" t="str" cm="1">
        <f t="array" ref="R203">_xlfn.IFS(I203&gt;=9,"Excelente",I203&gt;=7,"Muy bueno",I203&gt;=5,"Bueno",I203&gt;=3,"Regular",I203&lt;3,"Insuficiente")</f>
        <v>Bueno</v>
      </c>
    </row>
    <row r="204" spans="1:18">
      <c r="A204" t="s">
        <v>390</v>
      </c>
      <c r="B204" s="16">
        <v>600</v>
      </c>
      <c r="C204" s="16">
        <v>19.466666666666665</v>
      </c>
      <c r="D204" s="16">
        <v>19.173333333333332</v>
      </c>
      <c r="E204" s="16">
        <v>18.966666666666665</v>
      </c>
      <c r="F204" s="16">
        <v>9.3766666666666669</v>
      </c>
      <c r="G204" s="16">
        <v>9.4533333333333331</v>
      </c>
      <c r="H204" s="16">
        <v>9.1133333333333333</v>
      </c>
      <c r="I204" s="16">
        <v>9.4533333333333331</v>
      </c>
      <c r="L204" s="30" t="str" cm="1">
        <f t="array" ref="L204">_xlfn.IFS(C204&gt;=18,"Excelente",C204&gt;=14,"Muy bueno",C204&gt;=10,"Bueno",C204&gt;=6,"Regular",C204&lt;6,"Insuficiente")</f>
        <v>Excelente</v>
      </c>
      <c r="M204" s="30" t="str" cm="1">
        <f t="array" ref="M204">_xlfn.IFS(D204&gt;=18,"Excelente",D204&gt;=14,"Muy bueno",D204&gt;=10,"Bueno",D204&gt;=6,"Regular",D204&lt;6,"Insuficiente")</f>
        <v>Excelente</v>
      </c>
      <c r="N204" s="30" t="str" cm="1">
        <f t="array" ref="N204">_xlfn.IFS(E204&gt;=18,"Excelente",E204&gt;=14,"Muy bueno",E204&gt;=10,"Bueno",E204&gt;=6,"Regular",E204&lt;6,"Insuficiente")</f>
        <v>Excelente</v>
      </c>
      <c r="O204" s="30" t="str" cm="1">
        <f t="array" ref="O204">_xlfn.IFS(F204&gt;=9,"Excelente",F204&gt;=7,"Muy bueno",F204&gt;=5,"Bueno",F204&gt;=3,"Regular",F204&lt;3,"Insuficiente")</f>
        <v>Excelente</v>
      </c>
      <c r="P204" s="30" t="str" cm="1">
        <f t="array" ref="P204">_xlfn.IFS(G204&gt;=9,"Excelente",G204&gt;=7,"Muy bueno",G204&gt;=5,"Bueno",G204&gt;=3,"Regular",G204&lt;3,"Insuficiente")</f>
        <v>Excelente</v>
      </c>
      <c r="Q204" s="30" t="str" cm="1">
        <f t="array" ref="Q204">_xlfn.IFS(H204&gt;=9,"Excelente",H204&gt;=7,"Muy bueno",H204&gt;=5,"Bueno",H204&gt;=3,"Regular",H204&lt;3,"Insuficiente")</f>
        <v>Excelente</v>
      </c>
      <c r="R204" s="30" t="str" cm="1">
        <f t="array" ref="R204">_xlfn.IFS(I204&gt;=9,"Excelente",I204&gt;=7,"Muy bueno",I204&gt;=5,"Bueno",I204&gt;=3,"Regular",I204&lt;3,"Insuficiente")</f>
        <v>Excelente</v>
      </c>
    </row>
    <row r="205" spans="1:18">
      <c r="B205"/>
    </row>
    <row r="206" spans="1:18">
      <c r="B206"/>
      <c r="D206" s="18"/>
    </row>
    <row r="207" spans="1:18">
      <c r="B207"/>
    </row>
    <row r="208" spans="1:18">
      <c r="B208"/>
    </row>
    <row r="209" spans="2:2">
      <c r="B209"/>
    </row>
    <row r="210" spans="2:2">
      <c r="B210"/>
    </row>
    <row r="211" spans="2:2">
      <c r="B211"/>
    </row>
    <row r="212" spans="2:2">
      <c r="B212"/>
    </row>
    <row r="213" spans="2:2">
      <c r="B213"/>
    </row>
    <row r="214" spans="2:2">
      <c r="B214"/>
    </row>
    <row r="215" spans="2:2">
      <c r="B215"/>
    </row>
    <row r="216" spans="2:2">
      <c r="B216"/>
    </row>
    <row r="217" spans="2:2">
      <c r="B217"/>
    </row>
    <row r="218" spans="2:2">
      <c r="B218"/>
    </row>
    <row r="219" spans="2:2">
      <c r="B219"/>
    </row>
    <row r="220" spans="2:2">
      <c r="B220"/>
    </row>
    <row r="221" spans="2:2">
      <c r="B221"/>
    </row>
    <row r="222" spans="2:2">
      <c r="B222"/>
    </row>
    <row r="223" spans="2:2">
      <c r="B223"/>
    </row>
    <row r="224" spans="2:2">
      <c r="B224"/>
    </row>
    <row r="225" spans="2:2">
      <c r="B225"/>
    </row>
    <row r="226" spans="2:2">
      <c r="B226"/>
    </row>
    <row r="227" spans="2:2">
      <c r="B227"/>
    </row>
    <row r="228" spans="2:2">
      <c r="B228"/>
    </row>
    <row r="229" spans="2:2">
      <c r="B229"/>
    </row>
    <row r="230" spans="2:2">
      <c r="B230"/>
    </row>
    <row r="231" spans="2:2">
      <c r="B231"/>
    </row>
    <row r="232" spans="2:2">
      <c r="B232"/>
    </row>
    <row r="233" spans="2:2">
      <c r="B233"/>
    </row>
    <row r="234" spans="2:2">
      <c r="B234"/>
    </row>
    <row r="235" spans="2:2">
      <c r="B235"/>
    </row>
    <row r="236" spans="2:2">
      <c r="B236"/>
    </row>
    <row r="237" spans="2:2">
      <c r="B237"/>
    </row>
    <row r="238" spans="2:2">
      <c r="B238"/>
    </row>
    <row r="239" spans="2:2">
      <c r="B239"/>
    </row>
    <row r="240" spans="2:2">
      <c r="B240"/>
    </row>
    <row r="241" spans="2:2">
      <c r="B241"/>
    </row>
    <row r="242" spans="2:2">
      <c r="B242"/>
    </row>
    <row r="243" spans="2:2">
      <c r="B243"/>
    </row>
    <row r="244" spans="2:2">
      <c r="B244"/>
    </row>
    <row r="245" spans="2:2">
      <c r="B245"/>
    </row>
    <row r="246" spans="2:2">
      <c r="B246"/>
    </row>
    <row r="247" spans="2:2">
      <c r="B247"/>
    </row>
    <row r="248" spans="2:2">
      <c r="B248"/>
    </row>
    <row r="249" spans="2:2">
      <c r="B249"/>
    </row>
    <row r="250" spans="2:2">
      <c r="B250"/>
    </row>
    <row r="251" spans="2:2">
      <c r="B251"/>
    </row>
    <row r="252" spans="2:2">
      <c r="B252"/>
    </row>
    <row r="253" spans="2:2">
      <c r="B253"/>
    </row>
    <row r="254" spans="2:2">
      <c r="B254"/>
    </row>
    <row r="255" spans="2:2">
      <c r="B255"/>
    </row>
    <row r="256" spans="2:2">
      <c r="B256"/>
    </row>
    <row r="257" spans="2:2">
      <c r="B257"/>
    </row>
    <row r="258" spans="2:2">
      <c r="B258"/>
    </row>
    <row r="259" spans="2:2">
      <c r="B259"/>
    </row>
    <row r="260" spans="2:2">
      <c r="B260"/>
    </row>
    <row r="261" spans="2:2">
      <c r="B261"/>
    </row>
    <row r="262" spans="2:2">
      <c r="B262"/>
    </row>
    <row r="263" spans="2:2">
      <c r="B263"/>
    </row>
    <row r="264" spans="2:2">
      <c r="B264"/>
    </row>
    <row r="265" spans="2:2">
      <c r="B265"/>
    </row>
    <row r="266" spans="2:2">
      <c r="B266"/>
    </row>
    <row r="267" spans="2:2">
      <c r="B267"/>
    </row>
    <row r="268" spans="2:2">
      <c r="B268"/>
    </row>
    <row r="269" spans="2:2">
      <c r="B269"/>
    </row>
    <row r="270" spans="2:2">
      <c r="B270"/>
    </row>
    <row r="271" spans="2:2">
      <c r="B271"/>
    </row>
    <row r="272" spans="2:2">
      <c r="B272"/>
    </row>
    <row r="273" spans="2:2">
      <c r="B273"/>
    </row>
    <row r="274" spans="2:2">
      <c r="B274"/>
    </row>
    <row r="275" spans="2:2">
      <c r="B275"/>
    </row>
    <row r="276" spans="2:2">
      <c r="B276"/>
    </row>
    <row r="277" spans="2:2">
      <c r="B277"/>
    </row>
    <row r="278" spans="2:2">
      <c r="B278"/>
    </row>
    <row r="279" spans="2:2">
      <c r="B279"/>
    </row>
    <row r="280" spans="2:2">
      <c r="B280"/>
    </row>
    <row r="281" spans="2:2">
      <c r="B281"/>
    </row>
    <row r="282" spans="2:2">
      <c r="B282"/>
    </row>
    <row r="283" spans="2:2">
      <c r="B283"/>
    </row>
    <row r="284" spans="2:2">
      <c r="B284"/>
    </row>
    <row r="285" spans="2:2">
      <c r="B285"/>
    </row>
    <row r="286" spans="2:2">
      <c r="B286"/>
    </row>
    <row r="287" spans="2:2">
      <c r="B287"/>
    </row>
    <row r="288" spans="2:2">
      <c r="B288"/>
    </row>
    <row r="289" spans="2:2">
      <c r="B289"/>
    </row>
    <row r="290" spans="2:2">
      <c r="B290"/>
    </row>
    <row r="291" spans="2:2">
      <c r="B291"/>
    </row>
    <row r="292" spans="2:2">
      <c r="B292"/>
    </row>
    <row r="293" spans="2:2">
      <c r="B293"/>
    </row>
    <row r="294" spans="2:2">
      <c r="B294"/>
    </row>
    <row r="295" spans="2:2">
      <c r="B295"/>
    </row>
    <row r="296" spans="2:2">
      <c r="B296"/>
    </row>
    <row r="297" spans="2:2">
      <c r="B297"/>
    </row>
    <row r="298" spans="2:2">
      <c r="B298"/>
    </row>
    <row r="299" spans="2:2">
      <c r="B299"/>
    </row>
    <row r="300" spans="2:2">
      <c r="B300"/>
    </row>
    <row r="301" spans="2:2">
      <c r="B301"/>
    </row>
    <row r="302" spans="2:2">
      <c r="B302"/>
    </row>
    <row r="303" spans="2:2">
      <c r="B303"/>
    </row>
    <row r="304" spans="2:2">
      <c r="B304"/>
    </row>
    <row r="305" spans="2:2">
      <c r="B305"/>
    </row>
    <row r="306" spans="2:2">
      <c r="B306"/>
    </row>
    <row r="307" spans="2:2">
      <c r="B307"/>
    </row>
    <row r="308" spans="2:2">
      <c r="B308"/>
    </row>
    <row r="309" spans="2:2">
      <c r="B309"/>
    </row>
    <row r="310" spans="2:2">
      <c r="B310"/>
    </row>
    <row r="311" spans="2:2">
      <c r="B311"/>
    </row>
    <row r="312" spans="2:2">
      <c r="B312"/>
    </row>
    <row r="313" spans="2:2">
      <c r="B313"/>
    </row>
    <row r="314" spans="2:2">
      <c r="B314"/>
    </row>
    <row r="315" spans="2:2">
      <c r="B315"/>
    </row>
    <row r="316" spans="2:2">
      <c r="B316"/>
    </row>
    <row r="317" spans="2:2">
      <c r="B317"/>
    </row>
    <row r="318" spans="2:2">
      <c r="B318"/>
    </row>
    <row r="319" spans="2:2">
      <c r="B319"/>
    </row>
    <row r="320" spans="2:2">
      <c r="B320"/>
    </row>
    <row r="321" spans="2:2">
      <c r="B321"/>
    </row>
    <row r="322" spans="2:2">
      <c r="B322"/>
    </row>
    <row r="323" spans="2:2">
      <c r="B323"/>
    </row>
    <row r="324" spans="2:2">
      <c r="B324"/>
    </row>
    <row r="325" spans="2:2">
      <c r="B325"/>
    </row>
    <row r="326" spans="2:2">
      <c r="B326"/>
    </row>
    <row r="327" spans="2:2">
      <c r="B327"/>
    </row>
    <row r="328" spans="2:2">
      <c r="B328"/>
    </row>
    <row r="329" spans="2:2">
      <c r="B329"/>
    </row>
    <row r="330" spans="2:2">
      <c r="B330"/>
    </row>
    <row r="331" spans="2:2">
      <c r="B331"/>
    </row>
    <row r="332" spans="2:2">
      <c r="B332"/>
    </row>
    <row r="333" spans="2:2">
      <c r="B333"/>
    </row>
    <row r="334" spans="2:2">
      <c r="B334"/>
    </row>
    <row r="335" spans="2:2">
      <c r="B335"/>
    </row>
    <row r="336" spans="2:2">
      <c r="B336"/>
    </row>
    <row r="337" spans="2:2">
      <c r="B337"/>
    </row>
    <row r="338" spans="2:2">
      <c r="B338"/>
    </row>
    <row r="339" spans="2:2">
      <c r="B339"/>
    </row>
    <row r="340" spans="2:2">
      <c r="B340"/>
    </row>
    <row r="341" spans="2:2">
      <c r="B341"/>
    </row>
    <row r="342" spans="2:2">
      <c r="B342"/>
    </row>
    <row r="343" spans="2:2">
      <c r="B343"/>
    </row>
    <row r="344" spans="2:2">
      <c r="B344"/>
    </row>
    <row r="345" spans="2:2">
      <c r="B345"/>
    </row>
    <row r="346" spans="2:2">
      <c r="B346"/>
    </row>
    <row r="347" spans="2:2">
      <c r="B347"/>
    </row>
    <row r="348" spans="2:2">
      <c r="B348"/>
    </row>
    <row r="349" spans="2:2">
      <c r="B349"/>
    </row>
    <row r="350" spans="2:2">
      <c r="B350"/>
    </row>
    <row r="351" spans="2:2">
      <c r="B351"/>
    </row>
    <row r="352" spans="2:2">
      <c r="B352"/>
    </row>
    <row r="353" spans="2:2">
      <c r="B353"/>
    </row>
    <row r="354" spans="2:2">
      <c r="B354"/>
    </row>
    <row r="355" spans="2:2">
      <c r="B355"/>
    </row>
    <row r="356" spans="2:2">
      <c r="B356"/>
    </row>
    <row r="357" spans="2:2">
      <c r="B357"/>
    </row>
    <row r="358" spans="2:2">
      <c r="B358"/>
    </row>
    <row r="359" spans="2:2">
      <c r="B359"/>
    </row>
    <row r="360" spans="2:2">
      <c r="B360"/>
    </row>
    <row r="361" spans="2:2">
      <c r="B361"/>
    </row>
    <row r="362" spans="2:2">
      <c r="B362"/>
    </row>
    <row r="363" spans="2:2">
      <c r="B363"/>
    </row>
    <row r="364" spans="2:2">
      <c r="B364"/>
    </row>
    <row r="365" spans="2:2">
      <c r="B365"/>
    </row>
    <row r="366" spans="2:2">
      <c r="B366"/>
    </row>
    <row r="367" spans="2:2">
      <c r="B367"/>
    </row>
    <row r="368" spans="2:2">
      <c r="B368"/>
    </row>
    <row r="369" spans="2:2">
      <c r="B369"/>
    </row>
    <row r="370" spans="2:2">
      <c r="B370"/>
    </row>
    <row r="371" spans="2:2">
      <c r="B371"/>
    </row>
    <row r="372" spans="2:2">
      <c r="B372"/>
    </row>
    <row r="373" spans="2:2">
      <c r="B373"/>
    </row>
    <row r="374" spans="2:2">
      <c r="B374"/>
    </row>
    <row r="375" spans="2:2">
      <c r="B375"/>
    </row>
    <row r="376" spans="2:2">
      <c r="B376"/>
    </row>
    <row r="377" spans="2:2">
      <c r="B377"/>
    </row>
    <row r="378" spans="2:2">
      <c r="B378"/>
    </row>
    <row r="379" spans="2:2">
      <c r="B379"/>
    </row>
    <row r="380" spans="2:2">
      <c r="B380"/>
    </row>
    <row r="381" spans="2:2">
      <c r="B381"/>
    </row>
    <row r="382" spans="2:2">
      <c r="B382"/>
    </row>
    <row r="383" spans="2:2">
      <c r="B383"/>
    </row>
    <row r="384" spans="2:2">
      <c r="B384"/>
    </row>
    <row r="385" spans="2:2">
      <c r="B385"/>
    </row>
    <row r="386" spans="2:2">
      <c r="B386"/>
    </row>
    <row r="387" spans="2:2">
      <c r="B387"/>
    </row>
    <row r="388" spans="2:2">
      <c r="B388"/>
    </row>
    <row r="389" spans="2:2">
      <c r="B389"/>
    </row>
    <row r="390" spans="2:2">
      <c r="B390"/>
    </row>
    <row r="391" spans="2:2">
      <c r="B391"/>
    </row>
    <row r="392" spans="2:2">
      <c r="B392"/>
    </row>
    <row r="393" spans="2:2">
      <c r="B393"/>
    </row>
    <row r="394" spans="2:2">
      <c r="B394"/>
    </row>
    <row r="395" spans="2:2">
      <c r="B395"/>
    </row>
    <row r="396" spans="2:2">
      <c r="B396"/>
    </row>
    <row r="397" spans="2:2">
      <c r="B397"/>
    </row>
    <row r="398" spans="2:2">
      <c r="B398"/>
    </row>
    <row r="399" spans="2:2">
      <c r="B399"/>
    </row>
    <row r="400" spans="2:2">
      <c r="B400"/>
    </row>
    <row r="401" spans="2:2">
      <c r="B401"/>
    </row>
    <row r="402" spans="2:2">
      <c r="B402"/>
    </row>
    <row r="403" spans="2:2">
      <c r="B403"/>
    </row>
    <row r="404" spans="2:2">
      <c r="B404"/>
    </row>
    <row r="405" spans="2:2">
      <c r="B405"/>
    </row>
    <row r="406" spans="2:2">
      <c r="B406"/>
    </row>
    <row r="407" spans="2:2">
      <c r="B407"/>
    </row>
    <row r="408" spans="2:2">
      <c r="B408"/>
    </row>
    <row r="409" spans="2:2">
      <c r="B409"/>
    </row>
    <row r="410" spans="2:2">
      <c r="B410"/>
    </row>
    <row r="411" spans="2:2">
      <c r="B411"/>
    </row>
    <row r="412" spans="2:2">
      <c r="B412"/>
    </row>
    <row r="413" spans="2:2">
      <c r="B413"/>
    </row>
    <row r="414" spans="2:2">
      <c r="B414"/>
    </row>
    <row r="415" spans="2:2">
      <c r="B415"/>
    </row>
    <row r="416" spans="2:2">
      <c r="B416"/>
    </row>
    <row r="417" spans="2:2">
      <c r="B417"/>
    </row>
    <row r="418" spans="2:2">
      <c r="B418"/>
    </row>
    <row r="419" spans="2:2">
      <c r="B419"/>
    </row>
    <row r="420" spans="2:2">
      <c r="B420"/>
    </row>
    <row r="421" spans="2:2">
      <c r="B421"/>
    </row>
    <row r="422" spans="2:2">
      <c r="B422"/>
    </row>
    <row r="423" spans="2:2">
      <c r="B423"/>
    </row>
    <row r="424" spans="2:2">
      <c r="B424"/>
    </row>
    <row r="425" spans="2:2">
      <c r="B425"/>
    </row>
    <row r="426" spans="2:2">
      <c r="B426"/>
    </row>
    <row r="427" spans="2:2">
      <c r="B427"/>
    </row>
    <row r="428" spans="2:2">
      <c r="B428"/>
    </row>
    <row r="429" spans="2:2">
      <c r="B429"/>
    </row>
    <row r="430" spans="2:2">
      <c r="B430"/>
    </row>
    <row r="431" spans="2:2">
      <c r="B431"/>
    </row>
    <row r="432" spans="2:2">
      <c r="B432"/>
    </row>
    <row r="433" spans="2:2">
      <c r="B433"/>
    </row>
    <row r="434" spans="2:2">
      <c r="B434"/>
    </row>
    <row r="435" spans="2:2">
      <c r="B435"/>
    </row>
    <row r="436" spans="2:2">
      <c r="B436"/>
    </row>
    <row r="437" spans="2:2">
      <c r="B437"/>
    </row>
    <row r="438" spans="2:2">
      <c r="B438"/>
    </row>
    <row r="439" spans="2:2">
      <c r="B439"/>
    </row>
    <row r="440" spans="2:2">
      <c r="B440"/>
    </row>
    <row r="441" spans="2:2">
      <c r="B441"/>
    </row>
    <row r="442" spans="2:2">
      <c r="B442"/>
    </row>
    <row r="443" spans="2:2">
      <c r="B443"/>
    </row>
    <row r="444" spans="2:2">
      <c r="B444"/>
    </row>
    <row r="445" spans="2:2">
      <c r="B445"/>
    </row>
    <row r="446" spans="2:2">
      <c r="B446"/>
    </row>
    <row r="447" spans="2:2">
      <c r="B447"/>
    </row>
    <row r="448" spans="2:2">
      <c r="B448"/>
    </row>
    <row r="449" spans="2:2">
      <c r="B449"/>
    </row>
    <row r="450" spans="2:2">
      <c r="B450"/>
    </row>
    <row r="451" spans="2:2">
      <c r="B451"/>
    </row>
    <row r="452" spans="2:2">
      <c r="B452"/>
    </row>
    <row r="453" spans="2:2">
      <c r="B453"/>
    </row>
    <row r="454" spans="2:2">
      <c r="B454"/>
    </row>
    <row r="455" spans="2:2">
      <c r="B455"/>
    </row>
    <row r="456" spans="2:2">
      <c r="B456"/>
    </row>
    <row r="457" spans="2:2">
      <c r="B457"/>
    </row>
    <row r="458" spans="2:2">
      <c r="B458"/>
    </row>
    <row r="459" spans="2:2">
      <c r="B459"/>
    </row>
    <row r="460" spans="2:2">
      <c r="B460"/>
    </row>
    <row r="461" spans="2:2">
      <c r="B461"/>
    </row>
    <row r="462" spans="2:2">
      <c r="B462"/>
    </row>
    <row r="463" spans="2:2">
      <c r="B463"/>
    </row>
    <row r="464" spans="2:2">
      <c r="B464"/>
    </row>
    <row r="465" spans="2:2">
      <c r="B465"/>
    </row>
    <row r="466" spans="2:2">
      <c r="B466"/>
    </row>
    <row r="467" spans="2:2">
      <c r="B467"/>
    </row>
    <row r="468" spans="2:2">
      <c r="B468"/>
    </row>
    <row r="469" spans="2:2">
      <c r="B469"/>
    </row>
    <row r="470" spans="2:2">
      <c r="B470"/>
    </row>
    <row r="471" spans="2:2">
      <c r="B471"/>
    </row>
    <row r="472" spans="2:2">
      <c r="B472"/>
    </row>
    <row r="473" spans="2:2">
      <c r="B473"/>
    </row>
    <row r="474" spans="2:2">
      <c r="B474"/>
    </row>
    <row r="475" spans="2:2">
      <c r="B475"/>
    </row>
    <row r="476" spans="2:2">
      <c r="B476"/>
    </row>
    <row r="477" spans="2:2">
      <c r="B477"/>
    </row>
    <row r="478" spans="2:2">
      <c r="B478"/>
    </row>
    <row r="479" spans="2:2">
      <c r="B479"/>
    </row>
    <row r="480" spans="2:2">
      <c r="B480"/>
    </row>
    <row r="481" spans="2:2">
      <c r="B481"/>
    </row>
    <row r="482" spans="2:2">
      <c r="B482"/>
    </row>
    <row r="483" spans="2:2">
      <c r="B483"/>
    </row>
    <row r="484" spans="2:2">
      <c r="B484"/>
    </row>
    <row r="485" spans="2:2">
      <c r="B485"/>
    </row>
    <row r="486" spans="2:2">
      <c r="B486"/>
    </row>
    <row r="487" spans="2:2">
      <c r="B487"/>
    </row>
    <row r="488" spans="2:2">
      <c r="B488"/>
    </row>
    <row r="489" spans="2:2">
      <c r="B489"/>
    </row>
    <row r="490" spans="2:2">
      <c r="B490"/>
    </row>
    <row r="491" spans="2:2">
      <c r="B491"/>
    </row>
    <row r="492" spans="2:2">
      <c r="B492"/>
    </row>
    <row r="493" spans="2:2">
      <c r="B493"/>
    </row>
    <row r="494" spans="2:2">
      <c r="B494"/>
    </row>
    <row r="495" spans="2:2">
      <c r="B495"/>
    </row>
    <row r="496" spans="2:2">
      <c r="B496"/>
    </row>
    <row r="497" spans="2:2">
      <c r="B497"/>
    </row>
    <row r="498" spans="2:2">
      <c r="B498"/>
    </row>
    <row r="499" spans="2:2">
      <c r="B499"/>
    </row>
    <row r="500" spans="2:2">
      <c r="B500"/>
    </row>
    <row r="501" spans="2:2">
      <c r="B501"/>
    </row>
    <row r="502" spans="2:2">
      <c r="B502"/>
    </row>
    <row r="503" spans="2:2">
      <c r="B503"/>
    </row>
    <row r="504" spans="2:2">
      <c r="B504"/>
    </row>
    <row r="505" spans="2:2">
      <c r="B505"/>
    </row>
    <row r="506" spans="2:2">
      <c r="B506"/>
    </row>
    <row r="507" spans="2:2">
      <c r="B507"/>
    </row>
    <row r="508" spans="2:2">
      <c r="B508"/>
    </row>
    <row r="509" spans="2:2">
      <c r="B509"/>
    </row>
    <row r="510" spans="2:2">
      <c r="B510"/>
    </row>
    <row r="511" spans="2:2">
      <c r="B511"/>
    </row>
    <row r="512" spans="2:2">
      <c r="B512"/>
    </row>
    <row r="513" spans="2:2">
      <c r="B513"/>
    </row>
    <row r="514" spans="2:2">
      <c r="B514"/>
    </row>
    <row r="515" spans="2:2">
      <c r="B515"/>
    </row>
    <row r="516" spans="2:2">
      <c r="B516"/>
    </row>
    <row r="517" spans="2:2">
      <c r="B517"/>
    </row>
    <row r="518" spans="2:2">
      <c r="B518"/>
    </row>
    <row r="519" spans="2:2">
      <c r="B519"/>
    </row>
    <row r="520" spans="2:2">
      <c r="B520"/>
    </row>
    <row r="521" spans="2:2">
      <c r="B521"/>
    </row>
    <row r="522" spans="2:2">
      <c r="B522"/>
    </row>
    <row r="523" spans="2:2">
      <c r="B523"/>
    </row>
    <row r="524" spans="2:2">
      <c r="B524"/>
    </row>
    <row r="525" spans="2:2">
      <c r="B525"/>
    </row>
    <row r="526" spans="2:2">
      <c r="B526"/>
    </row>
    <row r="527" spans="2:2">
      <c r="B527"/>
    </row>
    <row r="528" spans="2:2">
      <c r="B528"/>
    </row>
    <row r="529" spans="2:2">
      <c r="B529"/>
    </row>
    <row r="530" spans="2:2">
      <c r="B530"/>
    </row>
    <row r="531" spans="2:2">
      <c r="B531"/>
    </row>
    <row r="532" spans="2:2">
      <c r="B532"/>
    </row>
    <row r="533" spans="2:2">
      <c r="B533"/>
    </row>
    <row r="534" spans="2:2">
      <c r="B534"/>
    </row>
    <row r="535" spans="2:2">
      <c r="B535"/>
    </row>
    <row r="536" spans="2:2">
      <c r="B536"/>
    </row>
    <row r="537" spans="2:2">
      <c r="B537"/>
    </row>
    <row r="538" spans="2:2">
      <c r="B538"/>
    </row>
    <row r="539" spans="2:2">
      <c r="B539"/>
    </row>
    <row r="540" spans="2:2">
      <c r="B540"/>
    </row>
    <row r="541" spans="2:2">
      <c r="B541"/>
    </row>
    <row r="542" spans="2:2">
      <c r="B542"/>
    </row>
    <row r="543" spans="2:2">
      <c r="B543"/>
    </row>
    <row r="544" spans="2:2">
      <c r="B544"/>
    </row>
    <row r="545" spans="2:2">
      <c r="B545"/>
    </row>
    <row r="546" spans="2:2">
      <c r="B546"/>
    </row>
    <row r="547" spans="2:2">
      <c r="B547"/>
    </row>
    <row r="548" spans="2:2">
      <c r="B548"/>
    </row>
    <row r="549" spans="2:2">
      <c r="B549"/>
    </row>
    <row r="550" spans="2:2">
      <c r="B550"/>
    </row>
    <row r="551" spans="2:2">
      <c r="B551"/>
    </row>
    <row r="552" spans="2:2">
      <c r="B552"/>
    </row>
    <row r="553" spans="2:2">
      <c r="B553"/>
    </row>
    <row r="554" spans="2:2">
      <c r="B554"/>
    </row>
    <row r="555" spans="2:2">
      <c r="B555"/>
    </row>
    <row r="556" spans="2:2">
      <c r="B556"/>
    </row>
    <row r="557" spans="2:2">
      <c r="B557"/>
    </row>
    <row r="558" spans="2:2">
      <c r="B558"/>
    </row>
    <row r="559" spans="2:2">
      <c r="B559"/>
    </row>
    <row r="560" spans="2:2">
      <c r="B560"/>
    </row>
    <row r="561" spans="2:2">
      <c r="B561"/>
    </row>
    <row r="562" spans="2:2">
      <c r="B562"/>
    </row>
    <row r="563" spans="2:2">
      <c r="B563"/>
    </row>
    <row r="564" spans="2:2">
      <c r="B564"/>
    </row>
    <row r="565" spans="2:2">
      <c r="B565"/>
    </row>
  </sheetData>
  <conditionalFormatting sqref="B1:B3 B206:B1048576">
    <cfRule type="cellIs" dxfId="81" priority="3" operator="equal">
      <formula>3</formula>
    </cfRule>
  </conditionalFormatting>
  <conditionalFormatting pivot="1" sqref="B4:B204">
    <cfRule type="colorScale" priority="2">
      <colorScale>
        <cfvo type="num" val="1"/>
        <cfvo type="num" val="2"/>
        <cfvo type="num" val="3"/>
        <color theme="5" tint="-0.249977111117893"/>
        <color rgb="FFFFEB84"/>
        <color theme="9" tint="0.39997558519241921"/>
      </colorScale>
    </cfRule>
  </conditionalFormatting>
  <conditionalFormatting sqref="C3:E3">
    <cfRule type="cellIs" dxfId="80" priority="1" operator="equal">
      <formula>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E1D25-6762-854B-9D81-9A4F71ADDB2A}">
  <sheetPr filterMode="1"/>
  <dimension ref="A1:K202"/>
  <sheetViews>
    <sheetView workbookViewId="0">
      <selection activeCell="A16" sqref="A16:A203"/>
    </sheetView>
  </sheetViews>
  <sheetFormatPr baseColWidth="10" defaultColWidth="11.5" defaultRowHeight="15"/>
  <cols>
    <col min="1" max="1" width="34.83203125" bestFit="1" customWidth="1"/>
    <col min="2" max="2" width="25" bestFit="1" customWidth="1"/>
    <col min="3" max="3" width="22.83203125" bestFit="1" customWidth="1"/>
    <col min="4" max="4" width="22.33203125" bestFit="1" customWidth="1"/>
    <col min="5" max="5" width="24" bestFit="1" customWidth="1"/>
    <col min="6" max="6" width="25.33203125" bestFit="1" customWidth="1"/>
    <col min="7" max="7" width="25.1640625" bestFit="1" customWidth="1"/>
    <col min="8" max="8" width="24" bestFit="1" customWidth="1"/>
    <col min="9" max="9" width="28.1640625" bestFit="1" customWidth="1"/>
  </cols>
  <sheetData>
    <row r="1" spans="1:11" ht="48">
      <c r="A1" s="19" t="s">
        <v>14</v>
      </c>
      <c r="B1" s="20" t="s">
        <v>370</v>
      </c>
      <c r="C1" s="20" t="s">
        <v>371</v>
      </c>
      <c r="D1" s="20" t="s">
        <v>372</v>
      </c>
      <c r="E1" s="20" t="s">
        <v>373</v>
      </c>
      <c r="F1" s="20" t="s">
        <v>374</v>
      </c>
      <c r="G1" s="20" t="s">
        <v>375</v>
      </c>
      <c r="H1" s="20" t="s">
        <v>376</v>
      </c>
      <c r="I1" s="20" t="s">
        <v>377</v>
      </c>
      <c r="J1" s="21" t="s">
        <v>378</v>
      </c>
      <c r="K1" s="21" t="s">
        <v>391</v>
      </c>
    </row>
    <row r="2" spans="1:11" hidden="1">
      <c r="A2" t="s">
        <v>201</v>
      </c>
      <c r="B2" s="16">
        <v>3</v>
      </c>
      <c r="C2" s="16">
        <v>20</v>
      </c>
      <c r="D2" s="16">
        <v>16</v>
      </c>
      <c r="E2" s="16">
        <v>18.666666666666668</v>
      </c>
      <c r="F2" s="16">
        <v>8.6666666666666661</v>
      </c>
      <c r="G2" s="16">
        <v>8.6666666666666661</v>
      </c>
      <c r="H2" s="16">
        <v>8.6666666666666661</v>
      </c>
      <c r="I2" s="16">
        <v>8.6666666666666661</v>
      </c>
      <c r="J2" s="16">
        <f>(C2+D2+E2+F2+G2+H2+I2)</f>
        <v>89.333333333333343</v>
      </c>
      <c r="K2" t="str" cm="1">
        <f t="array" ref="K2">_xlfn.IFS(J2&gt;=90,"Excelente",J2&gt;=80,"Muy Bueno",J2&gt;=75,"Bueno",J2&gt;=65,"Regular",J2&gt;=55,"Insuficiente")</f>
        <v>Muy Bueno</v>
      </c>
    </row>
    <row r="3" spans="1:11" hidden="1">
      <c r="A3" t="s">
        <v>326</v>
      </c>
      <c r="B3" s="16">
        <v>3</v>
      </c>
      <c r="C3" s="16">
        <v>18.666666666666668</v>
      </c>
      <c r="D3" s="16">
        <v>17.333333333333332</v>
      </c>
      <c r="E3" s="16">
        <v>16</v>
      </c>
      <c r="F3" s="16">
        <v>8.6666666666666661</v>
      </c>
      <c r="G3" s="16">
        <v>8.6666666666666661</v>
      </c>
      <c r="H3" s="16">
        <v>8</v>
      </c>
      <c r="I3" s="16">
        <v>8.6666666666666661</v>
      </c>
      <c r="J3" s="16">
        <f t="shared" ref="J3:J66" si="0">(C3+D3+E3+F3+G3+H3+I3)</f>
        <v>86</v>
      </c>
      <c r="K3" t="str" cm="1">
        <f t="array" ref="K3">_xlfn.IFS(J3&gt;=90,"Excelente",J3&gt;=80,"Muy Bueno",J3&gt;=75,"Bueno",J3&gt;=65,"Regular",J3&gt;=55,"Insuficiente")</f>
        <v>Muy Bueno</v>
      </c>
    </row>
    <row r="4" spans="1:11" hidden="1">
      <c r="A4" t="s">
        <v>334</v>
      </c>
      <c r="B4" s="16">
        <v>3</v>
      </c>
      <c r="C4" s="16">
        <v>18.666666666666668</v>
      </c>
      <c r="D4" s="16">
        <v>18.666666666666668</v>
      </c>
      <c r="E4" s="16">
        <v>18.666666666666668</v>
      </c>
      <c r="F4" s="16">
        <v>9.3333333333333339</v>
      </c>
      <c r="G4" s="16">
        <v>8.6666666666666661</v>
      </c>
      <c r="H4" s="16">
        <v>8.6666666666666661</v>
      </c>
      <c r="I4" s="16">
        <v>9.3333333333333339</v>
      </c>
      <c r="J4" s="16">
        <f t="shared" si="0"/>
        <v>92</v>
      </c>
      <c r="K4" t="str" cm="1">
        <f t="array" ref="K4">_xlfn.IFS(J4&gt;=90,"Excelente",J4&gt;=80,"Muy Bueno",J4&gt;=75,"Bueno",J4&gt;=65,"Regular",J4&gt;=55,"Insuficiente")</f>
        <v>Excelente</v>
      </c>
    </row>
    <row r="5" spans="1:11" hidden="1">
      <c r="A5" t="s">
        <v>253</v>
      </c>
      <c r="B5" s="16">
        <v>3</v>
      </c>
      <c r="C5" s="16">
        <v>20</v>
      </c>
      <c r="D5" s="16">
        <v>20</v>
      </c>
      <c r="E5" s="16">
        <v>20</v>
      </c>
      <c r="F5" s="16">
        <v>10</v>
      </c>
      <c r="G5" s="16">
        <v>10</v>
      </c>
      <c r="H5" s="16">
        <v>10</v>
      </c>
      <c r="I5" s="16">
        <v>10</v>
      </c>
      <c r="J5" s="16">
        <f t="shared" si="0"/>
        <v>100</v>
      </c>
      <c r="K5" t="str" cm="1">
        <f t="array" ref="K5">_xlfn.IFS(J5&gt;=90,"Excelente",J5&gt;=80,"Muy Bueno",J5&gt;=75,"Bueno",J5&gt;=65,"Regular",J5&gt;=55,"Insuficiente")</f>
        <v>Excelente</v>
      </c>
    </row>
    <row r="6" spans="1:11" hidden="1">
      <c r="A6" t="s">
        <v>329</v>
      </c>
      <c r="B6" s="16">
        <v>3</v>
      </c>
      <c r="C6" s="16">
        <v>20</v>
      </c>
      <c r="D6" s="16">
        <v>18.666666666666668</v>
      </c>
      <c r="E6" s="16">
        <v>18.666666666666668</v>
      </c>
      <c r="F6" s="16">
        <v>10</v>
      </c>
      <c r="G6" s="16">
        <v>10</v>
      </c>
      <c r="H6" s="16">
        <v>8</v>
      </c>
      <c r="I6" s="16">
        <v>10</v>
      </c>
      <c r="J6" s="16">
        <f t="shared" si="0"/>
        <v>95.333333333333343</v>
      </c>
      <c r="K6" t="str" cm="1">
        <f t="array" ref="K6">_xlfn.IFS(J6&gt;=90,"Excelente",J6&gt;=80,"Muy Bueno",J6&gt;=75,"Bueno",J6&gt;=65,"Regular",J6&gt;=55,"Insuficiente")</f>
        <v>Excelente</v>
      </c>
    </row>
    <row r="7" spans="1:11" hidden="1">
      <c r="A7" t="s">
        <v>112</v>
      </c>
      <c r="B7" s="16">
        <v>3</v>
      </c>
      <c r="C7" s="16">
        <v>18.666666666666668</v>
      </c>
      <c r="D7" s="16">
        <v>16</v>
      </c>
      <c r="E7" s="16">
        <v>16</v>
      </c>
      <c r="F7" s="16">
        <v>8.6666666666666661</v>
      </c>
      <c r="G7" s="16">
        <v>10</v>
      </c>
      <c r="H7" s="16">
        <v>7.333333333333333</v>
      </c>
      <c r="I7" s="16">
        <v>9.3333333333333339</v>
      </c>
      <c r="J7" s="16">
        <f t="shared" si="0"/>
        <v>86</v>
      </c>
      <c r="K7" t="str" cm="1">
        <f t="array" ref="K7">_xlfn.IFS(J7&gt;=90,"Excelente",J7&gt;=80,"Muy Bueno",J7&gt;=75,"Bueno",J7&gt;=65,"Regular",J7&gt;=55,"Insuficiente")</f>
        <v>Muy Bueno</v>
      </c>
    </row>
    <row r="8" spans="1:11" hidden="1">
      <c r="A8" t="s">
        <v>283</v>
      </c>
      <c r="B8" s="16">
        <v>3</v>
      </c>
      <c r="C8" s="16">
        <v>20</v>
      </c>
      <c r="D8" s="16">
        <v>20</v>
      </c>
      <c r="E8" s="16">
        <v>18.666666666666668</v>
      </c>
      <c r="F8" s="16">
        <v>10</v>
      </c>
      <c r="G8" s="16">
        <v>10</v>
      </c>
      <c r="H8" s="16">
        <v>10</v>
      </c>
      <c r="I8" s="16">
        <v>10</v>
      </c>
      <c r="J8" s="16">
        <f t="shared" si="0"/>
        <v>98.666666666666671</v>
      </c>
      <c r="K8" t="str" cm="1">
        <f t="array" ref="K8">_xlfn.IFS(J8&gt;=90,"Excelente",J8&gt;=80,"Muy Bueno",J8&gt;=75,"Bueno",J8&gt;=65,"Regular",J8&gt;=55,"Insuficiente")</f>
        <v>Excelente</v>
      </c>
    </row>
    <row r="9" spans="1:11" hidden="1">
      <c r="A9" t="s">
        <v>289</v>
      </c>
      <c r="B9" s="16">
        <v>3</v>
      </c>
      <c r="C9" s="16">
        <v>20</v>
      </c>
      <c r="D9" s="16">
        <v>18.666666666666668</v>
      </c>
      <c r="E9" s="16">
        <v>20</v>
      </c>
      <c r="F9" s="16">
        <v>10</v>
      </c>
      <c r="G9" s="16">
        <v>10</v>
      </c>
      <c r="H9" s="16">
        <v>9.3333333333333339</v>
      </c>
      <c r="I9" s="16">
        <v>10</v>
      </c>
      <c r="J9" s="16">
        <f t="shared" si="0"/>
        <v>98</v>
      </c>
      <c r="K9" t="str" cm="1">
        <f t="array" ref="K9">_xlfn.IFS(J9&gt;=90,"Excelente",J9&gt;=80,"Muy Bueno",J9&gt;=75,"Bueno",J9&gt;=65,"Regular",J9&gt;=55,"Insuficiente")</f>
        <v>Excelente</v>
      </c>
    </row>
    <row r="10" spans="1:11" hidden="1">
      <c r="A10" t="s">
        <v>183</v>
      </c>
      <c r="B10" s="16">
        <v>3</v>
      </c>
      <c r="C10" s="16">
        <v>20</v>
      </c>
      <c r="D10" s="16">
        <v>20</v>
      </c>
      <c r="E10" s="16">
        <v>20</v>
      </c>
      <c r="F10" s="16">
        <v>9.3333333333333339</v>
      </c>
      <c r="G10" s="16">
        <v>8.6666666666666661</v>
      </c>
      <c r="H10" s="16">
        <v>8.6666666666666661</v>
      </c>
      <c r="I10" s="16">
        <v>9.3333333333333339</v>
      </c>
      <c r="J10" s="16">
        <f t="shared" si="0"/>
        <v>96</v>
      </c>
      <c r="K10" t="str" cm="1">
        <f t="array" ref="K10">_xlfn.IFS(J10&gt;=90,"Excelente",J10&gt;=80,"Muy Bueno",J10&gt;=75,"Bueno",J10&gt;=65,"Regular",J10&gt;=55,"Insuficiente")</f>
        <v>Excelente</v>
      </c>
    </row>
    <row r="11" spans="1:11" hidden="1">
      <c r="A11" t="s">
        <v>162</v>
      </c>
      <c r="B11" s="16">
        <v>3</v>
      </c>
      <c r="C11" s="16">
        <v>20</v>
      </c>
      <c r="D11" s="16">
        <v>20</v>
      </c>
      <c r="E11" s="16">
        <v>20</v>
      </c>
      <c r="F11" s="16">
        <v>10</v>
      </c>
      <c r="G11" s="16">
        <v>10</v>
      </c>
      <c r="H11" s="16">
        <v>10</v>
      </c>
      <c r="I11" s="16">
        <v>10</v>
      </c>
      <c r="J11" s="16">
        <f t="shared" si="0"/>
        <v>100</v>
      </c>
      <c r="K11" t="str" cm="1">
        <f t="array" ref="K11">_xlfn.IFS(J11&gt;=90,"Excelente",J11&gt;=80,"Muy Bueno",J11&gt;=75,"Bueno",J11&gt;=65,"Regular",J11&gt;=55,"Insuficiente")</f>
        <v>Excelente</v>
      </c>
    </row>
    <row r="12" spans="1:11" hidden="1">
      <c r="A12" t="s">
        <v>135</v>
      </c>
      <c r="B12" s="16">
        <v>3</v>
      </c>
      <c r="C12" s="16">
        <v>20</v>
      </c>
      <c r="D12" s="16">
        <v>20</v>
      </c>
      <c r="E12" s="16">
        <v>20</v>
      </c>
      <c r="F12" s="16">
        <v>9.3333333333333339</v>
      </c>
      <c r="G12" s="16">
        <v>8.6666666666666661</v>
      </c>
      <c r="H12" s="16">
        <v>9.3333333333333339</v>
      </c>
      <c r="I12" s="16">
        <v>10</v>
      </c>
      <c r="J12" s="16">
        <f t="shared" si="0"/>
        <v>97.333333333333329</v>
      </c>
      <c r="K12" t="str" cm="1">
        <f t="array" ref="K12">_xlfn.IFS(J12&gt;=90,"Excelente",J12&gt;=80,"Muy Bueno",J12&gt;=75,"Bueno",J12&gt;=65,"Regular",J12&gt;=55,"Insuficiente")</f>
        <v>Excelente</v>
      </c>
    </row>
    <row r="13" spans="1:11" hidden="1">
      <c r="A13" t="s">
        <v>293</v>
      </c>
      <c r="B13" s="16">
        <v>3</v>
      </c>
      <c r="C13" s="16">
        <v>20</v>
      </c>
      <c r="D13" s="16">
        <v>20</v>
      </c>
      <c r="E13" s="16">
        <v>20</v>
      </c>
      <c r="F13" s="16">
        <v>10</v>
      </c>
      <c r="G13" s="16">
        <v>10</v>
      </c>
      <c r="H13" s="16">
        <v>10</v>
      </c>
      <c r="I13" s="16">
        <v>10</v>
      </c>
      <c r="J13" s="16">
        <f t="shared" si="0"/>
        <v>100</v>
      </c>
      <c r="K13" t="str" cm="1">
        <f t="array" ref="K13">_xlfn.IFS(J13&gt;=90,"Excelente",J13&gt;=80,"Muy Bueno",J13&gt;=75,"Bueno",J13&gt;=65,"Regular",J13&gt;=55,"Insuficiente")</f>
        <v>Excelente</v>
      </c>
    </row>
    <row r="14" spans="1:11" hidden="1">
      <c r="A14" t="s">
        <v>268</v>
      </c>
      <c r="B14" s="16">
        <v>3</v>
      </c>
      <c r="C14" s="16">
        <v>20</v>
      </c>
      <c r="D14" s="16">
        <v>20</v>
      </c>
      <c r="E14" s="16">
        <v>20</v>
      </c>
      <c r="F14" s="16">
        <v>9.3333333333333339</v>
      </c>
      <c r="G14" s="16">
        <v>10</v>
      </c>
      <c r="H14" s="16">
        <v>8.6666666666666661</v>
      </c>
      <c r="I14" s="16">
        <v>10</v>
      </c>
      <c r="J14" s="16">
        <f t="shared" si="0"/>
        <v>98</v>
      </c>
      <c r="K14" t="str" cm="1">
        <f t="array" ref="K14">_xlfn.IFS(J14&gt;=90,"Excelente",J14&gt;=80,"Muy Bueno",J14&gt;=75,"Bueno",J14&gt;=65,"Regular",J14&gt;=55,"Insuficiente")</f>
        <v>Excelente</v>
      </c>
    </row>
    <row r="15" spans="1:11" hidden="1">
      <c r="A15" t="s">
        <v>217</v>
      </c>
      <c r="B15" s="16">
        <v>3</v>
      </c>
      <c r="C15" s="16">
        <v>20</v>
      </c>
      <c r="D15" s="16">
        <v>20</v>
      </c>
      <c r="E15" s="16">
        <v>18.666666666666668</v>
      </c>
      <c r="F15" s="16">
        <v>9.3333333333333339</v>
      </c>
      <c r="G15" s="16">
        <v>9.3333333333333339</v>
      </c>
      <c r="H15" s="16">
        <v>10</v>
      </c>
      <c r="I15" s="16">
        <v>9.3333333333333339</v>
      </c>
      <c r="J15" s="16">
        <f t="shared" si="0"/>
        <v>96.666666666666657</v>
      </c>
      <c r="K15" t="str" cm="1">
        <f t="array" ref="K15">_xlfn.IFS(J15&gt;=90,"Excelente",J15&gt;=80,"Muy Bueno",J15&gt;=75,"Bueno",J15&gt;=65,"Regular",J15&gt;=55,"Insuficiente")</f>
        <v>Excelente</v>
      </c>
    </row>
    <row r="16" spans="1:11">
      <c r="A16" t="s">
        <v>319</v>
      </c>
      <c r="B16" s="16">
        <v>3</v>
      </c>
      <c r="C16" s="16">
        <v>20</v>
      </c>
      <c r="D16" s="16">
        <v>20</v>
      </c>
      <c r="E16" s="16">
        <v>20</v>
      </c>
      <c r="F16" s="16">
        <v>10</v>
      </c>
      <c r="G16" s="16">
        <v>10</v>
      </c>
      <c r="H16" s="16">
        <v>8.6666666666666661</v>
      </c>
      <c r="I16" s="16">
        <v>10</v>
      </c>
      <c r="J16" s="16">
        <f t="shared" si="0"/>
        <v>98.666666666666671</v>
      </c>
      <c r="K16" t="str" cm="1">
        <f t="array" ref="K16">_xlfn.IFS(J16&gt;=90,"Excelente",J16&gt;=80,"Muy Bueno",J16&gt;=75,"Bueno",J16&gt;=65,"Regular",J16&gt;=55,"Insuficiente")</f>
        <v>Excelente</v>
      </c>
    </row>
    <row r="17" spans="1:11" hidden="1">
      <c r="A17" t="s">
        <v>300</v>
      </c>
      <c r="B17" s="16">
        <v>3</v>
      </c>
      <c r="C17" s="16">
        <v>18.666666666666668</v>
      </c>
      <c r="D17" s="16">
        <v>18.666666666666668</v>
      </c>
      <c r="E17" s="16">
        <v>18.666666666666668</v>
      </c>
      <c r="F17" s="16">
        <v>9.3333333333333339</v>
      </c>
      <c r="G17" s="16">
        <v>9.3333333333333339</v>
      </c>
      <c r="H17" s="16">
        <v>8.6666666666666661</v>
      </c>
      <c r="I17" s="16">
        <v>9.3333333333333339</v>
      </c>
      <c r="J17" s="16">
        <f t="shared" si="0"/>
        <v>92.666666666666657</v>
      </c>
      <c r="K17" t="str" cm="1">
        <f t="array" ref="K17">_xlfn.IFS(J17&gt;=90,"Excelente",J17&gt;=80,"Muy Bueno",J17&gt;=75,"Bueno",J17&gt;=65,"Regular",J17&gt;=55,"Insuficiente")</f>
        <v>Excelente</v>
      </c>
    </row>
    <row r="18" spans="1:11" hidden="1">
      <c r="A18" t="s">
        <v>142</v>
      </c>
      <c r="B18" s="16">
        <v>3</v>
      </c>
      <c r="C18" s="16">
        <v>20</v>
      </c>
      <c r="D18" s="16">
        <v>20</v>
      </c>
      <c r="E18" s="16">
        <v>20</v>
      </c>
      <c r="F18" s="16">
        <v>10</v>
      </c>
      <c r="G18" s="16">
        <v>10</v>
      </c>
      <c r="H18" s="16">
        <v>9.3333333333333339</v>
      </c>
      <c r="I18" s="16">
        <v>10</v>
      </c>
      <c r="J18" s="16">
        <f t="shared" si="0"/>
        <v>99.333333333333329</v>
      </c>
      <c r="K18" t="str" cm="1">
        <f t="array" ref="K18">_xlfn.IFS(J18&gt;=90,"Excelente",J18&gt;=80,"Muy Bueno",J18&gt;=75,"Bueno",J18&gt;=65,"Regular",J18&gt;=55,"Insuficiente")</f>
        <v>Excelente</v>
      </c>
    </row>
    <row r="19" spans="1:11" hidden="1">
      <c r="A19" t="s">
        <v>250</v>
      </c>
      <c r="B19" s="16">
        <v>3</v>
      </c>
      <c r="C19" s="16">
        <v>20</v>
      </c>
      <c r="D19" s="16">
        <v>18.666666666666668</v>
      </c>
      <c r="E19" s="16">
        <v>20</v>
      </c>
      <c r="F19" s="16">
        <v>6</v>
      </c>
      <c r="G19" s="16">
        <v>10</v>
      </c>
      <c r="H19" s="16">
        <v>8.6666666666666661</v>
      </c>
      <c r="I19" s="16">
        <v>9.3333333333333339</v>
      </c>
      <c r="J19" s="16">
        <f t="shared" si="0"/>
        <v>92.666666666666671</v>
      </c>
      <c r="K19" t="str" cm="1">
        <f t="array" ref="K19">_xlfn.IFS(J19&gt;=90,"Excelente",J19&gt;=80,"Muy Bueno",J19&gt;=75,"Bueno",J19&gt;=65,"Regular",J19&gt;=55,"Insuficiente")</f>
        <v>Excelente</v>
      </c>
    </row>
    <row r="20" spans="1:11" hidden="1">
      <c r="A20" t="s">
        <v>170</v>
      </c>
      <c r="B20" s="16">
        <v>3</v>
      </c>
      <c r="C20" s="16">
        <v>17.333333333333332</v>
      </c>
      <c r="D20" s="16">
        <v>18.666666666666668</v>
      </c>
      <c r="E20" s="16">
        <v>16</v>
      </c>
      <c r="F20" s="16">
        <v>9.3333333333333339</v>
      </c>
      <c r="G20" s="16">
        <v>8</v>
      </c>
      <c r="H20" s="16">
        <v>7.333333333333333</v>
      </c>
      <c r="I20" s="16">
        <v>9.3333333333333339</v>
      </c>
      <c r="J20" s="16">
        <f t="shared" si="0"/>
        <v>86</v>
      </c>
      <c r="K20" t="str" cm="1">
        <f t="array" ref="K20">_xlfn.IFS(J20&gt;=90,"Excelente",J20&gt;=80,"Muy Bueno",J20&gt;=75,"Bueno",J20&gt;=65,"Regular",J20&gt;=55,"Insuficiente")</f>
        <v>Muy Bueno</v>
      </c>
    </row>
    <row r="21" spans="1:11" hidden="1">
      <c r="A21" t="s">
        <v>237</v>
      </c>
      <c r="B21" s="16">
        <v>3</v>
      </c>
      <c r="C21" s="16">
        <v>18.666666666666668</v>
      </c>
      <c r="D21" s="16">
        <v>18.666666666666668</v>
      </c>
      <c r="E21" s="16">
        <v>17.333333333333332</v>
      </c>
      <c r="F21" s="16">
        <v>8</v>
      </c>
      <c r="G21" s="16">
        <v>8.6666666666666661</v>
      </c>
      <c r="H21" s="16">
        <v>7.333333333333333</v>
      </c>
      <c r="I21" s="16">
        <v>8</v>
      </c>
      <c r="J21" s="16">
        <f t="shared" si="0"/>
        <v>86.666666666666671</v>
      </c>
      <c r="K21" t="str" cm="1">
        <f t="array" ref="K21">_xlfn.IFS(J21&gt;=90,"Excelente",J21&gt;=80,"Muy Bueno",J21&gt;=75,"Bueno",J21&gt;=65,"Regular",J21&gt;=55,"Insuficiente")</f>
        <v>Muy Bueno</v>
      </c>
    </row>
    <row r="22" spans="1:11" hidden="1">
      <c r="A22" t="s">
        <v>121</v>
      </c>
      <c r="B22" s="16">
        <v>3</v>
      </c>
      <c r="C22" s="16">
        <v>20</v>
      </c>
      <c r="D22" s="16">
        <v>20</v>
      </c>
      <c r="E22" s="16">
        <v>20</v>
      </c>
      <c r="F22" s="16">
        <v>10</v>
      </c>
      <c r="G22" s="16">
        <v>9.3333333333333339</v>
      </c>
      <c r="H22" s="16">
        <v>8.6666666666666661</v>
      </c>
      <c r="I22" s="16">
        <v>10</v>
      </c>
      <c r="J22" s="16">
        <f t="shared" si="0"/>
        <v>98</v>
      </c>
      <c r="K22" t="str" cm="1">
        <f t="array" ref="K22">_xlfn.IFS(J22&gt;=90,"Excelente",J22&gt;=80,"Muy Bueno",J22&gt;=75,"Bueno",J22&gt;=65,"Regular",J22&gt;=55,"Insuficiente")</f>
        <v>Excelente</v>
      </c>
    </row>
    <row r="23" spans="1:11" hidden="1">
      <c r="A23" t="s">
        <v>141</v>
      </c>
      <c r="B23" s="16">
        <v>3</v>
      </c>
      <c r="C23" s="16">
        <v>18.666666666666668</v>
      </c>
      <c r="D23" s="16">
        <v>18.666666666666668</v>
      </c>
      <c r="E23" s="16">
        <v>18.666666666666668</v>
      </c>
      <c r="F23" s="16">
        <v>10</v>
      </c>
      <c r="G23" s="16">
        <v>9.3333333333333339</v>
      </c>
      <c r="H23" s="16">
        <v>9.3333333333333339</v>
      </c>
      <c r="I23" s="16">
        <v>9.3333333333333339</v>
      </c>
      <c r="J23" s="16">
        <f t="shared" si="0"/>
        <v>93.999999999999986</v>
      </c>
      <c r="K23" t="str" cm="1">
        <f t="array" ref="K23">_xlfn.IFS(J23&gt;=90,"Excelente",J23&gt;=80,"Muy Bueno",J23&gt;=75,"Bueno",J23&gt;=65,"Regular",J23&gt;=55,"Insuficiente")</f>
        <v>Excelente</v>
      </c>
    </row>
    <row r="24" spans="1:11" hidden="1">
      <c r="A24" t="s">
        <v>265</v>
      </c>
      <c r="B24" s="16">
        <v>3</v>
      </c>
      <c r="C24" s="16">
        <v>18.666666666666668</v>
      </c>
      <c r="D24" s="16">
        <v>18.666666666666668</v>
      </c>
      <c r="E24" s="16">
        <v>18.666666666666668</v>
      </c>
      <c r="F24" s="16">
        <v>8</v>
      </c>
      <c r="G24" s="16">
        <v>8.6666666666666661</v>
      </c>
      <c r="H24" s="16">
        <v>9.3333333333333339</v>
      </c>
      <c r="I24" s="16">
        <v>9.3333333333333339</v>
      </c>
      <c r="J24" s="16">
        <f t="shared" si="0"/>
        <v>91.333333333333329</v>
      </c>
      <c r="K24" t="str" cm="1">
        <f t="array" ref="K24">_xlfn.IFS(J24&gt;=90,"Excelente",J24&gt;=80,"Muy Bueno",J24&gt;=75,"Bueno",J24&gt;=65,"Regular",J24&gt;=55,"Insuficiente")</f>
        <v>Excelente</v>
      </c>
    </row>
    <row r="25" spans="1:11" hidden="1">
      <c r="A25" t="s">
        <v>198</v>
      </c>
      <c r="B25" s="16">
        <v>3</v>
      </c>
      <c r="C25" s="16">
        <v>20</v>
      </c>
      <c r="D25" s="16">
        <v>20</v>
      </c>
      <c r="E25" s="16">
        <v>20</v>
      </c>
      <c r="F25" s="16">
        <v>9.3333333333333339</v>
      </c>
      <c r="G25" s="16">
        <v>9.3333333333333339</v>
      </c>
      <c r="H25" s="16">
        <v>10</v>
      </c>
      <c r="I25" s="16">
        <v>10</v>
      </c>
      <c r="J25" s="16">
        <f t="shared" si="0"/>
        <v>98.666666666666657</v>
      </c>
      <c r="K25" t="str" cm="1">
        <f t="array" ref="K25">_xlfn.IFS(J25&gt;=90,"Excelente",J25&gt;=80,"Muy Bueno",J25&gt;=75,"Bueno",J25&gt;=65,"Regular",J25&gt;=55,"Insuficiente")</f>
        <v>Excelente</v>
      </c>
    </row>
    <row r="26" spans="1:11" hidden="1">
      <c r="A26" t="s">
        <v>139</v>
      </c>
      <c r="B26" s="16">
        <v>3</v>
      </c>
      <c r="C26" s="16">
        <v>18.666666666666668</v>
      </c>
      <c r="D26" s="16">
        <v>18.666666666666668</v>
      </c>
      <c r="E26" s="16">
        <v>18.666666666666668</v>
      </c>
      <c r="F26" s="16">
        <v>10</v>
      </c>
      <c r="G26" s="16">
        <v>9.3333333333333339</v>
      </c>
      <c r="H26" s="16">
        <v>9.3333333333333339</v>
      </c>
      <c r="I26" s="16">
        <v>9.3333333333333339</v>
      </c>
      <c r="J26" s="16">
        <f t="shared" si="0"/>
        <v>93.999999999999986</v>
      </c>
      <c r="K26" t="str" cm="1">
        <f t="array" ref="K26">_xlfn.IFS(J26&gt;=90,"Excelente",J26&gt;=80,"Muy Bueno",J26&gt;=75,"Bueno",J26&gt;=65,"Regular",J26&gt;=55,"Insuficiente")</f>
        <v>Excelente</v>
      </c>
    </row>
    <row r="27" spans="1:11" hidden="1">
      <c r="A27" t="s">
        <v>57</v>
      </c>
      <c r="B27" s="16">
        <v>3</v>
      </c>
      <c r="C27" s="16">
        <v>20</v>
      </c>
      <c r="D27" s="16">
        <v>20</v>
      </c>
      <c r="E27" s="16">
        <v>18.666666666666668</v>
      </c>
      <c r="F27" s="16">
        <v>8.6666666666666661</v>
      </c>
      <c r="G27" s="16">
        <v>9.3333333333333339</v>
      </c>
      <c r="H27" s="16">
        <v>8.6666666666666661</v>
      </c>
      <c r="I27" s="16">
        <v>9.3333333333333339</v>
      </c>
      <c r="J27" s="16">
        <f t="shared" si="0"/>
        <v>94.666666666666671</v>
      </c>
      <c r="K27" t="str" cm="1">
        <f t="array" ref="K27">_xlfn.IFS(J27&gt;=90,"Excelente",J27&gt;=80,"Muy Bueno",J27&gt;=75,"Bueno",J27&gt;=65,"Regular",J27&gt;=55,"Insuficiente")</f>
        <v>Excelente</v>
      </c>
    </row>
    <row r="28" spans="1:11" hidden="1">
      <c r="A28" t="s">
        <v>304</v>
      </c>
      <c r="B28" s="16">
        <v>3</v>
      </c>
      <c r="C28" s="16">
        <v>20</v>
      </c>
      <c r="D28" s="16">
        <v>20</v>
      </c>
      <c r="E28" s="16">
        <v>20</v>
      </c>
      <c r="F28" s="16">
        <v>10</v>
      </c>
      <c r="G28" s="16">
        <v>9.3333333333333339</v>
      </c>
      <c r="H28" s="16">
        <v>10</v>
      </c>
      <c r="I28" s="16">
        <v>10</v>
      </c>
      <c r="J28" s="16">
        <f t="shared" si="0"/>
        <v>99.333333333333329</v>
      </c>
      <c r="K28" t="str" cm="1">
        <f t="array" ref="K28">_xlfn.IFS(J28&gt;=90,"Excelente",J28&gt;=80,"Muy Bueno",J28&gt;=75,"Bueno",J28&gt;=65,"Regular",J28&gt;=55,"Insuficiente")</f>
        <v>Excelente</v>
      </c>
    </row>
    <row r="29" spans="1:11" hidden="1">
      <c r="A29" t="s">
        <v>216</v>
      </c>
      <c r="B29" s="16">
        <v>3</v>
      </c>
      <c r="C29" s="16">
        <v>20</v>
      </c>
      <c r="D29" s="16">
        <v>20</v>
      </c>
      <c r="E29" s="16">
        <v>18.666666666666668</v>
      </c>
      <c r="F29" s="16">
        <v>9.3333333333333339</v>
      </c>
      <c r="G29" s="16">
        <v>9.3333333333333339</v>
      </c>
      <c r="H29" s="16">
        <v>10</v>
      </c>
      <c r="I29" s="16">
        <v>9.3333333333333339</v>
      </c>
      <c r="J29" s="16">
        <f t="shared" si="0"/>
        <v>96.666666666666657</v>
      </c>
      <c r="K29" t="str" cm="1">
        <f t="array" ref="K29">_xlfn.IFS(J29&gt;=90,"Excelente",J29&gt;=80,"Muy Bueno",J29&gt;=75,"Bueno",J29&gt;=65,"Regular",J29&gt;=55,"Insuficiente")</f>
        <v>Excelente</v>
      </c>
    </row>
    <row r="30" spans="1:11" hidden="1">
      <c r="A30" t="s">
        <v>256</v>
      </c>
      <c r="B30" s="16">
        <v>3</v>
      </c>
      <c r="C30" s="16">
        <v>20</v>
      </c>
      <c r="D30" s="16">
        <v>18.666666666666668</v>
      </c>
      <c r="E30" s="16">
        <v>18.666666666666668</v>
      </c>
      <c r="F30" s="16">
        <v>10</v>
      </c>
      <c r="G30" s="16">
        <v>10</v>
      </c>
      <c r="H30" s="16">
        <v>7.333333333333333</v>
      </c>
      <c r="I30" s="16">
        <v>9.3333333333333339</v>
      </c>
      <c r="J30" s="16">
        <f t="shared" si="0"/>
        <v>94</v>
      </c>
      <c r="K30" t="str" cm="1">
        <f t="array" ref="K30">_xlfn.IFS(J30&gt;=90,"Excelente",J30&gt;=80,"Muy Bueno",J30&gt;=75,"Bueno",J30&gt;=65,"Regular",J30&gt;=55,"Insuficiente")</f>
        <v>Excelente</v>
      </c>
    </row>
    <row r="31" spans="1:11" hidden="1">
      <c r="A31" t="s">
        <v>291</v>
      </c>
      <c r="B31" s="16">
        <v>3</v>
      </c>
      <c r="C31" s="16">
        <v>17.333333333333332</v>
      </c>
      <c r="D31" s="16">
        <v>17.333333333333332</v>
      </c>
      <c r="E31" s="16">
        <v>17.333333333333332</v>
      </c>
      <c r="F31" s="16">
        <v>9.3333333333333339</v>
      </c>
      <c r="G31" s="16">
        <v>8</v>
      </c>
      <c r="H31" s="16">
        <v>9.3333333333333339</v>
      </c>
      <c r="I31" s="16">
        <v>8.6666666666666661</v>
      </c>
      <c r="J31" s="16">
        <f t="shared" si="0"/>
        <v>87.333333333333343</v>
      </c>
      <c r="K31" t="str" cm="1">
        <f t="array" ref="K31">_xlfn.IFS(J31&gt;=90,"Excelente",J31&gt;=80,"Muy Bueno",J31&gt;=75,"Bueno",J31&gt;=65,"Regular",J31&gt;=55,"Insuficiente")</f>
        <v>Muy Bueno</v>
      </c>
    </row>
    <row r="32" spans="1:11" hidden="1">
      <c r="A32" t="s">
        <v>273</v>
      </c>
      <c r="B32" s="16">
        <v>3</v>
      </c>
      <c r="C32" s="16">
        <v>18.666666666666668</v>
      </c>
      <c r="D32" s="16">
        <v>17.333333333333332</v>
      </c>
      <c r="E32" s="16">
        <v>17.333333333333332</v>
      </c>
      <c r="F32" s="16">
        <v>7.333333333333333</v>
      </c>
      <c r="G32" s="16">
        <v>8</v>
      </c>
      <c r="H32" s="16">
        <v>6.666666666666667</v>
      </c>
      <c r="I32" s="16">
        <v>8.6666666666666661</v>
      </c>
      <c r="J32" s="16">
        <f t="shared" si="0"/>
        <v>84</v>
      </c>
      <c r="K32" t="str" cm="1">
        <f t="array" ref="K32">_xlfn.IFS(J32&gt;=90,"Excelente",J32&gt;=80,"Muy Bueno",J32&gt;=75,"Bueno",J32&gt;=65,"Regular",J32&gt;=55,"Insuficiente")</f>
        <v>Muy Bueno</v>
      </c>
    </row>
    <row r="33" spans="1:11" hidden="1">
      <c r="A33" t="s">
        <v>177</v>
      </c>
      <c r="B33" s="16">
        <v>3</v>
      </c>
      <c r="C33" s="16">
        <v>20</v>
      </c>
      <c r="D33" s="16">
        <v>17.333333333333332</v>
      </c>
      <c r="E33" s="16">
        <v>17.333333333333332</v>
      </c>
      <c r="F33" s="16">
        <v>10</v>
      </c>
      <c r="G33" s="16">
        <v>10</v>
      </c>
      <c r="H33" s="16">
        <v>8.6666666666666661</v>
      </c>
      <c r="I33" s="16">
        <v>8.6666666666666661</v>
      </c>
      <c r="J33" s="16">
        <f t="shared" si="0"/>
        <v>92</v>
      </c>
      <c r="K33" t="str" cm="1">
        <f t="array" ref="K33">_xlfn.IFS(J33&gt;=90,"Excelente",J33&gt;=80,"Muy Bueno",J33&gt;=75,"Bueno",J33&gt;=65,"Regular",J33&gt;=55,"Insuficiente")</f>
        <v>Excelente</v>
      </c>
    </row>
    <row r="34" spans="1:11" hidden="1">
      <c r="A34" t="s">
        <v>189</v>
      </c>
      <c r="B34" s="16">
        <v>3</v>
      </c>
      <c r="C34" s="16">
        <v>20</v>
      </c>
      <c r="D34" s="16">
        <v>18.666666666666668</v>
      </c>
      <c r="E34" s="16">
        <v>20</v>
      </c>
      <c r="F34" s="16">
        <v>9.3333333333333339</v>
      </c>
      <c r="G34" s="16">
        <v>10</v>
      </c>
      <c r="H34" s="16">
        <v>10</v>
      </c>
      <c r="I34" s="16">
        <v>9.3333333333333339</v>
      </c>
      <c r="J34" s="16">
        <f t="shared" si="0"/>
        <v>97.333333333333329</v>
      </c>
      <c r="K34" t="str" cm="1">
        <f t="array" ref="K34">_xlfn.IFS(J34&gt;=90,"Excelente",J34&gt;=80,"Muy Bueno",J34&gt;=75,"Bueno",J34&gt;=65,"Regular",J34&gt;=55,"Insuficiente")</f>
        <v>Excelente</v>
      </c>
    </row>
    <row r="35" spans="1:11" hidden="1">
      <c r="A35" t="s">
        <v>128</v>
      </c>
      <c r="B35" s="16">
        <v>3</v>
      </c>
      <c r="C35" s="16">
        <v>20</v>
      </c>
      <c r="D35" s="16">
        <v>20</v>
      </c>
      <c r="E35" s="16">
        <v>18.666666666666668</v>
      </c>
      <c r="F35" s="16">
        <v>10</v>
      </c>
      <c r="G35" s="16">
        <v>9.3333333333333339</v>
      </c>
      <c r="H35" s="16">
        <v>8.6666666666666661</v>
      </c>
      <c r="I35" s="16">
        <v>9.3333333333333339</v>
      </c>
      <c r="J35" s="16">
        <f t="shared" si="0"/>
        <v>96</v>
      </c>
      <c r="K35" t="str" cm="1">
        <f t="array" ref="K35">_xlfn.IFS(J35&gt;=90,"Excelente",J35&gt;=80,"Muy Bueno",J35&gt;=75,"Bueno",J35&gt;=65,"Regular",J35&gt;=55,"Insuficiente")</f>
        <v>Excelente</v>
      </c>
    </row>
    <row r="36" spans="1:11" hidden="1">
      <c r="A36" t="s">
        <v>335</v>
      </c>
      <c r="B36" s="16">
        <v>3</v>
      </c>
      <c r="C36" s="16">
        <v>18.666666666666668</v>
      </c>
      <c r="D36" s="16">
        <v>18.666666666666668</v>
      </c>
      <c r="E36" s="16">
        <v>17.333333333333332</v>
      </c>
      <c r="F36" s="16">
        <v>9.3333333333333339</v>
      </c>
      <c r="G36" s="16">
        <v>9.3333333333333339</v>
      </c>
      <c r="H36" s="16">
        <v>8.6666666666666661</v>
      </c>
      <c r="I36" s="16">
        <v>9.3333333333333339</v>
      </c>
      <c r="J36" s="16">
        <f t="shared" si="0"/>
        <v>91.333333333333329</v>
      </c>
      <c r="K36" t="str" cm="1">
        <f t="array" ref="K36">_xlfn.IFS(J36&gt;=90,"Excelente",J36&gt;=80,"Muy Bueno",J36&gt;=75,"Bueno",J36&gt;=65,"Regular",J36&gt;=55,"Insuficiente")</f>
        <v>Excelente</v>
      </c>
    </row>
    <row r="37" spans="1:11" hidden="1">
      <c r="A37" t="s">
        <v>292</v>
      </c>
      <c r="B37" s="16">
        <v>3</v>
      </c>
      <c r="C37" s="16">
        <v>20</v>
      </c>
      <c r="D37" s="16">
        <v>18.666666666666668</v>
      </c>
      <c r="E37" s="16">
        <v>20</v>
      </c>
      <c r="F37" s="16">
        <v>10</v>
      </c>
      <c r="G37" s="16">
        <v>10</v>
      </c>
      <c r="H37" s="16">
        <v>9.3333333333333339</v>
      </c>
      <c r="I37" s="16">
        <v>9.3333333333333339</v>
      </c>
      <c r="J37" s="16">
        <f t="shared" si="0"/>
        <v>97.333333333333329</v>
      </c>
      <c r="K37" t="str" cm="1">
        <f t="array" ref="K37">_xlfn.IFS(J37&gt;=90,"Excelente",J37&gt;=80,"Muy Bueno",J37&gt;=75,"Bueno",J37&gt;=65,"Regular",J37&gt;=55,"Insuficiente")</f>
        <v>Excelente</v>
      </c>
    </row>
    <row r="38" spans="1:11" hidden="1">
      <c r="A38" t="s">
        <v>186</v>
      </c>
      <c r="B38" s="16">
        <v>3</v>
      </c>
      <c r="C38" s="16">
        <v>20</v>
      </c>
      <c r="D38" s="16">
        <v>20</v>
      </c>
      <c r="E38" s="16">
        <v>20</v>
      </c>
      <c r="F38" s="16">
        <v>9.3333333333333339</v>
      </c>
      <c r="G38" s="16">
        <v>8.6666666666666661</v>
      </c>
      <c r="H38" s="16">
        <v>9.3333333333333339</v>
      </c>
      <c r="I38" s="16">
        <v>9.3333333333333339</v>
      </c>
      <c r="J38" s="16">
        <f t="shared" si="0"/>
        <v>96.666666666666657</v>
      </c>
      <c r="K38" t="str" cm="1">
        <f t="array" ref="K38">_xlfn.IFS(J38&gt;=90,"Excelente",J38&gt;=80,"Muy Bueno",J38&gt;=75,"Bueno",J38&gt;=65,"Regular",J38&gt;=55,"Insuficiente")</f>
        <v>Excelente</v>
      </c>
    </row>
    <row r="39" spans="1:11" hidden="1">
      <c r="A39" t="s">
        <v>221</v>
      </c>
      <c r="B39" s="16">
        <v>3</v>
      </c>
      <c r="C39" s="16">
        <v>16</v>
      </c>
      <c r="D39" s="16">
        <v>13.333333333333334</v>
      </c>
      <c r="E39" s="16">
        <v>12</v>
      </c>
      <c r="F39" s="16">
        <v>8.6666666666666661</v>
      </c>
      <c r="G39" s="16">
        <v>8</v>
      </c>
      <c r="H39" s="16">
        <v>6.666666666666667</v>
      </c>
      <c r="I39" s="16">
        <v>6.666666666666667</v>
      </c>
      <c r="J39" s="16">
        <f t="shared" si="0"/>
        <v>71.333333333333343</v>
      </c>
      <c r="K39" t="str" cm="1">
        <f t="array" ref="K39">_xlfn.IFS(J39&gt;=90,"Excelente",J39&gt;=80,"Muy Bueno",J39&gt;=75,"Bueno",J39&gt;=65,"Regular",J39&gt;=55,"Insuficiente")</f>
        <v>Regular</v>
      </c>
    </row>
    <row r="40" spans="1:11" hidden="1">
      <c r="A40" t="s">
        <v>113</v>
      </c>
      <c r="B40" s="16">
        <v>3</v>
      </c>
      <c r="C40" s="16">
        <v>17.333333333333332</v>
      </c>
      <c r="D40" s="16">
        <v>18.666666666666668</v>
      </c>
      <c r="E40" s="16">
        <v>18.666666666666668</v>
      </c>
      <c r="F40" s="16">
        <v>9.3333333333333339</v>
      </c>
      <c r="G40" s="16">
        <v>9.3333333333333339</v>
      </c>
      <c r="H40" s="16">
        <v>9.3333333333333339</v>
      </c>
      <c r="I40" s="16">
        <v>8.6666666666666661</v>
      </c>
      <c r="J40" s="16">
        <f t="shared" si="0"/>
        <v>91.333333333333329</v>
      </c>
      <c r="K40" t="str" cm="1">
        <f t="array" ref="K40">_xlfn.IFS(J40&gt;=90,"Excelente",J40&gt;=80,"Muy Bueno",J40&gt;=75,"Bueno",J40&gt;=65,"Regular",J40&gt;=55,"Insuficiente")</f>
        <v>Excelente</v>
      </c>
    </row>
    <row r="41" spans="1:11" hidden="1">
      <c r="A41" t="s">
        <v>331</v>
      </c>
      <c r="B41" s="16">
        <v>3</v>
      </c>
      <c r="C41" s="16">
        <v>20</v>
      </c>
      <c r="D41" s="16">
        <v>18.666666666666668</v>
      </c>
      <c r="E41" s="16">
        <v>18.666666666666668</v>
      </c>
      <c r="F41" s="16">
        <v>10</v>
      </c>
      <c r="G41" s="16">
        <v>10</v>
      </c>
      <c r="H41" s="16">
        <v>8.6666666666666661</v>
      </c>
      <c r="I41" s="16">
        <v>10</v>
      </c>
      <c r="J41" s="16">
        <f t="shared" si="0"/>
        <v>96.000000000000014</v>
      </c>
      <c r="K41" t="str" cm="1">
        <f t="array" ref="K41">_xlfn.IFS(J41&gt;=90,"Excelente",J41&gt;=80,"Muy Bueno",J41&gt;=75,"Bueno",J41&gt;=65,"Regular",J41&gt;=55,"Insuficiente")</f>
        <v>Excelente</v>
      </c>
    </row>
    <row r="42" spans="1:11" hidden="1">
      <c r="A42" t="s">
        <v>224</v>
      </c>
      <c r="B42" s="16">
        <v>3</v>
      </c>
      <c r="C42" s="16">
        <v>18.666666666666668</v>
      </c>
      <c r="D42" s="16">
        <v>18.666666666666668</v>
      </c>
      <c r="E42" s="16">
        <v>20</v>
      </c>
      <c r="F42" s="16">
        <v>6.666666666666667</v>
      </c>
      <c r="G42" s="16">
        <v>9.3333333333333339</v>
      </c>
      <c r="H42" s="16">
        <v>9.3333333333333339</v>
      </c>
      <c r="I42" s="16">
        <v>7.333333333333333</v>
      </c>
      <c r="J42" s="16">
        <f t="shared" si="0"/>
        <v>89.999999999999986</v>
      </c>
      <c r="K42" t="str" cm="1">
        <f t="array" ref="K42">_xlfn.IFS(J42&gt;=90,"Excelente",J42&gt;=80,"Muy Bueno",J42&gt;=75,"Bueno",J42&gt;=65,"Regular",J42&gt;=55,"Insuficiente")</f>
        <v>Excelente</v>
      </c>
    </row>
    <row r="43" spans="1:11" hidden="1">
      <c r="A43" t="s">
        <v>336</v>
      </c>
      <c r="B43" s="16">
        <v>3</v>
      </c>
      <c r="C43" s="16">
        <v>18.666666666666668</v>
      </c>
      <c r="D43" s="16">
        <v>18.666666666666668</v>
      </c>
      <c r="E43" s="16">
        <v>17.333333333333332</v>
      </c>
      <c r="F43" s="16">
        <v>9.3333333333333339</v>
      </c>
      <c r="G43" s="16">
        <v>9.3333333333333339</v>
      </c>
      <c r="H43" s="16">
        <v>8.6666666666666661</v>
      </c>
      <c r="I43" s="16">
        <v>9.3333333333333339</v>
      </c>
      <c r="J43" s="16">
        <f t="shared" si="0"/>
        <v>91.333333333333329</v>
      </c>
      <c r="K43" t="str" cm="1">
        <f t="array" ref="K43">_xlfn.IFS(J43&gt;=90,"Excelente",J43&gt;=80,"Muy Bueno",J43&gt;=75,"Bueno",J43&gt;=65,"Regular",J43&gt;=55,"Insuficiente")</f>
        <v>Excelente</v>
      </c>
    </row>
    <row r="44" spans="1:11" hidden="1">
      <c r="A44" t="s">
        <v>309</v>
      </c>
      <c r="B44" s="16">
        <v>3</v>
      </c>
      <c r="C44" s="16">
        <v>20</v>
      </c>
      <c r="D44" s="16">
        <v>20</v>
      </c>
      <c r="E44" s="16">
        <v>20</v>
      </c>
      <c r="F44" s="16">
        <v>9.3333333333333339</v>
      </c>
      <c r="G44" s="16">
        <v>10</v>
      </c>
      <c r="H44" s="16">
        <v>10</v>
      </c>
      <c r="I44" s="16">
        <v>10</v>
      </c>
      <c r="J44" s="16">
        <f t="shared" si="0"/>
        <v>99.333333333333329</v>
      </c>
      <c r="K44" t="str" cm="1">
        <f t="array" ref="K44">_xlfn.IFS(J44&gt;=90,"Excelente",J44&gt;=80,"Muy Bueno",J44&gt;=75,"Bueno",J44&gt;=65,"Regular",J44&gt;=55,"Insuficiente")</f>
        <v>Excelente</v>
      </c>
    </row>
    <row r="45" spans="1:11" hidden="1">
      <c r="A45" t="s">
        <v>89</v>
      </c>
      <c r="B45" s="16">
        <v>3</v>
      </c>
      <c r="C45" s="16">
        <v>20</v>
      </c>
      <c r="D45" s="16">
        <v>20</v>
      </c>
      <c r="E45" s="16">
        <v>20</v>
      </c>
      <c r="F45" s="16">
        <v>10</v>
      </c>
      <c r="G45" s="16">
        <v>10</v>
      </c>
      <c r="H45" s="16">
        <v>10</v>
      </c>
      <c r="I45" s="16">
        <v>10</v>
      </c>
      <c r="J45" s="16">
        <f t="shared" si="0"/>
        <v>100</v>
      </c>
      <c r="K45" t="str" cm="1">
        <f t="array" ref="K45">_xlfn.IFS(J45&gt;=90,"Excelente",J45&gt;=80,"Muy Bueno",J45&gt;=75,"Bueno",J45&gt;=65,"Regular",J45&gt;=55,"Insuficiente")</f>
        <v>Excelente</v>
      </c>
    </row>
    <row r="46" spans="1:11" hidden="1">
      <c r="A46" t="s">
        <v>172</v>
      </c>
      <c r="B46" s="16">
        <v>3</v>
      </c>
      <c r="C46" s="16">
        <v>20</v>
      </c>
      <c r="D46" s="16">
        <v>20</v>
      </c>
      <c r="E46" s="16">
        <v>20</v>
      </c>
      <c r="F46" s="16">
        <v>10</v>
      </c>
      <c r="G46" s="16">
        <v>8.6666666666666661</v>
      </c>
      <c r="H46" s="16">
        <v>10</v>
      </c>
      <c r="I46" s="16">
        <v>10</v>
      </c>
      <c r="J46" s="16">
        <f t="shared" si="0"/>
        <v>98.666666666666671</v>
      </c>
      <c r="K46" t="str" cm="1">
        <f t="array" ref="K46">_xlfn.IFS(J46&gt;=90,"Excelente",J46&gt;=80,"Muy Bueno",J46&gt;=75,"Bueno",J46&gt;=65,"Regular",J46&gt;=55,"Insuficiente")</f>
        <v>Excelente</v>
      </c>
    </row>
    <row r="47" spans="1:11" hidden="1">
      <c r="A47" t="s">
        <v>306</v>
      </c>
      <c r="B47" s="16">
        <v>3</v>
      </c>
      <c r="C47" s="16">
        <v>20</v>
      </c>
      <c r="D47" s="16">
        <v>20</v>
      </c>
      <c r="E47" s="16">
        <v>20</v>
      </c>
      <c r="F47" s="16">
        <v>10</v>
      </c>
      <c r="G47" s="16">
        <v>10</v>
      </c>
      <c r="H47" s="16">
        <v>8</v>
      </c>
      <c r="I47" s="16">
        <v>10</v>
      </c>
      <c r="J47" s="16">
        <f t="shared" si="0"/>
        <v>98</v>
      </c>
      <c r="K47" t="str" cm="1">
        <f t="array" ref="K47">_xlfn.IFS(J47&gt;=90,"Excelente",J47&gt;=80,"Muy Bueno",J47&gt;=75,"Bueno",J47&gt;=65,"Regular",J47&gt;=55,"Insuficiente")</f>
        <v>Excelente</v>
      </c>
    </row>
    <row r="48" spans="1:11" hidden="1">
      <c r="A48" t="s">
        <v>317</v>
      </c>
      <c r="B48" s="16">
        <v>3</v>
      </c>
      <c r="C48" s="16">
        <v>18.666666666666668</v>
      </c>
      <c r="D48" s="16">
        <v>17.333333333333332</v>
      </c>
      <c r="E48" s="16">
        <v>14.666666666666666</v>
      </c>
      <c r="F48" s="16">
        <v>9.3333333333333339</v>
      </c>
      <c r="G48" s="16">
        <v>8.6666666666666661</v>
      </c>
      <c r="H48" s="16">
        <v>8</v>
      </c>
      <c r="I48" s="16">
        <v>9.3333333333333339</v>
      </c>
      <c r="J48" s="16">
        <f t="shared" si="0"/>
        <v>86</v>
      </c>
      <c r="K48" t="str" cm="1">
        <f t="array" ref="K48">_xlfn.IFS(J48&gt;=90,"Excelente",J48&gt;=80,"Muy Bueno",J48&gt;=75,"Bueno",J48&gt;=65,"Regular",J48&gt;=55,"Insuficiente")</f>
        <v>Muy Bueno</v>
      </c>
    </row>
    <row r="49" spans="1:11" hidden="1">
      <c r="A49" t="s">
        <v>169</v>
      </c>
      <c r="B49" s="16">
        <v>3</v>
      </c>
      <c r="C49" s="16">
        <v>17.333333333333332</v>
      </c>
      <c r="D49" s="16">
        <v>18.666666666666668</v>
      </c>
      <c r="E49" s="16">
        <v>16</v>
      </c>
      <c r="F49" s="16">
        <v>9.3333333333333339</v>
      </c>
      <c r="G49" s="16">
        <v>8</v>
      </c>
      <c r="H49" s="16">
        <v>7.333333333333333</v>
      </c>
      <c r="I49" s="16">
        <v>9.3333333333333339</v>
      </c>
      <c r="J49" s="16">
        <f t="shared" si="0"/>
        <v>86</v>
      </c>
      <c r="K49" t="str" cm="1">
        <f t="array" ref="K49">_xlfn.IFS(J49&gt;=90,"Excelente",J49&gt;=80,"Muy Bueno",J49&gt;=75,"Bueno",J49&gt;=65,"Regular",J49&gt;=55,"Insuficiente")</f>
        <v>Muy Bueno</v>
      </c>
    </row>
    <row r="50" spans="1:11" hidden="1">
      <c r="A50" t="s">
        <v>171</v>
      </c>
      <c r="B50" s="16">
        <v>3</v>
      </c>
      <c r="C50" s="16">
        <v>18.666666666666668</v>
      </c>
      <c r="D50" s="16">
        <v>18.666666666666668</v>
      </c>
      <c r="E50" s="16">
        <v>16</v>
      </c>
      <c r="F50" s="16">
        <v>9.3333333333333339</v>
      </c>
      <c r="G50" s="16">
        <v>8</v>
      </c>
      <c r="H50" s="16">
        <v>7.333333333333333</v>
      </c>
      <c r="I50" s="16">
        <v>9.3333333333333339</v>
      </c>
      <c r="J50" s="16">
        <f t="shared" si="0"/>
        <v>87.333333333333329</v>
      </c>
      <c r="K50" t="str" cm="1">
        <f t="array" ref="K50">_xlfn.IFS(J50&gt;=90,"Excelente",J50&gt;=80,"Muy Bueno",J50&gt;=75,"Bueno",J50&gt;=65,"Regular",J50&gt;=55,"Insuficiente")</f>
        <v>Muy Bueno</v>
      </c>
    </row>
    <row r="51" spans="1:11" hidden="1">
      <c r="A51" t="s">
        <v>280</v>
      </c>
      <c r="B51" s="16">
        <v>3</v>
      </c>
      <c r="C51" s="16">
        <v>18.666666666666668</v>
      </c>
      <c r="D51" s="16">
        <v>18.666666666666668</v>
      </c>
      <c r="E51" s="16">
        <v>17.333333333333332</v>
      </c>
      <c r="F51" s="16">
        <v>8</v>
      </c>
      <c r="G51" s="16">
        <v>9.3333333333333339</v>
      </c>
      <c r="H51" s="16">
        <v>8.6666666666666661</v>
      </c>
      <c r="I51" s="16">
        <v>8.6666666666666661</v>
      </c>
      <c r="J51" s="16">
        <f t="shared" si="0"/>
        <v>89.333333333333343</v>
      </c>
      <c r="K51" t="str" cm="1">
        <f t="array" ref="K51">_xlfn.IFS(J51&gt;=90,"Excelente",J51&gt;=80,"Muy Bueno",J51&gt;=75,"Bueno",J51&gt;=65,"Regular",J51&gt;=55,"Insuficiente")</f>
        <v>Muy Bueno</v>
      </c>
    </row>
    <row r="52" spans="1:11" hidden="1">
      <c r="A52" t="s">
        <v>63</v>
      </c>
      <c r="B52" s="16">
        <v>3</v>
      </c>
      <c r="C52" s="16">
        <v>20</v>
      </c>
      <c r="D52" s="16">
        <v>20</v>
      </c>
      <c r="E52" s="16">
        <v>20</v>
      </c>
      <c r="F52" s="16">
        <v>10</v>
      </c>
      <c r="G52" s="16">
        <v>10</v>
      </c>
      <c r="H52" s="16">
        <v>10</v>
      </c>
      <c r="I52" s="16">
        <v>10</v>
      </c>
      <c r="J52" s="16">
        <f t="shared" si="0"/>
        <v>100</v>
      </c>
      <c r="K52" t="str" cm="1">
        <f t="array" ref="K52">_xlfn.IFS(J52&gt;=90,"Excelente",J52&gt;=80,"Muy Bueno",J52&gt;=75,"Bueno",J52&gt;=65,"Regular",J52&gt;=55,"Insuficiente")</f>
        <v>Excelente</v>
      </c>
    </row>
    <row r="53" spans="1:11" hidden="1">
      <c r="A53" t="s">
        <v>191</v>
      </c>
      <c r="B53" s="16">
        <v>3</v>
      </c>
      <c r="C53" s="16">
        <v>20</v>
      </c>
      <c r="D53" s="16">
        <v>18.666666666666668</v>
      </c>
      <c r="E53" s="16">
        <v>20</v>
      </c>
      <c r="F53" s="16">
        <v>9.3333333333333339</v>
      </c>
      <c r="G53" s="16">
        <v>10</v>
      </c>
      <c r="H53" s="16">
        <v>10</v>
      </c>
      <c r="I53" s="16">
        <v>9.3333333333333339</v>
      </c>
      <c r="J53" s="16">
        <f t="shared" si="0"/>
        <v>97.333333333333329</v>
      </c>
      <c r="K53" t="str" cm="1">
        <f t="array" ref="K53">_xlfn.IFS(J53&gt;=90,"Excelente",J53&gt;=80,"Muy Bueno",J53&gt;=75,"Bueno",J53&gt;=65,"Regular",J53&gt;=55,"Insuficiente")</f>
        <v>Excelente</v>
      </c>
    </row>
    <row r="54" spans="1:11" hidden="1">
      <c r="A54" t="s">
        <v>82</v>
      </c>
      <c r="B54" s="16">
        <v>3</v>
      </c>
      <c r="C54" s="16">
        <v>20</v>
      </c>
      <c r="D54" s="16">
        <v>20</v>
      </c>
      <c r="E54" s="16">
        <v>20</v>
      </c>
      <c r="F54" s="16">
        <v>9.3333333333333339</v>
      </c>
      <c r="G54" s="16">
        <v>9.3333333333333339</v>
      </c>
      <c r="H54" s="16">
        <v>8.6666666666666661</v>
      </c>
      <c r="I54" s="16">
        <v>10</v>
      </c>
      <c r="J54" s="16">
        <f t="shared" si="0"/>
        <v>97.333333333333329</v>
      </c>
      <c r="K54" t="str" cm="1">
        <f t="array" ref="K54">_xlfn.IFS(J54&gt;=90,"Excelente",J54&gt;=80,"Muy Bueno",J54&gt;=75,"Bueno",J54&gt;=65,"Regular",J54&gt;=55,"Insuficiente")</f>
        <v>Excelente</v>
      </c>
    </row>
    <row r="55" spans="1:11" hidden="1">
      <c r="A55" t="s">
        <v>318</v>
      </c>
      <c r="B55" s="16">
        <v>3</v>
      </c>
      <c r="C55" s="16">
        <v>17.333333333333332</v>
      </c>
      <c r="D55" s="16">
        <v>16</v>
      </c>
      <c r="E55" s="16">
        <v>14.666666666666666</v>
      </c>
      <c r="F55" s="16">
        <v>8.6666666666666661</v>
      </c>
      <c r="G55" s="16">
        <v>8.6666666666666661</v>
      </c>
      <c r="H55" s="16">
        <v>7.333333333333333</v>
      </c>
      <c r="I55" s="16">
        <v>8.6666666666666661</v>
      </c>
      <c r="J55" s="16">
        <f t="shared" si="0"/>
        <v>81.333333333333329</v>
      </c>
      <c r="K55" t="str" cm="1">
        <f t="array" ref="K55">_xlfn.IFS(J55&gt;=90,"Excelente",J55&gt;=80,"Muy Bueno",J55&gt;=75,"Bueno",J55&gt;=65,"Regular",J55&gt;=55,"Insuficiente")</f>
        <v>Muy Bueno</v>
      </c>
    </row>
    <row r="56" spans="1:11" hidden="1">
      <c r="A56" t="s">
        <v>129</v>
      </c>
      <c r="B56" s="16">
        <v>3</v>
      </c>
      <c r="C56" s="16">
        <v>18.666666666666668</v>
      </c>
      <c r="D56" s="16">
        <v>20</v>
      </c>
      <c r="E56" s="16">
        <v>18.666666666666668</v>
      </c>
      <c r="F56" s="16">
        <v>9.3333333333333339</v>
      </c>
      <c r="G56" s="16">
        <v>9.3333333333333339</v>
      </c>
      <c r="H56" s="16">
        <v>9.3333333333333339</v>
      </c>
      <c r="I56" s="16">
        <v>8.6666666666666661</v>
      </c>
      <c r="J56" s="16">
        <f t="shared" si="0"/>
        <v>94</v>
      </c>
      <c r="K56" t="str" cm="1">
        <f t="array" ref="K56">_xlfn.IFS(J56&gt;=90,"Excelente",J56&gt;=80,"Muy Bueno",J56&gt;=75,"Bueno",J56&gt;=65,"Regular",J56&gt;=55,"Insuficiente")</f>
        <v>Excelente</v>
      </c>
    </row>
    <row r="57" spans="1:11" hidden="1">
      <c r="A57" t="s">
        <v>138</v>
      </c>
      <c r="B57" s="16">
        <v>3</v>
      </c>
      <c r="C57" s="16">
        <v>20</v>
      </c>
      <c r="D57" s="16">
        <v>20</v>
      </c>
      <c r="E57" s="16">
        <v>20</v>
      </c>
      <c r="F57" s="16">
        <v>10</v>
      </c>
      <c r="G57" s="16">
        <v>10</v>
      </c>
      <c r="H57" s="16">
        <v>10</v>
      </c>
      <c r="I57" s="16">
        <v>10</v>
      </c>
      <c r="J57" s="16">
        <f t="shared" si="0"/>
        <v>100</v>
      </c>
      <c r="K57" t="str" cm="1">
        <f t="array" ref="K57">_xlfn.IFS(J57&gt;=90,"Excelente",J57&gt;=80,"Muy Bueno",J57&gt;=75,"Bueno",J57&gt;=65,"Regular",J57&gt;=55,"Insuficiente")</f>
        <v>Excelente</v>
      </c>
    </row>
    <row r="58" spans="1:11" hidden="1">
      <c r="A58" t="s">
        <v>315</v>
      </c>
      <c r="B58" s="16">
        <v>3</v>
      </c>
      <c r="C58" s="16">
        <v>20</v>
      </c>
      <c r="D58" s="16">
        <v>20</v>
      </c>
      <c r="E58" s="16">
        <v>20</v>
      </c>
      <c r="F58" s="16">
        <v>10</v>
      </c>
      <c r="G58" s="16">
        <v>10</v>
      </c>
      <c r="H58" s="16">
        <v>9.3333333333333339</v>
      </c>
      <c r="I58" s="16">
        <v>10</v>
      </c>
      <c r="J58" s="16">
        <f t="shared" si="0"/>
        <v>99.333333333333329</v>
      </c>
      <c r="K58" t="str" cm="1">
        <f t="array" ref="K58">_xlfn.IFS(J58&gt;=90,"Excelente",J58&gt;=80,"Muy Bueno",J58&gt;=75,"Bueno",J58&gt;=65,"Regular",J58&gt;=55,"Insuficiente")</f>
        <v>Excelente</v>
      </c>
    </row>
    <row r="59" spans="1:11" hidden="1">
      <c r="A59" t="s">
        <v>284</v>
      </c>
      <c r="B59" s="16">
        <v>3</v>
      </c>
      <c r="C59" s="16">
        <v>20</v>
      </c>
      <c r="D59" s="16">
        <v>18.666666666666668</v>
      </c>
      <c r="E59" s="16">
        <v>20</v>
      </c>
      <c r="F59" s="16">
        <v>10</v>
      </c>
      <c r="G59" s="16">
        <v>10</v>
      </c>
      <c r="H59" s="16">
        <v>9.3333333333333339</v>
      </c>
      <c r="I59" s="16">
        <v>10</v>
      </c>
      <c r="J59" s="16">
        <f t="shared" si="0"/>
        <v>98</v>
      </c>
      <c r="K59" t="str" cm="1">
        <f t="array" ref="K59">_xlfn.IFS(J59&gt;=90,"Excelente",J59&gt;=80,"Muy Bueno",J59&gt;=75,"Bueno",J59&gt;=65,"Regular",J59&gt;=55,"Insuficiente")</f>
        <v>Excelente</v>
      </c>
    </row>
    <row r="60" spans="1:11" hidden="1">
      <c r="A60" t="s">
        <v>52</v>
      </c>
      <c r="B60" s="16">
        <v>3</v>
      </c>
      <c r="C60" s="16">
        <v>20</v>
      </c>
      <c r="D60" s="16">
        <v>20</v>
      </c>
      <c r="E60" s="16">
        <v>18.666666666666668</v>
      </c>
      <c r="F60" s="16">
        <v>9.3333333333333339</v>
      </c>
      <c r="G60" s="16">
        <v>9.3333333333333339</v>
      </c>
      <c r="H60" s="16">
        <v>10</v>
      </c>
      <c r="I60" s="16">
        <v>9.3333333333333339</v>
      </c>
      <c r="J60" s="16">
        <f t="shared" si="0"/>
        <v>96.666666666666657</v>
      </c>
      <c r="K60" t="str" cm="1">
        <f t="array" ref="K60">_xlfn.IFS(J60&gt;=90,"Excelente",J60&gt;=80,"Muy Bueno",J60&gt;=75,"Bueno",J60&gt;=65,"Regular",J60&gt;=55,"Insuficiente")</f>
        <v>Excelente</v>
      </c>
    </row>
    <row r="61" spans="1:11" hidden="1">
      <c r="A61" t="s">
        <v>271</v>
      </c>
      <c r="B61" s="16">
        <v>3</v>
      </c>
      <c r="C61" s="16">
        <v>20</v>
      </c>
      <c r="D61" s="16">
        <v>18.666666666666668</v>
      </c>
      <c r="E61" s="16">
        <v>18.666666666666668</v>
      </c>
      <c r="F61" s="16">
        <v>10</v>
      </c>
      <c r="G61" s="16">
        <v>10</v>
      </c>
      <c r="H61" s="16">
        <v>9.3333333333333339</v>
      </c>
      <c r="I61" s="16">
        <v>9.3333333333333339</v>
      </c>
      <c r="J61" s="16">
        <f t="shared" si="0"/>
        <v>96</v>
      </c>
      <c r="K61" t="str" cm="1">
        <f t="array" ref="K61">_xlfn.IFS(J61&gt;=90,"Excelente",J61&gt;=80,"Muy Bueno",J61&gt;=75,"Bueno",J61&gt;=65,"Regular",J61&gt;=55,"Insuficiente")</f>
        <v>Excelente</v>
      </c>
    </row>
    <row r="62" spans="1:11" hidden="1">
      <c r="A62" t="s">
        <v>200</v>
      </c>
      <c r="B62" s="16">
        <v>3</v>
      </c>
      <c r="C62" s="16">
        <v>20</v>
      </c>
      <c r="D62" s="16">
        <v>16</v>
      </c>
      <c r="E62" s="16">
        <v>17.333333333333332</v>
      </c>
      <c r="F62" s="16">
        <v>8.6666666666666661</v>
      </c>
      <c r="G62" s="16">
        <v>8.6666666666666661</v>
      </c>
      <c r="H62" s="16">
        <v>8.6666666666666661</v>
      </c>
      <c r="I62" s="16">
        <v>8.6666666666666661</v>
      </c>
      <c r="J62" s="16">
        <f t="shared" si="0"/>
        <v>88</v>
      </c>
      <c r="K62" t="str" cm="1">
        <f t="array" ref="K62">_xlfn.IFS(J62&gt;=90,"Excelente",J62&gt;=80,"Muy Bueno",J62&gt;=75,"Bueno",J62&gt;=65,"Regular",J62&gt;=55,"Insuficiente")</f>
        <v>Muy Bueno</v>
      </c>
    </row>
    <row r="63" spans="1:11" hidden="1">
      <c r="A63" t="s">
        <v>179</v>
      </c>
      <c r="B63" s="16">
        <v>3</v>
      </c>
      <c r="C63" s="16">
        <v>20</v>
      </c>
      <c r="D63" s="16">
        <v>18.666666666666668</v>
      </c>
      <c r="E63" s="16">
        <v>20</v>
      </c>
      <c r="F63" s="16">
        <v>8</v>
      </c>
      <c r="G63" s="16">
        <v>10</v>
      </c>
      <c r="H63" s="16">
        <v>10</v>
      </c>
      <c r="I63" s="16">
        <v>10</v>
      </c>
      <c r="J63" s="16">
        <f t="shared" si="0"/>
        <v>96.666666666666671</v>
      </c>
      <c r="K63" t="str" cm="1">
        <f t="array" ref="K63">_xlfn.IFS(J63&gt;=90,"Excelente",J63&gt;=80,"Muy Bueno",J63&gt;=75,"Bueno",J63&gt;=65,"Regular",J63&gt;=55,"Insuficiente")</f>
        <v>Excelente</v>
      </c>
    </row>
    <row r="64" spans="1:11" hidden="1">
      <c r="A64" t="s">
        <v>156</v>
      </c>
      <c r="B64" s="16">
        <v>3</v>
      </c>
      <c r="C64" s="16">
        <v>18.666666666666668</v>
      </c>
      <c r="D64" s="16">
        <v>20</v>
      </c>
      <c r="E64" s="16">
        <v>18.666666666666668</v>
      </c>
      <c r="F64" s="16">
        <v>10</v>
      </c>
      <c r="G64" s="16">
        <v>10</v>
      </c>
      <c r="H64" s="16">
        <v>9.3333333333333339</v>
      </c>
      <c r="I64" s="16">
        <v>10</v>
      </c>
      <c r="J64" s="16">
        <f t="shared" si="0"/>
        <v>96.666666666666671</v>
      </c>
      <c r="K64" t="str" cm="1">
        <f t="array" ref="K64">_xlfn.IFS(J64&gt;=90,"Excelente",J64&gt;=80,"Muy Bueno",J64&gt;=75,"Bueno",J64&gt;=65,"Regular",J64&gt;=55,"Insuficiente")</f>
        <v>Excelente</v>
      </c>
    </row>
    <row r="65" spans="1:11" hidden="1">
      <c r="A65" t="s">
        <v>107</v>
      </c>
      <c r="B65" s="16">
        <v>3</v>
      </c>
      <c r="C65" s="16">
        <v>20</v>
      </c>
      <c r="D65" s="16">
        <v>18.666666666666668</v>
      </c>
      <c r="E65" s="16">
        <v>18.666666666666668</v>
      </c>
      <c r="F65" s="16">
        <v>10</v>
      </c>
      <c r="G65" s="16">
        <v>9.3333333333333339</v>
      </c>
      <c r="H65" s="16">
        <v>10</v>
      </c>
      <c r="I65" s="16">
        <v>10</v>
      </c>
      <c r="J65" s="16">
        <f t="shared" si="0"/>
        <v>96.666666666666671</v>
      </c>
      <c r="K65" t="str" cm="1">
        <f t="array" ref="K65">_xlfn.IFS(J65&gt;=90,"Excelente",J65&gt;=80,"Muy Bueno",J65&gt;=75,"Bueno",J65&gt;=65,"Regular",J65&gt;=55,"Insuficiente")</f>
        <v>Excelente</v>
      </c>
    </row>
    <row r="66" spans="1:11" hidden="1">
      <c r="A66" t="s">
        <v>305</v>
      </c>
      <c r="B66" s="16">
        <v>3</v>
      </c>
      <c r="C66" s="16">
        <v>20</v>
      </c>
      <c r="D66" s="16">
        <v>20</v>
      </c>
      <c r="E66" s="16">
        <v>20</v>
      </c>
      <c r="F66" s="16">
        <v>10</v>
      </c>
      <c r="G66" s="16">
        <v>9.3333333333333339</v>
      </c>
      <c r="H66" s="16">
        <v>10</v>
      </c>
      <c r="I66" s="16">
        <v>10</v>
      </c>
      <c r="J66" s="16">
        <f t="shared" si="0"/>
        <v>99.333333333333329</v>
      </c>
      <c r="K66" t="str" cm="1">
        <f t="array" ref="K66">_xlfn.IFS(J66&gt;=90,"Excelente",J66&gt;=80,"Muy Bueno",J66&gt;=75,"Bueno",J66&gt;=65,"Regular",J66&gt;=55,"Insuficiente")</f>
        <v>Excelente</v>
      </c>
    </row>
    <row r="67" spans="1:11" hidden="1">
      <c r="A67" t="s">
        <v>150</v>
      </c>
      <c r="B67" s="16">
        <v>3</v>
      </c>
      <c r="C67" s="16">
        <v>18.666666666666668</v>
      </c>
      <c r="D67" s="16">
        <v>18.666666666666668</v>
      </c>
      <c r="E67" s="16">
        <v>17.333333333333332</v>
      </c>
      <c r="F67" s="16">
        <v>10</v>
      </c>
      <c r="G67" s="16">
        <v>9.3333333333333339</v>
      </c>
      <c r="H67" s="16">
        <v>8.6666666666666661</v>
      </c>
      <c r="I67" s="16">
        <v>9.3333333333333339</v>
      </c>
      <c r="J67" s="16">
        <f t="shared" ref="J67:J130" si="1">(C67+D67+E67+F67+G67+H67+I67)</f>
        <v>92</v>
      </c>
      <c r="K67" t="str" cm="1">
        <f t="array" ref="K67">_xlfn.IFS(J67&gt;=90,"Excelente",J67&gt;=80,"Muy Bueno",J67&gt;=75,"Bueno",J67&gt;=65,"Regular",J67&gt;=55,"Insuficiente")</f>
        <v>Excelente</v>
      </c>
    </row>
    <row r="68" spans="1:11" hidden="1">
      <c r="A68" t="s">
        <v>251</v>
      </c>
      <c r="B68" s="16">
        <v>3</v>
      </c>
      <c r="C68" s="16">
        <v>20</v>
      </c>
      <c r="D68" s="16">
        <v>20</v>
      </c>
      <c r="E68" s="16">
        <v>20</v>
      </c>
      <c r="F68" s="16">
        <v>10</v>
      </c>
      <c r="G68" s="16">
        <v>9.3333333333333339</v>
      </c>
      <c r="H68" s="16">
        <v>8.6666666666666661</v>
      </c>
      <c r="I68" s="16">
        <v>8.6666666666666661</v>
      </c>
      <c r="J68" s="16">
        <f t="shared" si="1"/>
        <v>96.666666666666671</v>
      </c>
      <c r="K68" t="str" cm="1">
        <f t="array" ref="K68">_xlfn.IFS(J68&gt;=90,"Excelente",J68&gt;=80,"Muy Bueno",J68&gt;=75,"Bueno",J68&gt;=65,"Regular",J68&gt;=55,"Insuficiente")</f>
        <v>Excelente</v>
      </c>
    </row>
    <row r="69" spans="1:11" hidden="1">
      <c r="A69" t="s">
        <v>307</v>
      </c>
      <c r="B69" s="16">
        <v>3</v>
      </c>
      <c r="C69" s="16">
        <v>20</v>
      </c>
      <c r="D69" s="16">
        <v>20</v>
      </c>
      <c r="E69" s="16">
        <v>20</v>
      </c>
      <c r="F69" s="16">
        <v>10</v>
      </c>
      <c r="G69" s="16">
        <v>10</v>
      </c>
      <c r="H69" s="16">
        <v>10</v>
      </c>
      <c r="I69" s="16">
        <v>10</v>
      </c>
      <c r="J69" s="16">
        <f t="shared" si="1"/>
        <v>100</v>
      </c>
      <c r="K69" t="str" cm="1">
        <f t="array" ref="K69">_xlfn.IFS(J69&gt;=90,"Excelente",J69&gt;=80,"Muy Bueno",J69&gt;=75,"Bueno",J69&gt;=65,"Regular",J69&gt;=55,"Insuficiente")</f>
        <v>Excelente</v>
      </c>
    </row>
    <row r="70" spans="1:11" hidden="1">
      <c r="A70" t="s">
        <v>327</v>
      </c>
      <c r="B70" s="16">
        <v>3</v>
      </c>
      <c r="C70" s="16">
        <v>18.666666666666668</v>
      </c>
      <c r="D70" s="16">
        <v>16</v>
      </c>
      <c r="E70" s="16">
        <v>16</v>
      </c>
      <c r="F70" s="16">
        <v>8.6666666666666661</v>
      </c>
      <c r="G70" s="16">
        <v>8.6666666666666661</v>
      </c>
      <c r="H70" s="16">
        <v>8</v>
      </c>
      <c r="I70" s="16">
        <v>9.3333333333333339</v>
      </c>
      <c r="J70" s="16">
        <f t="shared" si="1"/>
        <v>85.333333333333329</v>
      </c>
      <c r="K70" t="str" cm="1">
        <f t="array" ref="K70">_xlfn.IFS(J70&gt;=90,"Excelente",J70&gt;=80,"Muy Bueno",J70&gt;=75,"Bueno",J70&gt;=65,"Regular",J70&gt;=55,"Insuficiente")</f>
        <v>Muy Bueno</v>
      </c>
    </row>
    <row r="71" spans="1:11" hidden="1">
      <c r="A71" t="s">
        <v>241</v>
      </c>
      <c r="B71" s="16">
        <v>3</v>
      </c>
      <c r="C71" s="16">
        <v>18.666666666666668</v>
      </c>
      <c r="D71" s="16">
        <v>17.333333333333332</v>
      </c>
      <c r="E71" s="16">
        <v>20</v>
      </c>
      <c r="F71" s="16">
        <v>7.333333333333333</v>
      </c>
      <c r="G71" s="16">
        <v>9.3333333333333339</v>
      </c>
      <c r="H71" s="16">
        <v>10</v>
      </c>
      <c r="I71" s="16">
        <v>9.3333333333333339</v>
      </c>
      <c r="J71" s="16">
        <f t="shared" si="1"/>
        <v>92</v>
      </c>
      <c r="K71" t="str" cm="1">
        <f t="array" ref="K71">_xlfn.IFS(J71&gt;=90,"Excelente",J71&gt;=80,"Muy Bueno",J71&gt;=75,"Bueno",J71&gt;=65,"Regular",J71&gt;=55,"Insuficiente")</f>
        <v>Excelente</v>
      </c>
    </row>
    <row r="72" spans="1:11" hidden="1">
      <c r="A72" t="s">
        <v>175</v>
      </c>
      <c r="B72" s="16">
        <v>3</v>
      </c>
      <c r="C72" s="16">
        <v>20</v>
      </c>
      <c r="D72" s="16">
        <v>20</v>
      </c>
      <c r="E72" s="16">
        <v>18.666666666666668</v>
      </c>
      <c r="F72" s="16">
        <v>10</v>
      </c>
      <c r="G72" s="16">
        <v>8</v>
      </c>
      <c r="H72" s="16">
        <v>8.6666666666666661</v>
      </c>
      <c r="I72" s="16">
        <v>9.3333333333333339</v>
      </c>
      <c r="J72" s="16">
        <f t="shared" si="1"/>
        <v>94.666666666666671</v>
      </c>
      <c r="K72" t="str" cm="1">
        <f t="array" ref="K72">_xlfn.IFS(J72&gt;=90,"Excelente",J72&gt;=80,"Muy Bueno",J72&gt;=75,"Bueno",J72&gt;=65,"Regular",J72&gt;=55,"Insuficiente")</f>
        <v>Excelente</v>
      </c>
    </row>
    <row r="73" spans="1:11" hidden="1">
      <c r="A73" t="s">
        <v>257</v>
      </c>
      <c r="B73" s="16">
        <v>3</v>
      </c>
      <c r="C73" s="16">
        <v>20</v>
      </c>
      <c r="D73" s="16">
        <v>18.666666666666668</v>
      </c>
      <c r="E73" s="16">
        <v>18.666666666666668</v>
      </c>
      <c r="F73" s="16">
        <v>10</v>
      </c>
      <c r="G73" s="16">
        <v>10</v>
      </c>
      <c r="H73" s="16">
        <v>8.6666666666666661</v>
      </c>
      <c r="I73" s="16">
        <v>9.3333333333333339</v>
      </c>
      <c r="J73" s="16">
        <f t="shared" si="1"/>
        <v>95.333333333333343</v>
      </c>
      <c r="K73" t="str" cm="1">
        <f t="array" ref="K73">_xlfn.IFS(J73&gt;=90,"Excelente",J73&gt;=80,"Muy Bueno",J73&gt;=75,"Bueno",J73&gt;=65,"Regular",J73&gt;=55,"Insuficiente")</f>
        <v>Excelente</v>
      </c>
    </row>
    <row r="74" spans="1:11" hidden="1">
      <c r="A74" t="s">
        <v>131</v>
      </c>
      <c r="B74" s="16">
        <v>3</v>
      </c>
      <c r="C74" s="16">
        <v>20</v>
      </c>
      <c r="D74" s="16">
        <v>20</v>
      </c>
      <c r="E74" s="16">
        <v>18.666666666666668</v>
      </c>
      <c r="F74" s="16">
        <v>10</v>
      </c>
      <c r="G74" s="16">
        <v>9.3333333333333339</v>
      </c>
      <c r="H74" s="16">
        <v>8.6666666666666661</v>
      </c>
      <c r="I74" s="16">
        <v>9.3333333333333339</v>
      </c>
      <c r="J74" s="16">
        <f t="shared" si="1"/>
        <v>96</v>
      </c>
      <c r="K74" t="str" cm="1">
        <f t="array" ref="K74">_xlfn.IFS(J74&gt;=90,"Excelente",J74&gt;=80,"Muy Bueno",J74&gt;=75,"Bueno",J74&gt;=65,"Regular",J74&gt;=55,"Insuficiente")</f>
        <v>Excelente</v>
      </c>
    </row>
    <row r="75" spans="1:11" hidden="1">
      <c r="A75" t="s">
        <v>92</v>
      </c>
      <c r="B75" s="16">
        <v>3</v>
      </c>
      <c r="C75" s="16">
        <v>18.666666666666668</v>
      </c>
      <c r="D75" s="16">
        <v>20</v>
      </c>
      <c r="E75" s="16">
        <v>20</v>
      </c>
      <c r="F75" s="16">
        <v>10</v>
      </c>
      <c r="G75" s="16">
        <v>10</v>
      </c>
      <c r="H75" s="16">
        <v>10</v>
      </c>
      <c r="I75" s="16">
        <v>10</v>
      </c>
      <c r="J75" s="16">
        <f t="shared" si="1"/>
        <v>98.666666666666671</v>
      </c>
      <c r="K75" t="str" cm="1">
        <f t="array" ref="K75">_xlfn.IFS(J75&gt;=90,"Excelente",J75&gt;=80,"Muy Bueno",J75&gt;=75,"Bueno",J75&gt;=65,"Regular",J75&gt;=55,"Insuficiente")</f>
        <v>Excelente</v>
      </c>
    </row>
    <row r="76" spans="1:11" hidden="1">
      <c r="A76" t="s">
        <v>299</v>
      </c>
      <c r="B76" s="16">
        <v>3</v>
      </c>
      <c r="C76" s="16">
        <v>18.666666666666668</v>
      </c>
      <c r="D76" s="16">
        <v>18.666666666666668</v>
      </c>
      <c r="E76" s="16">
        <v>18.666666666666668</v>
      </c>
      <c r="F76" s="16">
        <v>9.3333333333333339</v>
      </c>
      <c r="G76" s="16">
        <v>9.3333333333333339</v>
      </c>
      <c r="H76" s="16">
        <v>8.6666666666666661</v>
      </c>
      <c r="I76" s="16">
        <v>9.3333333333333339</v>
      </c>
      <c r="J76" s="16">
        <f t="shared" si="1"/>
        <v>92.666666666666657</v>
      </c>
      <c r="K76" t="str" cm="1">
        <f t="array" ref="K76">_xlfn.IFS(J76&gt;=90,"Excelente",J76&gt;=80,"Muy Bueno",J76&gt;=75,"Bueno",J76&gt;=65,"Regular",J76&gt;=55,"Insuficiente")</f>
        <v>Excelente</v>
      </c>
    </row>
    <row r="77" spans="1:11" hidden="1">
      <c r="A77" t="s">
        <v>96</v>
      </c>
      <c r="B77" s="16">
        <v>3</v>
      </c>
      <c r="C77" s="16">
        <v>18.666666666666668</v>
      </c>
      <c r="D77" s="16">
        <v>18.666666666666668</v>
      </c>
      <c r="E77" s="16">
        <v>18.666666666666668</v>
      </c>
      <c r="F77" s="16">
        <v>9.3333333333333339</v>
      </c>
      <c r="G77" s="16">
        <v>9.3333333333333339</v>
      </c>
      <c r="H77" s="16">
        <v>9.3333333333333339</v>
      </c>
      <c r="I77" s="16">
        <v>9.3333333333333339</v>
      </c>
      <c r="J77" s="16">
        <f t="shared" si="1"/>
        <v>93.333333333333314</v>
      </c>
      <c r="K77" t="str" cm="1">
        <f t="array" ref="K77">_xlfn.IFS(J77&gt;=90,"Excelente",J77&gt;=80,"Muy Bueno",J77&gt;=75,"Bueno",J77&gt;=65,"Regular",J77&gt;=55,"Insuficiente")</f>
        <v>Excelente</v>
      </c>
    </row>
    <row r="78" spans="1:11" hidden="1">
      <c r="A78" t="s">
        <v>130</v>
      </c>
      <c r="B78" s="16">
        <v>3</v>
      </c>
      <c r="C78" s="16">
        <v>18.666666666666668</v>
      </c>
      <c r="D78" s="16">
        <v>20</v>
      </c>
      <c r="E78" s="16">
        <v>18.666666666666668</v>
      </c>
      <c r="F78" s="16">
        <v>9.3333333333333339</v>
      </c>
      <c r="G78" s="16">
        <v>8.6666666666666661</v>
      </c>
      <c r="H78" s="16">
        <v>8.6666666666666661</v>
      </c>
      <c r="I78" s="16">
        <v>8.6666666666666661</v>
      </c>
      <c r="J78" s="16">
        <f t="shared" si="1"/>
        <v>92.666666666666686</v>
      </c>
      <c r="K78" t="str" cm="1">
        <f t="array" ref="K78">_xlfn.IFS(J78&gt;=90,"Excelente",J78&gt;=80,"Muy Bueno",J78&gt;=75,"Bueno",J78&gt;=65,"Regular",J78&gt;=55,"Insuficiente")</f>
        <v>Excelente</v>
      </c>
    </row>
    <row r="79" spans="1:11" hidden="1">
      <c r="A79" t="s">
        <v>145</v>
      </c>
      <c r="B79" s="16">
        <v>3</v>
      </c>
      <c r="C79" s="16">
        <v>20</v>
      </c>
      <c r="D79" s="16">
        <v>20</v>
      </c>
      <c r="E79" s="16">
        <v>20</v>
      </c>
      <c r="F79" s="16">
        <v>10</v>
      </c>
      <c r="G79" s="16">
        <v>8.6666666666666661</v>
      </c>
      <c r="H79" s="16">
        <v>10</v>
      </c>
      <c r="I79" s="16">
        <v>9.3333333333333339</v>
      </c>
      <c r="J79" s="16">
        <f t="shared" si="1"/>
        <v>98</v>
      </c>
      <c r="K79" t="str" cm="1">
        <f t="array" ref="K79">_xlfn.IFS(J79&gt;=90,"Excelente",J79&gt;=80,"Muy Bueno",J79&gt;=75,"Bueno",J79&gt;=65,"Regular",J79&gt;=55,"Insuficiente")</f>
        <v>Excelente</v>
      </c>
    </row>
    <row r="80" spans="1:11" hidden="1">
      <c r="A80" t="s">
        <v>314</v>
      </c>
      <c r="B80" s="16">
        <v>3</v>
      </c>
      <c r="C80" s="16">
        <v>20</v>
      </c>
      <c r="D80" s="16">
        <v>20</v>
      </c>
      <c r="E80" s="16">
        <v>20</v>
      </c>
      <c r="F80" s="16">
        <v>10</v>
      </c>
      <c r="G80" s="16">
        <v>10</v>
      </c>
      <c r="H80" s="16">
        <v>10</v>
      </c>
      <c r="I80" s="16">
        <v>10</v>
      </c>
      <c r="J80" s="16">
        <f t="shared" si="1"/>
        <v>100</v>
      </c>
      <c r="K80" t="str" cm="1">
        <f t="array" ref="K80">_xlfn.IFS(J80&gt;=90,"Excelente",J80&gt;=80,"Muy Bueno",J80&gt;=75,"Bueno",J80&gt;=65,"Regular",J80&gt;=55,"Insuficiente")</f>
        <v>Excelente</v>
      </c>
    </row>
    <row r="81" spans="1:11" hidden="1">
      <c r="A81" t="s">
        <v>330</v>
      </c>
      <c r="B81" s="16">
        <v>3</v>
      </c>
      <c r="C81" s="16">
        <v>20</v>
      </c>
      <c r="D81" s="16">
        <v>18.666666666666668</v>
      </c>
      <c r="E81" s="16">
        <v>18.666666666666668</v>
      </c>
      <c r="F81" s="16">
        <v>10</v>
      </c>
      <c r="G81" s="16">
        <v>10</v>
      </c>
      <c r="H81" s="16">
        <v>8.6666666666666661</v>
      </c>
      <c r="I81" s="16">
        <v>10</v>
      </c>
      <c r="J81" s="16">
        <f t="shared" si="1"/>
        <v>96.000000000000014</v>
      </c>
      <c r="K81" t="str" cm="1">
        <f t="array" ref="K81">_xlfn.IFS(J81&gt;=90,"Excelente",J81&gt;=80,"Muy Bueno",J81&gt;=75,"Bueno",J81&gt;=65,"Regular",J81&gt;=55,"Insuficiente")</f>
        <v>Excelente</v>
      </c>
    </row>
    <row r="82" spans="1:11" hidden="1">
      <c r="A82" t="s">
        <v>254</v>
      </c>
      <c r="B82" s="16">
        <v>3</v>
      </c>
      <c r="C82" s="16">
        <v>18.666666666666668</v>
      </c>
      <c r="D82" s="16">
        <v>20</v>
      </c>
      <c r="E82" s="16">
        <v>20</v>
      </c>
      <c r="F82" s="16">
        <v>10</v>
      </c>
      <c r="G82" s="16">
        <v>9.3333333333333339</v>
      </c>
      <c r="H82" s="16">
        <v>9.3333333333333339</v>
      </c>
      <c r="I82" s="16">
        <v>9.3333333333333339</v>
      </c>
      <c r="J82" s="16">
        <f t="shared" si="1"/>
        <v>96.666666666666657</v>
      </c>
      <c r="K82" t="str" cm="1">
        <f t="array" ref="K82">_xlfn.IFS(J82&gt;=90,"Excelente",J82&gt;=80,"Muy Bueno",J82&gt;=75,"Bueno",J82&gt;=65,"Regular",J82&gt;=55,"Insuficiente")</f>
        <v>Excelente</v>
      </c>
    </row>
    <row r="83" spans="1:11" hidden="1">
      <c r="A83" t="s">
        <v>187</v>
      </c>
      <c r="B83" s="16">
        <v>3</v>
      </c>
      <c r="C83" s="16">
        <v>20</v>
      </c>
      <c r="D83" s="16">
        <v>20</v>
      </c>
      <c r="E83" s="16">
        <v>20</v>
      </c>
      <c r="F83" s="16">
        <v>10</v>
      </c>
      <c r="G83" s="16">
        <v>10</v>
      </c>
      <c r="H83" s="16">
        <v>10</v>
      </c>
      <c r="I83" s="16">
        <v>10</v>
      </c>
      <c r="J83" s="16">
        <f t="shared" si="1"/>
        <v>100</v>
      </c>
      <c r="K83" t="str" cm="1">
        <f t="array" ref="K83">_xlfn.IFS(J83&gt;=90,"Excelente",J83&gt;=80,"Muy Bueno",J83&gt;=75,"Bueno",J83&gt;=65,"Regular",J83&gt;=55,"Insuficiente")</f>
        <v>Excelente</v>
      </c>
    </row>
    <row r="84" spans="1:11" hidden="1">
      <c r="A84" t="s">
        <v>274</v>
      </c>
      <c r="B84" s="16">
        <v>3</v>
      </c>
      <c r="C84" s="16">
        <v>20</v>
      </c>
      <c r="D84" s="16">
        <v>18.666666666666668</v>
      </c>
      <c r="E84" s="16">
        <v>20</v>
      </c>
      <c r="F84" s="16">
        <v>10</v>
      </c>
      <c r="G84" s="16">
        <v>10</v>
      </c>
      <c r="H84" s="16">
        <v>9.3333333333333339</v>
      </c>
      <c r="I84" s="16">
        <v>9.3333333333333339</v>
      </c>
      <c r="J84" s="16">
        <f t="shared" si="1"/>
        <v>97.333333333333329</v>
      </c>
      <c r="K84" t="str" cm="1">
        <f t="array" ref="K84">_xlfn.IFS(J84&gt;=90,"Excelente",J84&gt;=80,"Muy Bueno",J84&gt;=75,"Bueno",J84&gt;=65,"Regular",J84&gt;=55,"Insuficiente")</f>
        <v>Excelente</v>
      </c>
    </row>
    <row r="85" spans="1:11" hidden="1">
      <c r="A85" t="s">
        <v>165</v>
      </c>
      <c r="B85" s="16">
        <v>3</v>
      </c>
      <c r="C85" s="16">
        <v>20</v>
      </c>
      <c r="D85" s="16">
        <v>20</v>
      </c>
      <c r="E85" s="16">
        <v>18.666666666666668</v>
      </c>
      <c r="F85" s="16">
        <v>9.3333333333333339</v>
      </c>
      <c r="G85" s="16">
        <v>9.3333333333333339</v>
      </c>
      <c r="H85" s="16">
        <v>9.3333333333333339</v>
      </c>
      <c r="I85" s="16">
        <v>9.3333333333333339</v>
      </c>
      <c r="J85" s="16">
        <f t="shared" si="1"/>
        <v>95.999999999999986</v>
      </c>
      <c r="K85" t="str" cm="1">
        <f t="array" ref="K85">_xlfn.IFS(J85&gt;=90,"Excelente",J85&gt;=80,"Muy Bueno",J85&gt;=75,"Bueno",J85&gt;=65,"Regular",J85&gt;=55,"Insuficiente")</f>
        <v>Excelente</v>
      </c>
    </row>
    <row r="86" spans="1:11" hidden="1">
      <c r="A86" t="s">
        <v>231</v>
      </c>
      <c r="B86" s="16">
        <v>3</v>
      </c>
      <c r="C86" s="16">
        <v>20</v>
      </c>
      <c r="D86" s="16">
        <v>20</v>
      </c>
      <c r="E86" s="16">
        <v>20</v>
      </c>
      <c r="F86" s="16">
        <v>10</v>
      </c>
      <c r="G86" s="16">
        <v>10</v>
      </c>
      <c r="H86" s="16">
        <v>10</v>
      </c>
      <c r="I86" s="16">
        <v>10</v>
      </c>
      <c r="J86" s="16">
        <f t="shared" si="1"/>
        <v>100</v>
      </c>
      <c r="K86" t="str" cm="1">
        <f t="array" ref="K86">_xlfn.IFS(J86&gt;=90,"Excelente",J86&gt;=80,"Muy Bueno",J86&gt;=75,"Bueno",J86&gt;=65,"Regular",J86&gt;=55,"Insuficiente")</f>
        <v>Excelente</v>
      </c>
    </row>
    <row r="87" spans="1:11" hidden="1">
      <c r="A87" t="s">
        <v>249</v>
      </c>
      <c r="B87" s="16">
        <v>3</v>
      </c>
      <c r="C87" s="16">
        <v>20</v>
      </c>
      <c r="D87" s="16">
        <v>20</v>
      </c>
      <c r="E87" s="16">
        <v>20</v>
      </c>
      <c r="F87" s="16">
        <v>10</v>
      </c>
      <c r="G87" s="16">
        <v>10</v>
      </c>
      <c r="H87" s="16">
        <v>8.6666666666666661</v>
      </c>
      <c r="I87" s="16">
        <v>10</v>
      </c>
      <c r="J87" s="16">
        <f t="shared" si="1"/>
        <v>98.666666666666671</v>
      </c>
      <c r="K87" t="str" cm="1">
        <f t="array" ref="K87">_xlfn.IFS(J87&gt;=90,"Excelente",J87&gt;=80,"Muy Bueno",J87&gt;=75,"Bueno",J87&gt;=65,"Regular",J87&gt;=55,"Insuficiente")</f>
        <v>Excelente</v>
      </c>
    </row>
    <row r="88" spans="1:11" hidden="1">
      <c r="A88" t="s">
        <v>245</v>
      </c>
      <c r="B88" s="16">
        <v>3</v>
      </c>
      <c r="C88" s="16">
        <v>20</v>
      </c>
      <c r="D88" s="16">
        <v>20</v>
      </c>
      <c r="E88" s="16">
        <v>20</v>
      </c>
      <c r="F88" s="16">
        <v>10</v>
      </c>
      <c r="G88" s="16">
        <v>10</v>
      </c>
      <c r="H88" s="16">
        <v>9.3333333333333339</v>
      </c>
      <c r="I88" s="16">
        <v>10</v>
      </c>
      <c r="J88" s="16">
        <f t="shared" si="1"/>
        <v>99.333333333333329</v>
      </c>
      <c r="K88" t="str" cm="1">
        <f t="array" ref="K88">_xlfn.IFS(J88&gt;=90,"Excelente",J88&gt;=80,"Muy Bueno",J88&gt;=75,"Bueno",J88&gt;=65,"Regular",J88&gt;=55,"Insuficiente")</f>
        <v>Excelente</v>
      </c>
    </row>
    <row r="89" spans="1:11" hidden="1">
      <c r="A89" t="s">
        <v>223</v>
      </c>
      <c r="B89" s="16">
        <v>3</v>
      </c>
      <c r="C89" s="16">
        <v>20</v>
      </c>
      <c r="D89" s="16">
        <v>20</v>
      </c>
      <c r="E89" s="16">
        <v>20</v>
      </c>
      <c r="F89" s="16">
        <v>10</v>
      </c>
      <c r="G89" s="16">
        <v>9.3333333333333339</v>
      </c>
      <c r="H89" s="16">
        <v>9.3333333333333339</v>
      </c>
      <c r="I89" s="16">
        <v>10</v>
      </c>
      <c r="J89" s="16">
        <f t="shared" si="1"/>
        <v>98.666666666666657</v>
      </c>
      <c r="K89" t="str" cm="1">
        <f t="array" ref="K89">_xlfn.IFS(J89&gt;=90,"Excelente",J89&gt;=80,"Muy Bueno",J89&gt;=75,"Bueno",J89&gt;=65,"Regular",J89&gt;=55,"Insuficiente")</f>
        <v>Excelente</v>
      </c>
    </row>
    <row r="90" spans="1:11" hidden="1">
      <c r="A90" t="s">
        <v>263</v>
      </c>
      <c r="B90" s="16">
        <v>3</v>
      </c>
      <c r="C90" s="16">
        <v>18.666666666666668</v>
      </c>
      <c r="D90" s="16">
        <v>17.333333333333332</v>
      </c>
      <c r="E90" s="16">
        <v>17.333333333333332</v>
      </c>
      <c r="F90" s="16">
        <v>8.6666666666666661</v>
      </c>
      <c r="G90" s="16">
        <v>8.6666666666666661</v>
      </c>
      <c r="H90" s="16">
        <v>8</v>
      </c>
      <c r="I90" s="16">
        <v>9.3333333333333339</v>
      </c>
      <c r="J90" s="16">
        <f t="shared" si="1"/>
        <v>87.999999999999986</v>
      </c>
      <c r="K90" t="str" cm="1">
        <f t="array" ref="K90">_xlfn.IFS(J90&gt;=90,"Excelente",J90&gt;=80,"Muy Bueno",J90&gt;=75,"Bueno",J90&gt;=65,"Regular",J90&gt;=55,"Insuficiente")</f>
        <v>Muy Bueno</v>
      </c>
    </row>
    <row r="91" spans="1:11" hidden="1">
      <c r="A91" t="s">
        <v>232</v>
      </c>
      <c r="B91" s="16">
        <v>3</v>
      </c>
      <c r="C91" s="16">
        <v>20</v>
      </c>
      <c r="D91" s="16">
        <v>20</v>
      </c>
      <c r="E91" s="16">
        <v>20</v>
      </c>
      <c r="F91" s="16">
        <v>10</v>
      </c>
      <c r="G91" s="16">
        <v>10</v>
      </c>
      <c r="H91" s="16">
        <v>10</v>
      </c>
      <c r="I91" s="16">
        <v>10</v>
      </c>
      <c r="J91" s="16">
        <f t="shared" si="1"/>
        <v>100</v>
      </c>
      <c r="K91" t="str" cm="1">
        <f t="array" ref="K91">_xlfn.IFS(J91&gt;=90,"Excelente",J91&gt;=80,"Muy Bueno",J91&gt;=75,"Bueno",J91&gt;=65,"Regular",J91&gt;=55,"Insuficiente")</f>
        <v>Excelente</v>
      </c>
    </row>
    <row r="92" spans="1:11" hidden="1">
      <c r="A92" t="s">
        <v>140</v>
      </c>
      <c r="B92" s="16">
        <v>3</v>
      </c>
      <c r="C92" s="16">
        <v>18.666666666666668</v>
      </c>
      <c r="D92" s="16">
        <v>18.666666666666668</v>
      </c>
      <c r="E92" s="16">
        <v>18.666666666666668</v>
      </c>
      <c r="F92" s="16">
        <v>10</v>
      </c>
      <c r="G92" s="16">
        <v>9.3333333333333339</v>
      </c>
      <c r="H92" s="16">
        <v>9.3333333333333339</v>
      </c>
      <c r="I92" s="16">
        <v>9.3333333333333339</v>
      </c>
      <c r="J92" s="16">
        <f t="shared" si="1"/>
        <v>93.999999999999986</v>
      </c>
      <c r="K92" t="str" cm="1">
        <f t="array" ref="K92">_xlfn.IFS(J92&gt;=90,"Excelente",J92&gt;=80,"Muy Bueno",J92&gt;=75,"Bueno",J92&gt;=65,"Regular",J92&gt;=55,"Insuficiente")</f>
        <v>Excelente</v>
      </c>
    </row>
    <row r="93" spans="1:11" hidden="1">
      <c r="A93" t="s">
        <v>242</v>
      </c>
      <c r="B93" s="16">
        <v>3</v>
      </c>
      <c r="C93" s="16">
        <v>20</v>
      </c>
      <c r="D93" s="16">
        <v>20</v>
      </c>
      <c r="E93" s="16">
        <v>20</v>
      </c>
      <c r="F93" s="16">
        <v>9.3333333333333339</v>
      </c>
      <c r="G93" s="16">
        <v>10</v>
      </c>
      <c r="H93" s="16">
        <v>9.3333333333333339</v>
      </c>
      <c r="I93" s="16">
        <v>10</v>
      </c>
      <c r="J93" s="16">
        <f t="shared" si="1"/>
        <v>98.666666666666657</v>
      </c>
      <c r="K93" t="str" cm="1">
        <f t="array" ref="K93">_xlfn.IFS(J93&gt;=90,"Excelente",J93&gt;=80,"Muy Bueno",J93&gt;=75,"Bueno",J93&gt;=65,"Regular",J93&gt;=55,"Insuficiente")</f>
        <v>Excelente</v>
      </c>
    </row>
    <row r="94" spans="1:11" hidden="1">
      <c r="A94" t="s">
        <v>211</v>
      </c>
      <c r="B94" s="16">
        <v>3</v>
      </c>
      <c r="C94" s="16">
        <v>18.666666666666668</v>
      </c>
      <c r="D94" s="16">
        <v>18.666666666666668</v>
      </c>
      <c r="E94" s="16">
        <v>18.666666666666668</v>
      </c>
      <c r="F94" s="16">
        <v>9.3333333333333339</v>
      </c>
      <c r="G94" s="16">
        <v>9.3333333333333339</v>
      </c>
      <c r="H94" s="16">
        <v>9.3333333333333339</v>
      </c>
      <c r="I94" s="16">
        <v>10</v>
      </c>
      <c r="J94" s="16">
        <f t="shared" si="1"/>
        <v>93.999999999999986</v>
      </c>
      <c r="K94" t="str" cm="1">
        <f t="array" ref="K94">_xlfn.IFS(J94&gt;=90,"Excelente",J94&gt;=80,"Muy Bueno",J94&gt;=75,"Bueno",J94&gt;=65,"Regular",J94&gt;=55,"Insuficiente")</f>
        <v>Excelente</v>
      </c>
    </row>
    <row r="95" spans="1:11" hidden="1">
      <c r="A95" t="s">
        <v>236</v>
      </c>
      <c r="B95" s="16">
        <v>3</v>
      </c>
      <c r="C95" s="16">
        <v>20</v>
      </c>
      <c r="D95" s="16">
        <v>20</v>
      </c>
      <c r="E95" s="16">
        <v>20</v>
      </c>
      <c r="F95" s="16">
        <v>8.6666666666666661</v>
      </c>
      <c r="G95" s="16">
        <v>10</v>
      </c>
      <c r="H95" s="16">
        <v>10</v>
      </c>
      <c r="I95" s="16">
        <v>10</v>
      </c>
      <c r="J95" s="16">
        <f t="shared" si="1"/>
        <v>98.666666666666671</v>
      </c>
      <c r="K95" t="str" cm="1">
        <f t="array" ref="K95">_xlfn.IFS(J95&gt;=90,"Excelente",J95&gt;=80,"Muy Bueno",J95&gt;=75,"Bueno",J95&gt;=65,"Regular",J95&gt;=55,"Insuficiente")</f>
        <v>Excelente</v>
      </c>
    </row>
    <row r="96" spans="1:11" hidden="1">
      <c r="A96" t="s">
        <v>218</v>
      </c>
      <c r="B96" s="16">
        <v>3</v>
      </c>
      <c r="C96" s="16">
        <v>20</v>
      </c>
      <c r="D96" s="16">
        <v>20</v>
      </c>
      <c r="E96" s="16">
        <v>18.666666666666668</v>
      </c>
      <c r="F96" s="16">
        <v>9.3333333333333339</v>
      </c>
      <c r="G96" s="16">
        <v>9.3333333333333339</v>
      </c>
      <c r="H96" s="16">
        <v>10</v>
      </c>
      <c r="I96" s="16">
        <v>9.3333333333333339</v>
      </c>
      <c r="J96" s="16">
        <f t="shared" si="1"/>
        <v>96.666666666666657</v>
      </c>
      <c r="K96" t="str" cm="1">
        <f t="array" ref="K96">_xlfn.IFS(J96&gt;=90,"Excelente",J96&gt;=80,"Muy Bueno",J96&gt;=75,"Bueno",J96&gt;=65,"Regular",J96&gt;=55,"Insuficiente")</f>
        <v>Excelente</v>
      </c>
    </row>
    <row r="97" spans="1:11" hidden="1">
      <c r="A97" t="s">
        <v>322</v>
      </c>
      <c r="B97" s="16">
        <v>3</v>
      </c>
      <c r="C97" s="16">
        <v>18.666666666666668</v>
      </c>
      <c r="D97" s="16">
        <v>17.333333333333332</v>
      </c>
      <c r="E97" s="16">
        <v>17.333333333333332</v>
      </c>
      <c r="F97" s="16">
        <v>9.3333333333333339</v>
      </c>
      <c r="G97" s="16">
        <v>9.3333333333333339</v>
      </c>
      <c r="H97" s="16">
        <v>8</v>
      </c>
      <c r="I97" s="16">
        <v>9.3333333333333339</v>
      </c>
      <c r="J97" s="16">
        <f t="shared" si="1"/>
        <v>89.333333333333329</v>
      </c>
      <c r="K97" t="str" cm="1">
        <f t="array" ref="K97">_xlfn.IFS(J97&gt;=90,"Excelente",J97&gt;=80,"Muy Bueno",J97&gt;=75,"Bueno",J97&gt;=65,"Regular",J97&gt;=55,"Insuficiente")</f>
        <v>Muy Bueno</v>
      </c>
    </row>
    <row r="98" spans="1:11" hidden="1">
      <c r="A98" t="s">
        <v>106</v>
      </c>
      <c r="B98" s="16">
        <v>3</v>
      </c>
      <c r="C98" s="16">
        <v>20</v>
      </c>
      <c r="D98" s="16">
        <v>18.666666666666668</v>
      </c>
      <c r="E98" s="16">
        <v>18.666666666666668</v>
      </c>
      <c r="F98" s="16">
        <v>10</v>
      </c>
      <c r="G98" s="16">
        <v>9.3333333333333339</v>
      </c>
      <c r="H98" s="16">
        <v>10</v>
      </c>
      <c r="I98" s="16">
        <v>10</v>
      </c>
      <c r="J98" s="16">
        <f t="shared" si="1"/>
        <v>96.666666666666671</v>
      </c>
      <c r="K98" t="str" cm="1">
        <f t="array" ref="K98">_xlfn.IFS(J98&gt;=90,"Excelente",J98&gt;=80,"Muy Bueno",J98&gt;=75,"Bueno",J98&gt;=65,"Regular",J98&gt;=55,"Insuficiente")</f>
        <v>Excelente</v>
      </c>
    </row>
    <row r="99" spans="1:11" hidden="1">
      <c r="A99" t="s">
        <v>118</v>
      </c>
      <c r="B99" s="16">
        <v>3</v>
      </c>
      <c r="C99" s="16">
        <v>20</v>
      </c>
      <c r="D99" s="16">
        <v>20</v>
      </c>
      <c r="E99" s="16">
        <v>20</v>
      </c>
      <c r="F99" s="16">
        <v>10</v>
      </c>
      <c r="G99" s="16">
        <v>10</v>
      </c>
      <c r="H99" s="16">
        <v>10</v>
      </c>
      <c r="I99" s="16">
        <v>10</v>
      </c>
      <c r="J99" s="16">
        <f t="shared" si="1"/>
        <v>100</v>
      </c>
      <c r="K99" t="str" cm="1">
        <f t="array" ref="K99">_xlfn.IFS(J99&gt;=90,"Excelente",J99&gt;=80,"Muy Bueno",J99&gt;=75,"Bueno",J99&gt;=65,"Regular",J99&gt;=55,"Insuficiente")</f>
        <v>Excelente</v>
      </c>
    </row>
    <row r="100" spans="1:11" hidden="1">
      <c r="A100" t="s">
        <v>328</v>
      </c>
      <c r="B100" s="16">
        <v>3</v>
      </c>
      <c r="C100" s="16">
        <v>18.666666666666668</v>
      </c>
      <c r="D100" s="16">
        <v>18.666666666666668</v>
      </c>
      <c r="E100" s="16">
        <v>18.666666666666668</v>
      </c>
      <c r="F100" s="16">
        <v>10</v>
      </c>
      <c r="G100" s="16">
        <v>10</v>
      </c>
      <c r="H100" s="16">
        <v>8.6666666666666661</v>
      </c>
      <c r="I100" s="16">
        <v>9.3333333333333339</v>
      </c>
      <c r="J100" s="16">
        <f t="shared" si="1"/>
        <v>94</v>
      </c>
      <c r="K100" t="str" cm="1">
        <f t="array" ref="K100">_xlfn.IFS(J100&gt;=90,"Excelente",J100&gt;=80,"Muy Bueno",J100&gt;=75,"Bueno",J100&gt;=65,"Regular",J100&gt;=55,"Insuficiente")</f>
        <v>Excelente</v>
      </c>
    </row>
    <row r="101" spans="1:11" hidden="1">
      <c r="A101" t="s">
        <v>58</v>
      </c>
      <c r="B101" s="16">
        <v>3</v>
      </c>
      <c r="C101" s="16">
        <v>20</v>
      </c>
      <c r="D101" s="16">
        <v>20</v>
      </c>
      <c r="E101" s="16">
        <v>20</v>
      </c>
      <c r="F101" s="16">
        <v>8.6666666666666661</v>
      </c>
      <c r="G101" s="16">
        <v>9.3333333333333339</v>
      </c>
      <c r="H101" s="16">
        <v>8.6666666666666661</v>
      </c>
      <c r="I101" s="16">
        <v>9.3333333333333339</v>
      </c>
      <c r="J101" s="16">
        <f t="shared" si="1"/>
        <v>96</v>
      </c>
      <c r="K101" t="str" cm="1">
        <f t="array" ref="K101">_xlfn.IFS(J101&gt;=90,"Excelente",J101&gt;=80,"Muy Bueno",J101&gt;=75,"Bueno",J101&gt;=65,"Regular",J101&gt;=55,"Insuficiente")</f>
        <v>Excelente</v>
      </c>
    </row>
    <row r="102" spans="1:11" hidden="1">
      <c r="A102" t="s">
        <v>243</v>
      </c>
      <c r="B102" s="16">
        <v>3</v>
      </c>
      <c r="C102" s="16">
        <v>20</v>
      </c>
      <c r="D102" s="16">
        <v>20</v>
      </c>
      <c r="E102" s="16">
        <v>20</v>
      </c>
      <c r="F102" s="16">
        <v>10</v>
      </c>
      <c r="G102" s="16">
        <v>10</v>
      </c>
      <c r="H102" s="16">
        <v>10</v>
      </c>
      <c r="I102" s="16">
        <v>10</v>
      </c>
      <c r="J102" s="16">
        <f t="shared" si="1"/>
        <v>100</v>
      </c>
      <c r="K102" t="str" cm="1">
        <f t="array" ref="K102">_xlfn.IFS(J102&gt;=90,"Excelente",J102&gt;=80,"Muy Bueno",J102&gt;=75,"Bueno",J102&gt;=65,"Regular",J102&gt;=55,"Insuficiente")</f>
        <v>Excelente</v>
      </c>
    </row>
    <row r="103" spans="1:11" hidden="1">
      <c r="A103" t="s">
        <v>282</v>
      </c>
      <c r="B103" s="16">
        <v>3</v>
      </c>
      <c r="C103" s="16">
        <v>20</v>
      </c>
      <c r="D103" s="16">
        <v>20</v>
      </c>
      <c r="E103" s="16">
        <v>18.666666666666668</v>
      </c>
      <c r="F103" s="16">
        <v>10</v>
      </c>
      <c r="G103" s="16">
        <v>10</v>
      </c>
      <c r="H103" s="16">
        <v>9.3333333333333339</v>
      </c>
      <c r="I103" s="16">
        <v>10</v>
      </c>
      <c r="J103" s="16">
        <f t="shared" si="1"/>
        <v>98</v>
      </c>
      <c r="K103" t="str" cm="1">
        <f t="array" ref="K103">_xlfn.IFS(J103&gt;=90,"Excelente",J103&gt;=80,"Muy Bueno",J103&gt;=75,"Bueno",J103&gt;=65,"Regular",J103&gt;=55,"Insuficiente")</f>
        <v>Excelente</v>
      </c>
    </row>
    <row r="104" spans="1:11" hidden="1">
      <c r="A104" t="s">
        <v>312</v>
      </c>
      <c r="B104" s="16">
        <v>3</v>
      </c>
      <c r="C104" s="16">
        <v>20</v>
      </c>
      <c r="D104" s="16">
        <v>20</v>
      </c>
      <c r="E104" s="16">
        <v>20</v>
      </c>
      <c r="F104" s="16">
        <v>10</v>
      </c>
      <c r="G104" s="16">
        <v>10</v>
      </c>
      <c r="H104" s="16">
        <v>9.3333333333333339</v>
      </c>
      <c r="I104" s="16">
        <v>10</v>
      </c>
      <c r="J104" s="16">
        <f t="shared" si="1"/>
        <v>99.333333333333329</v>
      </c>
      <c r="K104" t="str" cm="1">
        <f t="array" ref="K104">_xlfn.IFS(J104&gt;=90,"Excelente",J104&gt;=80,"Muy Bueno",J104&gt;=75,"Bueno",J104&gt;=65,"Regular",J104&gt;=55,"Insuficiente")</f>
        <v>Excelente</v>
      </c>
    </row>
    <row r="105" spans="1:11" hidden="1">
      <c r="A105" t="s">
        <v>252</v>
      </c>
      <c r="B105" s="16">
        <v>3</v>
      </c>
      <c r="C105" s="16">
        <v>20</v>
      </c>
      <c r="D105" s="16">
        <v>20</v>
      </c>
      <c r="E105" s="16">
        <v>20</v>
      </c>
      <c r="F105" s="16">
        <v>10</v>
      </c>
      <c r="G105" s="16">
        <v>9.3333333333333339</v>
      </c>
      <c r="H105" s="16">
        <v>8.6666666666666661</v>
      </c>
      <c r="I105" s="16">
        <v>8.6666666666666661</v>
      </c>
      <c r="J105" s="16">
        <f t="shared" si="1"/>
        <v>96.666666666666671</v>
      </c>
      <c r="K105" t="str" cm="1">
        <f t="array" ref="K105">_xlfn.IFS(J105&gt;=90,"Excelente",J105&gt;=80,"Muy Bueno",J105&gt;=75,"Bueno",J105&gt;=65,"Regular",J105&gt;=55,"Insuficiente")</f>
        <v>Excelente</v>
      </c>
    </row>
    <row r="106" spans="1:11" hidden="1">
      <c r="A106" t="s">
        <v>316</v>
      </c>
      <c r="B106" s="16">
        <v>3</v>
      </c>
      <c r="C106" s="16">
        <v>20</v>
      </c>
      <c r="D106" s="16">
        <v>20</v>
      </c>
      <c r="E106" s="16">
        <v>20</v>
      </c>
      <c r="F106" s="16">
        <v>10</v>
      </c>
      <c r="G106" s="16">
        <v>10</v>
      </c>
      <c r="H106" s="16">
        <v>9.3333333333333339</v>
      </c>
      <c r="I106" s="16">
        <v>10</v>
      </c>
      <c r="J106" s="16">
        <f t="shared" si="1"/>
        <v>99.333333333333329</v>
      </c>
      <c r="K106" t="str" cm="1">
        <f t="array" ref="K106">_xlfn.IFS(J106&gt;=90,"Excelente",J106&gt;=80,"Muy Bueno",J106&gt;=75,"Bueno",J106&gt;=65,"Regular",J106&gt;=55,"Insuficiente")</f>
        <v>Excelente</v>
      </c>
    </row>
    <row r="107" spans="1:11" hidden="1">
      <c r="A107" t="s">
        <v>310</v>
      </c>
      <c r="B107" s="16">
        <v>3</v>
      </c>
      <c r="C107" s="16">
        <v>20</v>
      </c>
      <c r="D107" s="16">
        <v>20</v>
      </c>
      <c r="E107" s="16">
        <v>20</v>
      </c>
      <c r="F107" s="16">
        <v>10</v>
      </c>
      <c r="G107" s="16">
        <v>10</v>
      </c>
      <c r="H107" s="16">
        <v>10</v>
      </c>
      <c r="I107" s="16">
        <v>10</v>
      </c>
      <c r="J107" s="16">
        <f t="shared" si="1"/>
        <v>100</v>
      </c>
      <c r="K107" t="str" cm="1">
        <f t="array" ref="K107">_xlfn.IFS(J107&gt;=90,"Excelente",J107&gt;=80,"Muy Bueno",J107&gt;=75,"Bueno",J107&gt;=65,"Regular",J107&gt;=55,"Insuficiente")</f>
        <v>Excelente</v>
      </c>
    </row>
    <row r="108" spans="1:11" hidden="1">
      <c r="A108" t="s">
        <v>270</v>
      </c>
      <c r="B108" s="16">
        <v>3</v>
      </c>
      <c r="C108" s="16">
        <v>20</v>
      </c>
      <c r="D108" s="16">
        <v>20</v>
      </c>
      <c r="E108" s="16">
        <v>20</v>
      </c>
      <c r="F108" s="16">
        <v>8</v>
      </c>
      <c r="G108" s="16">
        <v>8.6666666666666661</v>
      </c>
      <c r="H108" s="16">
        <v>8.6666666666666661</v>
      </c>
      <c r="I108" s="16">
        <v>10</v>
      </c>
      <c r="J108" s="16">
        <f t="shared" si="1"/>
        <v>95.333333333333343</v>
      </c>
      <c r="K108" t="str" cm="1">
        <f t="array" ref="K108">_xlfn.IFS(J108&gt;=90,"Excelente",J108&gt;=80,"Muy Bueno",J108&gt;=75,"Bueno",J108&gt;=65,"Regular",J108&gt;=55,"Insuficiente")</f>
        <v>Excelente</v>
      </c>
    </row>
    <row r="109" spans="1:11" hidden="1">
      <c r="A109" t="s">
        <v>308</v>
      </c>
      <c r="B109" s="16">
        <v>3</v>
      </c>
      <c r="C109" s="16">
        <v>20</v>
      </c>
      <c r="D109" s="16">
        <v>20</v>
      </c>
      <c r="E109" s="16">
        <v>20</v>
      </c>
      <c r="F109" s="16">
        <v>8</v>
      </c>
      <c r="G109" s="16">
        <v>8.6666666666666661</v>
      </c>
      <c r="H109" s="16">
        <v>8.6666666666666661</v>
      </c>
      <c r="I109" s="16">
        <v>9.3333333333333339</v>
      </c>
      <c r="J109" s="16">
        <f t="shared" si="1"/>
        <v>94.666666666666671</v>
      </c>
      <c r="K109" t="str" cm="1">
        <f t="array" ref="K109">_xlfn.IFS(J109&gt;=90,"Excelente",J109&gt;=80,"Muy Bueno",J109&gt;=75,"Bueno",J109&gt;=65,"Regular",J109&gt;=55,"Insuficiente")</f>
        <v>Excelente</v>
      </c>
    </row>
    <row r="110" spans="1:11" hidden="1">
      <c r="A110" t="s">
        <v>235</v>
      </c>
      <c r="B110" s="16">
        <v>3</v>
      </c>
      <c r="C110" s="16">
        <v>20</v>
      </c>
      <c r="D110" s="16">
        <v>20</v>
      </c>
      <c r="E110" s="16">
        <v>20</v>
      </c>
      <c r="F110" s="16">
        <v>8.6666666666666661</v>
      </c>
      <c r="G110" s="16">
        <v>10</v>
      </c>
      <c r="H110" s="16">
        <v>10</v>
      </c>
      <c r="I110" s="16">
        <v>10</v>
      </c>
      <c r="J110" s="16">
        <f t="shared" si="1"/>
        <v>98.666666666666671</v>
      </c>
      <c r="K110" t="str" cm="1">
        <f t="array" ref="K110">_xlfn.IFS(J110&gt;=90,"Excelente",J110&gt;=80,"Muy Bueno",J110&gt;=75,"Bueno",J110&gt;=65,"Regular",J110&gt;=55,"Insuficiente")</f>
        <v>Excelente</v>
      </c>
    </row>
    <row r="111" spans="1:11" hidden="1">
      <c r="A111" t="s">
        <v>230</v>
      </c>
      <c r="B111" s="16">
        <v>3</v>
      </c>
      <c r="C111" s="16">
        <v>20</v>
      </c>
      <c r="D111" s="16">
        <v>20</v>
      </c>
      <c r="E111" s="16">
        <v>18.666666666666668</v>
      </c>
      <c r="F111" s="16">
        <v>6</v>
      </c>
      <c r="G111" s="16">
        <v>7.333333333333333</v>
      </c>
      <c r="H111" s="16">
        <v>8.6666666666666661</v>
      </c>
      <c r="I111" s="16">
        <v>10</v>
      </c>
      <c r="J111" s="16">
        <f t="shared" si="1"/>
        <v>90.666666666666671</v>
      </c>
      <c r="K111" t="str" cm="1">
        <f t="array" ref="K111">_xlfn.IFS(J111&gt;=90,"Excelente",J111&gt;=80,"Muy Bueno",J111&gt;=75,"Bueno",J111&gt;=65,"Regular",J111&gt;=55,"Insuficiente")</f>
        <v>Excelente</v>
      </c>
    </row>
    <row r="112" spans="1:11" hidden="1">
      <c r="A112" t="s">
        <v>323</v>
      </c>
      <c r="B112" s="16">
        <v>3</v>
      </c>
      <c r="C112" s="16">
        <v>18.666666666666668</v>
      </c>
      <c r="D112" s="16">
        <v>17.333333333333332</v>
      </c>
      <c r="E112" s="16">
        <v>17.333333333333332</v>
      </c>
      <c r="F112" s="16">
        <v>9.3333333333333339</v>
      </c>
      <c r="G112" s="16">
        <v>9.3333333333333339</v>
      </c>
      <c r="H112" s="16">
        <v>8</v>
      </c>
      <c r="I112" s="16">
        <v>9.3333333333333339</v>
      </c>
      <c r="J112" s="16">
        <f t="shared" si="1"/>
        <v>89.333333333333329</v>
      </c>
      <c r="K112" t="str" cm="1">
        <f t="array" ref="K112">_xlfn.IFS(J112&gt;=90,"Excelente",J112&gt;=80,"Muy Bueno",J112&gt;=75,"Bueno",J112&gt;=65,"Regular",J112&gt;=55,"Insuficiente")</f>
        <v>Muy Bueno</v>
      </c>
    </row>
    <row r="113" spans="1:11" hidden="1">
      <c r="A113" t="s">
        <v>209</v>
      </c>
      <c r="B113" s="16">
        <v>3</v>
      </c>
      <c r="C113" s="16">
        <v>20</v>
      </c>
      <c r="D113" s="16">
        <v>20</v>
      </c>
      <c r="E113" s="16">
        <v>20</v>
      </c>
      <c r="F113" s="16">
        <v>10</v>
      </c>
      <c r="G113" s="16">
        <v>10</v>
      </c>
      <c r="H113" s="16">
        <v>10</v>
      </c>
      <c r="I113" s="16">
        <v>10</v>
      </c>
      <c r="J113" s="16">
        <f t="shared" si="1"/>
        <v>100</v>
      </c>
      <c r="K113" t="str" cm="1">
        <f t="array" ref="K113">_xlfn.IFS(J113&gt;=90,"Excelente",J113&gt;=80,"Muy Bueno",J113&gt;=75,"Bueno",J113&gt;=65,"Regular",J113&gt;=55,"Insuficiente")</f>
        <v>Excelente</v>
      </c>
    </row>
    <row r="114" spans="1:11" hidden="1">
      <c r="A114" t="s">
        <v>199</v>
      </c>
      <c r="B114" s="16">
        <v>3</v>
      </c>
      <c r="C114" s="16">
        <v>20</v>
      </c>
      <c r="D114" s="16">
        <v>20</v>
      </c>
      <c r="E114" s="16">
        <v>20</v>
      </c>
      <c r="F114" s="16">
        <v>9.3333333333333339</v>
      </c>
      <c r="G114" s="16">
        <v>9.3333333333333339</v>
      </c>
      <c r="H114" s="16">
        <v>10</v>
      </c>
      <c r="I114" s="16">
        <v>10</v>
      </c>
      <c r="J114" s="16">
        <f t="shared" si="1"/>
        <v>98.666666666666657</v>
      </c>
      <c r="K114" t="str" cm="1">
        <f t="array" ref="K114">_xlfn.IFS(J114&gt;=90,"Excelente",J114&gt;=80,"Muy Bueno",J114&gt;=75,"Bueno",J114&gt;=65,"Regular",J114&gt;=55,"Insuficiente")</f>
        <v>Excelente</v>
      </c>
    </row>
    <row r="115" spans="1:11" hidden="1">
      <c r="A115" t="s">
        <v>311</v>
      </c>
      <c r="B115" s="16">
        <v>3</v>
      </c>
      <c r="C115" s="16">
        <v>20</v>
      </c>
      <c r="D115" s="16">
        <v>20</v>
      </c>
      <c r="E115" s="16">
        <v>20</v>
      </c>
      <c r="F115" s="16">
        <v>10</v>
      </c>
      <c r="G115" s="16">
        <v>10</v>
      </c>
      <c r="H115" s="16">
        <v>10</v>
      </c>
      <c r="I115" s="16">
        <v>10</v>
      </c>
      <c r="J115" s="16">
        <f t="shared" si="1"/>
        <v>100</v>
      </c>
      <c r="K115" t="str" cm="1">
        <f t="array" ref="K115">_xlfn.IFS(J115&gt;=90,"Excelente",J115&gt;=80,"Muy Bueno",J115&gt;=75,"Bueno",J115&gt;=65,"Regular",J115&gt;=55,"Insuficiente")</f>
        <v>Excelente</v>
      </c>
    </row>
    <row r="116" spans="1:11" hidden="1">
      <c r="A116" t="s">
        <v>133</v>
      </c>
      <c r="B116" s="16">
        <v>3</v>
      </c>
      <c r="C116" s="16">
        <v>18.666666666666668</v>
      </c>
      <c r="D116" s="16">
        <v>20</v>
      </c>
      <c r="E116" s="16">
        <v>18.666666666666668</v>
      </c>
      <c r="F116" s="16">
        <v>9.3333333333333339</v>
      </c>
      <c r="G116" s="16">
        <v>9.3333333333333339</v>
      </c>
      <c r="H116" s="16">
        <v>9.3333333333333339</v>
      </c>
      <c r="I116" s="16">
        <v>8.6666666666666661</v>
      </c>
      <c r="J116" s="16">
        <f t="shared" si="1"/>
        <v>94</v>
      </c>
      <c r="K116" t="str" cm="1">
        <f t="array" ref="K116">_xlfn.IFS(J116&gt;=90,"Excelente",J116&gt;=80,"Muy Bueno",J116&gt;=75,"Bueno",J116&gt;=65,"Regular",J116&gt;=55,"Insuficiente")</f>
        <v>Excelente</v>
      </c>
    </row>
    <row r="117" spans="1:11" hidden="1">
      <c r="A117" t="s">
        <v>303</v>
      </c>
      <c r="B117" s="16">
        <v>3</v>
      </c>
      <c r="C117" s="16">
        <v>20</v>
      </c>
      <c r="D117" s="16">
        <v>20</v>
      </c>
      <c r="E117" s="16">
        <v>20</v>
      </c>
      <c r="F117" s="16">
        <v>9.3333333333333339</v>
      </c>
      <c r="G117" s="16">
        <v>9.3333333333333339</v>
      </c>
      <c r="H117" s="16">
        <v>10</v>
      </c>
      <c r="I117" s="16">
        <v>10</v>
      </c>
      <c r="J117" s="16">
        <f t="shared" si="1"/>
        <v>98.666666666666657</v>
      </c>
      <c r="K117" t="str" cm="1">
        <f t="array" ref="K117">_xlfn.IFS(J117&gt;=90,"Excelente",J117&gt;=80,"Muy Bueno",J117&gt;=75,"Bueno",J117&gt;=65,"Regular",J117&gt;=55,"Insuficiente")</f>
        <v>Excelente</v>
      </c>
    </row>
    <row r="118" spans="1:11" hidden="1">
      <c r="A118" t="s">
        <v>81</v>
      </c>
      <c r="B118" s="16">
        <v>3</v>
      </c>
      <c r="C118" s="16">
        <v>18.666666666666668</v>
      </c>
      <c r="D118" s="16">
        <v>20</v>
      </c>
      <c r="E118" s="16">
        <v>18.666666666666668</v>
      </c>
      <c r="F118" s="16">
        <v>8</v>
      </c>
      <c r="G118" s="16">
        <v>9.3333333333333339</v>
      </c>
      <c r="H118" s="16">
        <v>10</v>
      </c>
      <c r="I118" s="16">
        <v>8.6666666666666661</v>
      </c>
      <c r="J118" s="16">
        <f t="shared" si="1"/>
        <v>93.333333333333343</v>
      </c>
      <c r="K118" t="str" cm="1">
        <f t="array" ref="K118">_xlfn.IFS(J118&gt;=90,"Excelente",J118&gt;=80,"Muy Bueno",J118&gt;=75,"Bueno",J118&gt;=65,"Regular",J118&gt;=55,"Insuficiente")</f>
        <v>Excelente</v>
      </c>
    </row>
    <row r="119" spans="1:11" hidden="1">
      <c r="A119" t="s">
        <v>276</v>
      </c>
      <c r="B119" s="16">
        <v>3</v>
      </c>
      <c r="C119" s="16">
        <v>20</v>
      </c>
      <c r="D119" s="16">
        <v>18.666666666666668</v>
      </c>
      <c r="E119" s="16">
        <v>20</v>
      </c>
      <c r="F119" s="16">
        <v>10</v>
      </c>
      <c r="G119" s="16">
        <v>9.3333333333333339</v>
      </c>
      <c r="H119" s="16">
        <v>9.3333333333333339</v>
      </c>
      <c r="I119" s="16">
        <v>10</v>
      </c>
      <c r="J119" s="16">
        <f t="shared" si="1"/>
        <v>97.333333333333329</v>
      </c>
      <c r="K119" t="str" cm="1">
        <f t="array" ref="K119">_xlfn.IFS(J119&gt;=90,"Excelente",J119&gt;=80,"Muy Bueno",J119&gt;=75,"Bueno",J119&gt;=65,"Regular",J119&gt;=55,"Insuficiente")</f>
        <v>Excelente</v>
      </c>
    </row>
    <row r="120" spans="1:11" hidden="1">
      <c r="A120" t="s">
        <v>277</v>
      </c>
      <c r="B120" s="16">
        <v>3</v>
      </c>
      <c r="C120" s="16">
        <v>20</v>
      </c>
      <c r="D120" s="16">
        <v>18.666666666666668</v>
      </c>
      <c r="E120" s="16">
        <v>20</v>
      </c>
      <c r="F120" s="16">
        <v>10</v>
      </c>
      <c r="G120" s="16">
        <v>9.3333333333333339</v>
      </c>
      <c r="H120" s="16">
        <v>10</v>
      </c>
      <c r="I120" s="16">
        <v>10</v>
      </c>
      <c r="J120" s="16">
        <f t="shared" si="1"/>
        <v>98</v>
      </c>
      <c r="K120" t="str" cm="1">
        <f t="array" ref="K120">_xlfn.IFS(J120&gt;=90,"Excelente",J120&gt;=80,"Muy Bueno",J120&gt;=75,"Bueno",J120&gt;=65,"Regular",J120&gt;=55,"Insuficiente")</f>
        <v>Excelente</v>
      </c>
    </row>
    <row r="121" spans="1:11" hidden="1">
      <c r="A121" t="s">
        <v>122</v>
      </c>
      <c r="B121" s="16">
        <v>3</v>
      </c>
      <c r="C121" s="16">
        <v>20</v>
      </c>
      <c r="D121" s="16">
        <v>20</v>
      </c>
      <c r="E121" s="16">
        <v>20</v>
      </c>
      <c r="F121" s="16">
        <v>10</v>
      </c>
      <c r="G121" s="16">
        <v>9.3333333333333339</v>
      </c>
      <c r="H121" s="16">
        <v>10</v>
      </c>
      <c r="I121" s="16">
        <v>10</v>
      </c>
      <c r="J121" s="16">
        <f t="shared" si="1"/>
        <v>99.333333333333329</v>
      </c>
      <c r="K121" t="str" cm="1">
        <f t="array" ref="K121">_xlfn.IFS(J121&gt;=90,"Excelente",J121&gt;=80,"Muy Bueno",J121&gt;=75,"Bueno",J121&gt;=65,"Regular",J121&gt;=55,"Insuficiente")</f>
        <v>Excelente</v>
      </c>
    </row>
    <row r="122" spans="1:11" hidden="1">
      <c r="A122" t="s">
        <v>222</v>
      </c>
      <c r="B122" s="16">
        <v>3</v>
      </c>
      <c r="C122" s="16">
        <v>20</v>
      </c>
      <c r="D122" s="16">
        <v>20</v>
      </c>
      <c r="E122" s="16">
        <v>20</v>
      </c>
      <c r="F122" s="16">
        <v>10</v>
      </c>
      <c r="G122" s="16">
        <v>9.3333333333333339</v>
      </c>
      <c r="H122" s="16">
        <v>9.3333333333333339</v>
      </c>
      <c r="I122" s="16">
        <v>10</v>
      </c>
      <c r="J122" s="16">
        <f t="shared" si="1"/>
        <v>98.666666666666657</v>
      </c>
      <c r="K122" t="str" cm="1">
        <f t="array" ref="K122">_xlfn.IFS(J122&gt;=90,"Excelente",J122&gt;=80,"Muy Bueno",J122&gt;=75,"Bueno",J122&gt;=65,"Regular",J122&gt;=55,"Insuficiente")</f>
        <v>Excelente</v>
      </c>
    </row>
    <row r="123" spans="1:11" hidden="1">
      <c r="A123" t="s">
        <v>290</v>
      </c>
      <c r="B123" s="16">
        <v>3</v>
      </c>
      <c r="C123" s="16">
        <v>17.333333333333332</v>
      </c>
      <c r="D123" s="16">
        <v>17.333333333333332</v>
      </c>
      <c r="E123" s="16">
        <v>17.333333333333332</v>
      </c>
      <c r="F123" s="16">
        <v>9.3333333333333339</v>
      </c>
      <c r="G123" s="16">
        <v>8</v>
      </c>
      <c r="H123" s="16">
        <v>8.6666666666666661</v>
      </c>
      <c r="I123" s="16">
        <v>8.6666666666666661</v>
      </c>
      <c r="J123" s="16">
        <f t="shared" si="1"/>
        <v>86.666666666666686</v>
      </c>
      <c r="K123" t="str" cm="1">
        <f t="array" ref="K123">_xlfn.IFS(J123&gt;=90,"Excelente",J123&gt;=80,"Muy Bueno",J123&gt;=75,"Bueno",J123&gt;=65,"Regular",J123&gt;=55,"Insuficiente")</f>
        <v>Muy Bueno</v>
      </c>
    </row>
    <row r="124" spans="1:11" hidden="1">
      <c r="A124" t="s">
        <v>84</v>
      </c>
      <c r="B124" s="16">
        <v>3</v>
      </c>
      <c r="C124" s="16">
        <v>14.666666666666666</v>
      </c>
      <c r="D124" s="16">
        <v>16</v>
      </c>
      <c r="E124" s="16">
        <v>17.333333333333332</v>
      </c>
      <c r="F124" s="16">
        <v>6.666666666666667</v>
      </c>
      <c r="G124" s="16">
        <v>8.6666666666666661</v>
      </c>
      <c r="H124" s="16">
        <v>6.666666666666667</v>
      </c>
      <c r="I124" s="16">
        <v>8.6666666666666661</v>
      </c>
      <c r="J124" s="16">
        <f t="shared" si="1"/>
        <v>78.666666666666671</v>
      </c>
      <c r="K124" t="str" cm="1">
        <f t="array" ref="K124">_xlfn.IFS(J124&gt;=90,"Excelente",J124&gt;=80,"Muy Bueno",J124&gt;=75,"Bueno",J124&gt;=65,"Regular",J124&gt;=55,"Insuficiente")</f>
        <v>Bueno</v>
      </c>
    </row>
    <row r="125" spans="1:11" hidden="1">
      <c r="A125" t="s">
        <v>182</v>
      </c>
      <c r="B125" s="16">
        <v>3</v>
      </c>
      <c r="C125" s="16">
        <v>20</v>
      </c>
      <c r="D125" s="16">
        <v>20</v>
      </c>
      <c r="E125" s="16">
        <v>20</v>
      </c>
      <c r="F125" s="16">
        <v>9.3333333333333339</v>
      </c>
      <c r="G125" s="16">
        <v>9.3333333333333339</v>
      </c>
      <c r="H125" s="16">
        <v>9.3333333333333339</v>
      </c>
      <c r="I125" s="16">
        <v>9.3333333333333339</v>
      </c>
      <c r="J125" s="16">
        <f t="shared" si="1"/>
        <v>97.333333333333314</v>
      </c>
      <c r="K125" t="str" cm="1">
        <f t="array" ref="K125">_xlfn.IFS(J125&gt;=90,"Excelente",J125&gt;=80,"Muy Bueno",J125&gt;=75,"Bueno",J125&gt;=65,"Regular",J125&gt;=55,"Insuficiente")</f>
        <v>Excelente</v>
      </c>
    </row>
    <row r="126" spans="1:11" hidden="1">
      <c r="A126" t="s">
        <v>114</v>
      </c>
      <c r="B126" s="16">
        <v>3</v>
      </c>
      <c r="C126" s="16">
        <v>18.666666666666668</v>
      </c>
      <c r="D126" s="16">
        <v>16</v>
      </c>
      <c r="E126" s="16">
        <v>17.333333333333332</v>
      </c>
      <c r="F126" s="16">
        <v>8.6666666666666661</v>
      </c>
      <c r="G126" s="16">
        <v>10</v>
      </c>
      <c r="H126" s="16">
        <v>8.6666666666666661</v>
      </c>
      <c r="I126" s="16">
        <v>10</v>
      </c>
      <c r="J126" s="16">
        <f t="shared" si="1"/>
        <v>89.333333333333329</v>
      </c>
      <c r="K126" t="str" cm="1">
        <f t="array" ref="K126">_xlfn.IFS(J126&gt;=90,"Excelente",J126&gt;=80,"Muy Bueno",J126&gt;=75,"Bueno",J126&gt;=65,"Regular",J126&gt;=55,"Insuficiente")</f>
        <v>Muy Bueno</v>
      </c>
    </row>
    <row r="127" spans="1:11" hidden="1">
      <c r="A127" t="s">
        <v>160</v>
      </c>
      <c r="B127" s="16">
        <v>3</v>
      </c>
      <c r="C127" s="16">
        <v>20</v>
      </c>
      <c r="D127" s="16">
        <v>20</v>
      </c>
      <c r="E127" s="16">
        <v>20</v>
      </c>
      <c r="F127" s="16">
        <v>10</v>
      </c>
      <c r="G127" s="16">
        <v>10</v>
      </c>
      <c r="H127" s="16">
        <v>10</v>
      </c>
      <c r="I127" s="16">
        <v>10</v>
      </c>
      <c r="J127" s="16">
        <f t="shared" si="1"/>
        <v>100</v>
      </c>
      <c r="K127" t="str" cm="1">
        <f t="array" ref="K127">_xlfn.IFS(J127&gt;=90,"Excelente",J127&gt;=80,"Muy Bueno",J127&gt;=75,"Bueno",J127&gt;=65,"Regular",J127&gt;=55,"Insuficiente")</f>
        <v>Excelente</v>
      </c>
    </row>
    <row r="128" spans="1:11" hidden="1">
      <c r="A128" t="s">
        <v>210</v>
      </c>
      <c r="B128" s="16">
        <v>3</v>
      </c>
      <c r="C128" s="16">
        <v>20</v>
      </c>
      <c r="D128" s="16">
        <v>20</v>
      </c>
      <c r="E128" s="16">
        <v>20</v>
      </c>
      <c r="F128" s="16">
        <v>10</v>
      </c>
      <c r="G128" s="16">
        <v>10</v>
      </c>
      <c r="H128" s="16">
        <v>10</v>
      </c>
      <c r="I128" s="16">
        <v>10</v>
      </c>
      <c r="J128" s="16">
        <f t="shared" si="1"/>
        <v>100</v>
      </c>
      <c r="K128" t="str" cm="1">
        <f t="array" ref="K128">_xlfn.IFS(J128&gt;=90,"Excelente",J128&gt;=80,"Muy Bueno",J128&gt;=75,"Bueno",J128&gt;=65,"Regular",J128&gt;=55,"Insuficiente")</f>
        <v>Excelente</v>
      </c>
    </row>
    <row r="129" spans="1:11" hidden="1">
      <c r="A129" t="s">
        <v>205</v>
      </c>
      <c r="B129" s="16">
        <v>3</v>
      </c>
      <c r="C129" s="16">
        <v>20</v>
      </c>
      <c r="D129" s="16">
        <v>20</v>
      </c>
      <c r="E129" s="16">
        <v>20</v>
      </c>
      <c r="F129" s="16">
        <v>10</v>
      </c>
      <c r="G129" s="16">
        <v>10</v>
      </c>
      <c r="H129" s="16">
        <v>10</v>
      </c>
      <c r="I129" s="16">
        <v>10</v>
      </c>
      <c r="J129" s="16">
        <f t="shared" si="1"/>
        <v>100</v>
      </c>
      <c r="K129" t="str" cm="1">
        <f t="array" ref="K129">_xlfn.IFS(J129&gt;=90,"Excelente",J129&gt;=80,"Muy Bueno",J129&gt;=75,"Bueno",J129&gt;=65,"Regular",J129&gt;=55,"Insuficiente")</f>
        <v>Excelente</v>
      </c>
    </row>
    <row r="130" spans="1:11" hidden="1">
      <c r="A130" t="s">
        <v>192</v>
      </c>
      <c r="B130" s="16">
        <v>3</v>
      </c>
      <c r="C130" s="16">
        <v>20</v>
      </c>
      <c r="D130" s="16">
        <v>20</v>
      </c>
      <c r="E130" s="16">
        <v>18.666666666666668</v>
      </c>
      <c r="F130" s="16">
        <v>10</v>
      </c>
      <c r="G130" s="16">
        <v>9.3333333333333339</v>
      </c>
      <c r="H130" s="16">
        <v>10</v>
      </c>
      <c r="I130" s="16">
        <v>10</v>
      </c>
      <c r="J130" s="16">
        <f t="shared" si="1"/>
        <v>98</v>
      </c>
      <c r="K130" t="str" cm="1">
        <f t="array" ref="K130">_xlfn.IFS(J130&gt;=90,"Excelente",J130&gt;=80,"Muy Bueno",J130&gt;=75,"Bueno",J130&gt;=65,"Regular",J130&gt;=55,"Insuficiente")</f>
        <v>Excelente</v>
      </c>
    </row>
    <row r="131" spans="1:11" hidden="1">
      <c r="A131" t="s">
        <v>144</v>
      </c>
      <c r="B131" s="16">
        <v>3</v>
      </c>
      <c r="C131" s="16">
        <v>20</v>
      </c>
      <c r="D131" s="16">
        <v>20</v>
      </c>
      <c r="E131" s="16">
        <v>20</v>
      </c>
      <c r="F131" s="16">
        <v>9.3333333333333339</v>
      </c>
      <c r="G131" s="16">
        <v>9.3333333333333339</v>
      </c>
      <c r="H131" s="16">
        <v>9.3333333333333339</v>
      </c>
      <c r="I131" s="16">
        <v>9.3333333333333339</v>
      </c>
      <c r="J131" s="16">
        <f t="shared" ref="J131:J194" si="2">(C131+D131+E131+F131+G131+H131+I131)</f>
        <v>97.333333333333314</v>
      </c>
      <c r="K131" t="str" cm="1">
        <f t="array" ref="K131">_xlfn.IFS(J131&gt;=90,"Excelente",J131&gt;=80,"Muy Bueno",J131&gt;=75,"Bueno",J131&gt;=65,"Regular",J131&gt;=55,"Insuficiente")</f>
        <v>Excelente</v>
      </c>
    </row>
    <row r="132" spans="1:11" hidden="1">
      <c r="A132" t="s">
        <v>73</v>
      </c>
      <c r="B132" s="16">
        <v>3</v>
      </c>
      <c r="C132" s="16">
        <v>18.666666666666668</v>
      </c>
      <c r="D132" s="16">
        <v>20</v>
      </c>
      <c r="E132" s="16">
        <v>20</v>
      </c>
      <c r="F132" s="16">
        <v>10</v>
      </c>
      <c r="G132" s="16">
        <v>10</v>
      </c>
      <c r="H132" s="16">
        <v>9.3333333333333339</v>
      </c>
      <c r="I132" s="16">
        <v>8</v>
      </c>
      <c r="J132" s="16">
        <f t="shared" si="2"/>
        <v>96</v>
      </c>
      <c r="K132" t="str" cm="1">
        <f t="array" ref="K132">_xlfn.IFS(J132&gt;=90,"Excelente",J132&gt;=80,"Muy Bueno",J132&gt;=75,"Bueno",J132&gt;=65,"Regular",J132&gt;=55,"Insuficiente")</f>
        <v>Excelente</v>
      </c>
    </row>
    <row r="133" spans="1:11">
      <c r="A133" t="s">
        <v>320</v>
      </c>
      <c r="B133" s="16">
        <v>3</v>
      </c>
      <c r="C133" s="16">
        <v>20</v>
      </c>
      <c r="D133" s="16">
        <v>20</v>
      </c>
      <c r="E133" s="16">
        <v>20</v>
      </c>
      <c r="F133" s="16">
        <v>10</v>
      </c>
      <c r="G133" s="16">
        <v>10</v>
      </c>
      <c r="H133" s="16">
        <v>8.6666666666666661</v>
      </c>
      <c r="I133" s="16">
        <v>10</v>
      </c>
      <c r="J133" s="16">
        <f t="shared" si="2"/>
        <v>98.666666666666671</v>
      </c>
      <c r="K133" t="str" cm="1">
        <f t="array" ref="K133">_xlfn.IFS(J133&gt;=90,"Excelente",J133&gt;=80,"Muy Bueno",J133&gt;=75,"Bueno",J133&gt;=65,"Regular",J133&gt;=55,"Insuficiente")</f>
        <v>Excelente</v>
      </c>
    </row>
    <row r="134" spans="1:11" hidden="1">
      <c r="A134" t="s">
        <v>111</v>
      </c>
      <c r="B134" s="16">
        <v>3</v>
      </c>
      <c r="C134" s="16">
        <v>16</v>
      </c>
      <c r="D134" s="16">
        <v>18.666666666666668</v>
      </c>
      <c r="E134" s="16">
        <v>18.666666666666668</v>
      </c>
      <c r="F134" s="16">
        <v>9.3333333333333339</v>
      </c>
      <c r="G134" s="16">
        <v>9.3333333333333339</v>
      </c>
      <c r="H134" s="16">
        <v>8.6666666666666661</v>
      </c>
      <c r="I134" s="16">
        <v>8.6666666666666661</v>
      </c>
      <c r="J134" s="16">
        <f t="shared" si="2"/>
        <v>89.333333333333357</v>
      </c>
      <c r="K134" t="str" cm="1">
        <f t="array" ref="K134">_xlfn.IFS(J134&gt;=90,"Excelente",J134&gt;=80,"Muy Bueno",J134&gt;=75,"Bueno",J134&gt;=65,"Regular",J134&gt;=55,"Insuficiente")</f>
        <v>Muy Bueno</v>
      </c>
    </row>
    <row r="135" spans="1:11" hidden="1">
      <c r="A135" t="s">
        <v>143</v>
      </c>
      <c r="B135" s="16">
        <v>3</v>
      </c>
      <c r="C135" s="16">
        <v>20</v>
      </c>
      <c r="D135" s="16">
        <v>20</v>
      </c>
      <c r="E135" s="16">
        <v>20</v>
      </c>
      <c r="F135" s="16">
        <v>10</v>
      </c>
      <c r="G135" s="16">
        <v>10</v>
      </c>
      <c r="H135" s="16">
        <v>8.6666666666666661</v>
      </c>
      <c r="I135" s="16">
        <v>10</v>
      </c>
      <c r="J135" s="16">
        <f t="shared" si="2"/>
        <v>98.666666666666671</v>
      </c>
      <c r="K135" t="str" cm="1">
        <f t="array" ref="K135">_xlfn.IFS(J135&gt;=90,"Excelente",J135&gt;=80,"Muy Bueno",J135&gt;=75,"Bueno",J135&gt;=65,"Regular",J135&gt;=55,"Insuficiente")</f>
        <v>Excelente</v>
      </c>
    </row>
    <row r="136" spans="1:11" hidden="1">
      <c r="A136" t="s">
        <v>297</v>
      </c>
      <c r="B136" s="16">
        <v>3</v>
      </c>
      <c r="C136" s="16">
        <v>20</v>
      </c>
      <c r="D136" s="16">
        <v>20</v>
      </c>
      <c r="E136" s="16">
        <v>17.333333333333332</v>
      </c>
      <c r="F136" s="16">
        <v>8.6666666666666661</v>
      </c>
      <c r="G136" s="16">
        <v>10</v>
      </c>
      <c r="H136" s="16">
        <v>8.6666666666666661</v>
      </c>
      <c r="I136" s="16">
        <v>9.3333333333333339</v>
      </c>
      <c r="J136" s="16">
        <f t="shared" si="2"/>
        <v>94</v>
      </c>
      <c r="K136" t="str" cm="1">
        <f t="array" ref="K136">_xlfn.IFS(J136&gt;=90,"Excelente",J136&gt;=80,"Muy Bueno",J136&gt;=75,"Bueno",J136&gt;=65,"Regular",J136&gt;=55,"Insuficiente")</f>
        <v>Excelente</v>
      </c>
    </row>
    <row r="137" spans="1:11" hidden="1">
      <c r="A137" t="s">
        <v>100</v>
      </c>
      <c r="B137" s="16">
        <v>3</v>
      </c>
      <c r="C137" s="16">
        <v>20</v>
      </c>
      <c r="D137" s="16">
        <v>18.666666666666668</v>
      </c>
      <c r="E137" s="16">
        <v>17.333333333333332</v>
      </c>
      <c r="F137" s="16">
        <v>10</v>
      </c>
      <c r="G137" s="16">
        <v>10</v>
      </c>
      <c r="H137" s="16">
        <v>9.3333333333333339</v>
      </c>
      <c r="I137" s="16">
        <v>9.3333333333333339</v>
      </c>
      <c r="J137" s="16">
        <f t="shared" si="2"/>
        <v>94.666666666666657</v>
      </c>
      <c r="K137" t="str" cm="1">
        <f t="array" ref="K137">_xlfn.IFS(J137&gt;=90,"Excelente",J137&gt;=80,"Muy Bueno",J137&gt;=75,"Bueno",J137&gt;=65,"Regular",J137&gt;=55,"Insuficiente")</f>
        <v>Excelente</v>
      </c>
    </row>
    <row r="138" spans="1:11" hidden="1">
      <c r="A138" t="s">
        <v>262</v>
      </c>
      <c r="B138" s="16">
        <v>3</v>
      </c>
      <c r="C138" s="16">
        <v>20</v>
      </c>
      <c r="D138" s="16">
        <v>20</v>
      </c>
      <c r="E138" s="16">
        <v>17.333333333333332</v>
      </c>
      <c r="F138" s="16">
        <v>8.6666666666666661</v>
      </c>
      <c r="G138" s="16">
        <v>8.6666666666666661</v>
      </c>
      <c r="H138" s="16">
        <v>8</v>
      </c>
      <c r="I138" s="16">
        <v>9.3333333333333339</v>
      </c>
      <c r="J138" s="16">
        <f t="shared" si="2"/>
        <v>92</v>
      </c>
      <c r="K138" t="str" cm="1">
        <f t="array" ref="K138">_xlfn.IFS(J138&gt;=90,"Excelente",J138&gt;=80,"Muy Bueno",J138&gt;=75,"Bueno",J138&gt;=65,"Regular",J138&gt;=55,"Insuficiente")</f>
        <v>Excelente</v>
      </c>
    </row>
    <row r="139" spans="1:11" hidden="1">
      <c r="A139" t="s">
        <v>272</v>
      </c>
      <c r="B139" s="16">
        <v>3</v>
      </c>
      <c r="C139" s="16">
        <v>20</v>
      </c>
      <c r="D139" s="16">
        <v>20</v>
      </c>
      <c r="E139" s="16">
        <v>18.666666666666668</v>
      </c>
      <c r="F139" s="16">
        <v>10</v>
      </c>
      <c r="G139" s="16">
        <v>10</v>
      </c>
      <c r="H139" s="16">
        <v>9.3333333333333339</v>
      </c>
      <c r="I139" s="16">
        <v>9.3333333333333339</v>
      </c>
      <c r="J139" s="16">
        <f t="shared" si="2"/>
        <v>97.333333333333329</v>
      </c>
      <c r="K139" t="str" cm="1">
        <f t="array" ref="K139">_xlfn.IFS(J139&gt;=90,"Excelente",J139&gt;=80,"Muy Bueno",J139&gt;=75,"Bueno",J139&gt;=65,"Regular",J139&gt;=55,"Insuficiente")</f>
        <v>Excelente</v>
      </c>
    </row>
    <row r="140" spans="1:11" hidden="1">
      <c r="A140" t="s">
        <v>115</v>
      </c>
      <c r="B140" s="16">
        <v>3</v>
      </c>
      <c r="C140" s="16">
        <v>20</v>
      </c>
      <c r="D140" s="16">
        <v>16</v>
      </c>
      <c r="E140" s="16">
        <v>17.333333333333332</v>
      </c>
      <c r="F140" s="16">
        <v>8.6666666666666661</v>
      </c>
      <c r="G140" s="16">
        <v>10</v>
      </c>
      <c r="H140" s="16">
        <v>8</v>
      </c>
      <c r="I140" s="16">
        <v>10</v>
      </c>
      <c r="J140" s="16">
        <f t="shared" si="2"/>
        <v>90</v>
      </c>
      <c r="K140" t="str" cm="1">
        <f t="array" ref="K140">_xlfn.IFS(J140&gt;=90,"Excelente",J140&gt;=80,"Muy Bueno",J140&gt;=75,"Bueno",J140&gt;=65,"Regular",J140&gt;=55,"Insuficiente")</f>
        <v>Excelente</v>
      </c>
    </row>
    <row r="141" spans="1:11" hidden="1">
      <c r="A141" t="s">
        <v>188</v>
      </c>
      <c r="B141" s="16">
        <v>3</v>
      </c>
      <c r="C141" s="16">
        <v>20</v>
      </c>
      <c r="D141" s="16">
        <v>18.666666666666668</v>
      </c>
      <c r="E141" s="16">
        <v>20</v>
      </c>
      <c r="F141" s="16">
        <v>9.3333333333333339</v>
      </c>
      <c r="G141" s="16">
        <v>10</v>
      </c>
      <c r="H141" s="16">
        <v>10</v>
      </c>
      <c r="I141" s="16">
        <v>9.3333333333333339</v>
      </c>
      <c r="J141" s="16">
        <f t="shared" si="2"/>
        <v>97.333333333333329</v>
      </c>
      <c r="K141" t="str" cm="1">
        <f t="array" ref="K141">_xlfn.IFS(J141&gt;=90,"Excelente",J141&gt;=80,"Muy Bueno",J141&gt;=75,"Bueno",J141&gt;=65,"Regular",J141&gt;=55,"Insuficiente")</f>
        <v>Excelente</v>
      </c>
    </row>
    <row r="142" spans="1:11" hidden="1">
      <c r="A142" t="s">
        <v>62</v>
      </c>
      <c r="B142" s="16">
        <v>3</v>
      </c>
      <c r="C142" s="16">
        <v>20</v>
      </c>
      <c r="D142" s="16">
        <v>18.666666666666668</v>
      </c>
      <c r="E142" s="16">
        <v>20</v>
      </c>
      <c r="F142" s="16">
        <v>8.6666666666666661</v>
      </c>
      <c r="G142" s="16">
        <v>9.3333333333333339</v>
      </c>
      <c r="H142" s="16">
        <v>8.6666666666666661</v>
      </c>
      <c r="I142" s="16">
        <v>10</v>
      </c>
      <c r="J142" s="16">
        <f t="shared" si="2"/>
        <v>95.333333333333343</v>
      </c>
      <c r="K142" t="str" cm="1">
        <f t="array" ref="K142">_xlfn.IFS(J142&gt;=90,"Excelente",J142&gt;=80,"Muy Bueno",J142&gt;=75,"Bueno",J142&gt;=65,"Regular",J142&gt;=55,"Insuficiente")</f>
        <v>Excelente</v>
      </c>
    </row>
    <row r="143" spans="1:11" hidden="1">
      <c r="A143" t="s">
        <v>132</v>
      </c>
      <c r="B143" s="16">
        <v>3</v>
      </c>
      <c r="C143" s="16">
        <v>20</v>
      </c>
      <c r="D143" s="16">
        <v>20</v>
      </c>
      <c r="E143" s="16">
        <v>18.666666666666668</v>
      </c>
      <c r="F143" s="16">
        <v>10</v>
      </c>
      <c r="G143" s="16">
        <v>10</v>
      </c>
      <c r="H143" s="16">
        <v>8.6666666666666661</v>
      </c>
      <c r="I143" s="16">
        <v>9.3333333333333339</v>
      </c>
      <c r="J143" s="16">
        <f t="shared" si="2"/>
        <v>96.666666666666671</v>
      </c>
      <c r="K143" t="str" cm="1">
        <f t="array" ref="K143">_xlfn.IFS(J143&gt;=90,"Excelente",J143&gt;=80,"Muy Bueno",J143&gt;=75,"Bueno",J143&gt;=65,"Regular",J143&gt;=55,"Insuficiente")</f>
        <v>Excelente</v>
      </c>
    </row>
    <row r="144" spans="1:11" hidden="1">
      <c r="A144" t="s">
        <v>281</v>
      </c>
      <c r="B144" s="16">
        <v>3</v>
      </c>
      <c r="C144" s="16">
        <v>18.666666666666668</v>
      </c>
      <c r="D144" s="16">
        <v>18.666666666666668</v>
      </c>
      <c r="E144" s="16">
        <v>17.333333333333332</v>
      </c>
      <c r="F144" s="16">
        <v>8</v>
      </c>
      <c r="G144" s="16">
        <v>9.3333333333333339</v>
      </c>
      <c r="H144" s="16">
        <v>8.6666666666666661</v>
      </c>
      <c r="I144" s="16">
        <v>8.6666666666666661</v>
      </c>
      <c r="J144" s="16">
        <f t="shared" si="2"/>
        <v>89.333333333333343</v>
      </c>
      <c r="K144" t="str" cm="1">
        <f t="array" ref="K144">_xlfn.IFS(J144&gt;=90,"Excelente",J144&gt;=80,"Muy Bueno",J144&gt;=75,"Bueno",J144&gt;=65,"Regular",J144&gt;=55,"Insuficiente")</f>
        <v>Muy Bueno</v>
      </c>
    </row>
    <row r="145" spans="1:11" hidden="1">
      <c r="A145" t="s">
        <v>119</v>
      </c>
      <c r="B145" s="16">
        <v>3</v>
      </c>
      <c r="C145" s="16">
        <v>20</v>
      </c>
      <c r="D145" s="16">
        <v>20</v>
      </c>
      <c r="E145" s="16">
        <v>20</v>
      </c>
      <c r="F145" s="16">
        <v>10</v>
      </c>
      <c r="G145" s="16">
        <v>10</v>
      </c>
      <c r="H145" s="16">
        <v>10</v>
      </c>
      <c r="I145" s="16">
        <v>10</v>
      </c>
      <c r="J145" s="16">
        <f t="shared" si="2"/>
        <v>100</v>
      </c>
      <c r="K145" t="str" cm="1">
        <f t="array" ref="K145">_xlfn.IFS(J145&gt;=90,"Excelente",J145&gt;=80,"Muy Bueno",J145&gt;=75,"Bueno",J145&gt;=65,"Regular",J145&gt;=55,"Insuficiente")</f>
        <v>Excelente</v>
      </c>
    </row>
    <row r="146" spans="1:11" hidden="1">
      <c r="A146" t="s">
        <v>158</v>
      </c>
      <c r="B146" s="16">
        <v>3</v>
      </c>
      <c r="C146" s="16">
        <v>18.666666666666668</v>
      </c>
      <c r="D146" s="16">
        <v>20</v>
      </c>
      <c r="E146" s="16">
        <v>20</v>
      </c>
      <c r="F146" s="16">
        <v>10</v>
      </c>
      <c r="G146" s="16">
        <v>10</v>
      </c>
      <c r="H146" s="16">
        <v>9.3333333333333339</v>
      </c>
      <c r="I146" s="16">
        <v>10</v>
      </c>
      <c r="J146" s="16">
        <f t="shared" si="2"/>
        <v>98</v>
      </c>
      <c r="K146" t="str" cm="1">
        <f t="array" ref="K146">_xlfn.IFS(J146&gt;=90,"Excelente",J146&gt;=80,"Muy Bueno",J146&gt;=75,"Bueno",J146&gt;=65,"Regular",J146&gt;=55,"Insuficiente")</f>
        <v>Excelente</v>
      </c>
    </row>
    <row r="147" spans="1:11">
      <c r="A147" t="s">
        <v>321</v>
      </c>
      <c r="B147" s="16">
        <v>3</v>
      </c>
      <c r="C147" s="16">
        <v>20</v>
      </c>
      <c r="D147" s="16">
        <v>20</v>
      </c>
      <c r="E147" s="16">
        <v>20</v>
      </c>
      <c r="F147" s="16">
        <v>10</v>
      </c>
      <c r="G147" s="16">
        <v>10</v>
      </c>
      <c r="H147" s="16">
        <v>8.6666666666666661</v>
      </c>
      <c r="I147" s="16">
        <v>10</v>
      </c>
      <c r="J147" s="16">
        <f t="shared" si="2"/>
        <v>98.666666666666671</v>
      </c>
      <c r="K147" t="str" cm="1">
        <f t="array" ref="K147">_xlfn.IFS(J147&gt;=90,"Excelente",J147&gt;=80,"Muy Bueno",J147&gt;=75,"Bueno",J147&gt;=65,"Regular",J147&gt;=55,"Insuficiente")</f>
        <v>Excelente</v>
      </c>
    </row>
    <row r="148" spans="1:11" hidden="1">
      <c r="A148" t="s">
        <v>49</v>
      </c>
      <c r="B148" s="16">
        <v>3</v>
      </c>
      <c r="C148" s="16">
        <v>20</v>
      </c>
      <c r="D148" s="16">
        <v>20</v>
      </c>
      <c r="E148" s="16">
        <v>18.666666666666668</v>
      </c>
      <c r="F148" s="16">
        <v>10</v>
      </c>
      <c r="G148" s="16">
        <v>10</v>
      </c>
      <c r="H148" s="16">
        <v>10</v>
      </c>
      <c r="I148" s="16">
        <v>8.6666666666666661</v>
      </c>
      <c r="J148" s="16">
        <f t="shared" si="2"/>
        <v>97.333333333333343</v>
      </c>
      <c r="K148" t="str" cm="1">
        <f t="array" ref="K148">_xlfn.IFS(J148&gt;=90,"Excelente",J148&gt;=80,"Muy Bueno",J148&gt;=75,"Bueno",J148&gt;=65,"Regular",J148&gt;=55,"Insuficiente")</f>
        <v>Excelente</v>
      </c>
    </row>
    <row r="149" spans="1:11" hidden="1">
      <c r="A149" t="s">
        <v>176</v>
      </c>
      <c r="B149" s="16">
        <v>3</v>
      </c>
      <c r="C149" s="16">
        <v>17.333333333333332</v>
      </c>
      <c r="D149" s="16">
        <v>17.333333333333332</v>
      </c>
      <c r="E149" s="16">
        <v>17.333333333333332</v>
      </c>
      <c r="F149" s="16">
        <v>8.6666666666666661</v>
      </c>
      <c r="G149" s="16">
        <v>7.333333333333333</v>
      </c>
      <c r="H149" s="16">
        <v>6.666666666666667</v>
      </c>
      <c r="I149" s="16">
        <v>7.333333333333333</v>
      </c>
      <c r="J149" s="16">
        <f t="shared" si="2"/>
        <v>82</v>
      </c>
      <c r="K149" t="str" cm="1">
        <f t="array" ref="K149">_xlfn.IFS(J149&gt;=90,"Excelente",J149&gt;=80,"Muy Bueno",J149&gt;=75,"Bueno",J149&gt;=65,"Regular",J149&gt;=55,"Insuficiente")</f>
        <v>Muy Bueno</v>
      </c>
    </row>
    <row r="150" spans="1:11" hidden="1">
      <c r="A150" t="s">
        <v>332</v>
      </c>
      <c r="B150" s="16">
        <v>3</v>
      </c>
      <c r="C150" s="16">
        <v>20</v>
      </c>
      <c r="D150" s="16">
        <v>17.333333333333332</v>
      </c>
      <c r="E150" s="16">
        <v>20</v>
      </c>
      <c r="F150" s="16">
        <v>10</v>
      </c>
      <c r="G150" s="16">
        <v>9.3333333333333339</v>
      </c>
      <c r="H150" s="16">
        <v>8.6666666666666661</v>
      </c>
      <c r="I150" s="16">
        <v>8.6666666666666661</v>
      </c>
      <c r="J150" s="16">
        <f t="shared" si="2"/>
        <v>94</v>
      </c>
      <c r="K150" t="str" cm="1">
        <f t="array" ref="K150">_xlfn.IFS(J150&gt;=90,"Excelente",J150&gt;=80,"Muy Bueno",J150&gt;=75,"Bueno",J150&gt;=65,"Regular",J150&gt;=55,"Insuficiente")</f>
        <v>Excelente</v>
      </c>
    </row>
    <row r="151" spans="1:11" hidden="1">
      <c r="A151" t="s">
        <v>190</v>
      </c>
      <c r="B151" s="16">
        <v>3</v>
      </c>
      <c r="C151" s="16">
        <v>20</v>
      </c>
      <c r="D151" s="16">
        <v>20</v>
      </c>
      <c r="E151" s="16">
        <v>18.666666666666668</v>
      </c>
      <c r="F151" s="16">
        <v>10</v>
      </c>
      <c r="G151" s="16">
        <v>9.3333333333333339</v>
      </c>
      <c r="H151" s="16">
        <v>10</v>
      </c>
      <c r="I151" s="16">
        <v>10</v>
      </c>
      <c r="J151" s="16">
        <f t="shared" si="2"/>
        <v>98</v>
      </c>
      <c r="K151" t="str" cm="1">
        <f t="array" ref="K151">_xlfn.IFS(J151&gt;=90,"Excelente",J151&gt;=80,"Muy Bueno",J151&gt;=75,"Bueno",J151&gt;=65,"Regular",J151&gt;=55,"Insuficiente")</f>
        <v>Excelente</v>
      </c>
    </row>
    <row r="152" spans="1:11" hidden="1">
      <c r="A152" t="s">
        <v>206</v>
      </c>
      <c r="B152" s="16">
        <v>3</v>
      </c>
      <c r="C152" s="16">
        <v>20</v>
      </c>
      <c r="D152" s="16">
        <v>20</v>
      </c>
      <c r="E152" s="16">
        <v>20</v>
      </c>
      <c r="F152" s="16">
        <v>10</v>
      </c>
      <c r="G152" s="16">
        <v>10</v>
      </c>
      <c r="H152" s="16">
        <v>10</v>
      </c>
      <c r="I152" s="16">
        <v>10</v>
      </c>
      <c r="J152" s="16">
        <f t="shared" si="2"/>
        <v>100</v>
      </c>
      <c r="K152" t="str" cm="1">
        <f t="array" ref="K152">_xlfn.IFS(J152&gt;=90,"Excelente",J152&gt;=80,"Muy Bueno",J152&gt;=75,"Bueno",J152&gt;=65,"Regular",J152&gt;=55,"Insuficiente")</f>
        <v>Excelente</v>
      </c>
    </row>
    <row r="153" spans="1:11" hidden="1">
      <c r="A153" t="s">
        <v>185</v>
      </c>
      <c r="B153" s="16">
        <v>3</v>
      </c>
      <c r="C153" s="16">
        <v>17.333333333333332</v>
      </c>
      <c r="D153" s="16">
        <v>17.333333333333332</v>
      </c>
      <c r="E153" s="16">
        <v>16</v>
      </c>
      <c r="F153" s="16">
        <v>7.333333333333333</v>
      </c>
      <c r="G153" s="16">
        <v>8.6666666666666661</v>
      </c>
      <c r="H153" s="16">
        <v>6</v>
      </c>
      <c r="I153" s="16">
        <v>6</v>
      </c>
      <c r="J153" s="16">
        <f t="shared" si="2"/>
        <v>78.666666666666671</v>
      </c>
      <c r="K153" t="str" cm="1">
        <f t="array" ref="K153">_xlfn.IFS(J153&gt;=90,"Excelente",J153&gt;=80,"Muy Bueno",J153&gt;=75,"Bueno",J153&gt;=65,"Regular",J153&gt;=55,"Insuficiente")</f>
        <v>Bueno</v>
      </c>
    </row>
    <row r="154" spans="1:11" hidden="1">
      <c r="A154" t="s">
        <v>53</v>
      </c>
      <c r="B154" s="16">
        <v>3</v>
      </c>
      <c r="C154" s="16">
        <v>20</v>
      </c>
      <c r="D154" s="16">
        <v>18.666666666666668</v>
      </c>
      <c r="E154" s="16">
        <v>18.666666666666668</v>
      </c>
      <c r="F154" s="16">
        <v>9.3333333333333339</v>
      </c>
      <c r="G154" s="16">
        <v>9.3333333333333339</v>
      </c>
      <c r="H154" s="16">
        <v>10</v>
      </c>
      <c r="I154" s="16">
        <v>8.6666666666666661</v>
      </c>
      <c r="J154" s="16">
        <f t="shared" si="2"/>
        <v>94.666666666666671</v>
      </c>
      <c r="K154" t="str" cm="1">
        <f t="array" ref="K154">_xlfn.IFS(J154&gt;=90,"Excelente",J154&gt;=80,"Muy Bueno",J154&gt;=75,"Bueno",J154&gt;=65,"Regular",J154&gt;=55,"Insuficiente")</f>
        <v>Excelente</v>
      </c>
    </row>
    <row r="155" spans="1:11" hidden="1">
      <c r="A155" t="s">
        <v>64</v>
      </c>
      <c r="B155" s="16">
        <v>3</v>
      </c>
      <c r="C155" s="16">
        <v>20</v>
      </c>
      <c r="D155" s="16">
        <v>20</v>
      </c>
      <c r="E155" s="16">
        <v>20</v>
      </c>
      <c r="F155" s="16">
        <v>10</v>
      </c>
      <c r="G155" s="16">
        <v>10</v>
      </c>
      <c r="H155" s="16">
        <v>10</v>
      </c>
      <c r="I155" s="16">
        <v>10</v>
      </c>
      <c r="J155" s="16">
        <f t="shared" si="2"/>
        <v>100</v>
      </c>
      <c r="K155" t="str" cm="1">
        <f t="array" ref="K155">_xlfn.IFS(J155&gt;=90,"Excelente",J155&gt;=80,"Muy Bueno",J155&gt;=75,"Bueno",J155&gt;=65,"Regular",J155&gt;=55,"Insuficiente")</f>
        <v>Excelente</v>
      </c>
    </row>
    <row r="156" spans="1:11" hidden="1">
      <c r="A156" t="s">
        <v>255</v>
      </c>
      <c r="B156" s="16">
        <v>3</v>
      </c>
      <c r="C156" s="16">
        <v>18.666666666666668</v>
      </c>
      <c r="D156" s="16">
        <v>20</v>
      </c>
      <c r="E156" s="16">
        <v>20</v>
      </c>
      <c r="F156" s="16">
        <v>9.3333333333333339</v>
      </c>
      <c r="G156" s="16">
        <v>9.3333333333333339</v>
      </c>
      <c r="H156" s="16">
        <v>10</v>
      </c>
      <c r="I156" s="16">
        <v>10</v>
      </c>
      <c r="J156" s="16">
        <f t="shared" si="2"/>
        <v>97.333333333333329</v>
      </c>
      <c r="K156" t="str" cm="1">
        <f t="array" ref="K156">_xlfn.IFS(J156&gt;=90,"Excelente",J156&gt;=80,"Muy Bueno",J156&gt;=75,"Bueno",J156&gt;=65,"Regular",J156&gt;=55,"Insuficiente")</f>
        <v>Excelente</v>
      </c>
    </row>
    <row r="157" spans="1:11" hidden="1">
      <c r="A157" t="s">
        <v>301</v>
      </c>
      <c r="B157" s="16">
        <v>3</v>
      </c>
      <c r="C157" s="16">
        <v>18.666666666666668</v>
      </c>
      <c r="D157" s="16">
        <v>18.666666666666668</v>
      </c>
      <c r="E157" s="16">
        <v>18.666666666666668</v>
      </c>
      <c r="F157" s="16">
        <v>9.3333333333333339</v>
      </c>
      <c r="G157" s="16">
        <v>9.3333333333333339</v>
      </c>
      <c r="H157" s="16">
        <v>8.6666666666666661</v>
      </c>
      <c r="I157" s="16">
        <v>9.3333333333333339</v>
      </c>
      <c r="J157" s="16">
        <f t="shared" si="2"/>
        <v>92.666666666666657</v>
      </c>
      <c r="K157" t="str" cm="1">
        <f t="array" ref="K157">_xlfn.IFS(J157&gt;=90,"Excelente",J157&gt;=80,"Muy Bueno",J157&gt;=75,"Bueno",J157&gt;=65,"Regular",J157&gt;=55,"Insuficiente")</f>
        <v>Excelente</v>
      </c>
    </row>
    <row r="158" spans="1:11" hidden="1">
      <c r="A158" t="s">
        <v>325</v>
      </c>
      <c r="B158" s="16">
        <v>3</v>
      </c>
      <c r="C158" s="16">
        <v>20</v>
      </c>
      <c r="D158" s="16">
        <v>18.666666666666668</v>
      </c>
      <c r="E158" s="16">
        <v>17.333333333333332</v>
      </c>
      <c r="F158" s="16">
        <v>9.3333333333333339</v>
      </c>
      <c r="G158" s="16">
        <v>9.3333333333333339</v>
      </c>
      <c r="H158" s="16">
        <v>8.6666666666666661</v>
      </c>
      <c r="I158" s="16">
        <v>9.3333333333333339</v>
      </c>
      <c r="J158" s="16">
        <f t="shared" si="2"/>
        <v>92.666666666666657</v>
      </c>
      <c r="K158" t="str" cm="1">
        <f t="array" ref="K158">_xlfn.IFS(J158&gt;=90,"Excelente",J158&gt;=80,"Muy Bueno",J158&gt;=75,"Bueno",J158&gt;=65,"Regular",J158&gt;=55,"Insuficiente")</f>
        <v>Excelente</v>
      </c>
    </row>
    <row r="159" spans="1:11" hidden="1">
      <c r="A159" t="s">
        <v>159</v>
      </c>
      <c r="B159" s="16">
        <v>3</v>
      </c>
      <c r="C159" s="16">
        <v>20</v>
      </c>
      <c r="D159" s="16">
        <v>20</v>
      </c>
      <c r="E159" s="16">
        <v>18.666666666666668</v>
      </c>
      <c r="F159" s="16">
        <v>8.6666666666666661</v>
      </c>
      <c r="G159" s="16">
        <v>9.3333333333333339</v>
      </c>
      <c r="H159" s="16">
        <v>9.3333333333333339</v>
      </c>
      <c r="I159" s="16">
        <v>10</v>
      </c>
      <c r="J159" s="16">
        <f t="shared" si="2"/>
        <v>96</v>
      </c>
      <c r="K159" t="str" cm="1">
        <f t="array" ref="K159">_xlfn.IFS(J159&gt;=90,"Excelente",J159&gt;=80,"Muy Bueno",J159&gt;=75,"Bueno",J159&gt;=65,"Regular",J159&gt;=55,"Insuficiente")</f>
        <v>Excelente</v>
      </c>
    </row>
    <row r="160" spans="1:11" hidden="1">
      <c r="A160" t="s">
        <v>333</v>
      </c>
      <c r="B160" s="16">
        <v>3</v>
      </c>
      <c r="C160" s="16">
        <v>18.666666666666668</v>
      </c>
      <c r="D160" s="16">
        <v>17.333333333333332</v>
      </c>
      <c r="E160" s="16">
        <v>20</v>
      </c>
      <c r="F160" s="16">
        <v>10</v>
      </c>
      <c r="G160" s="16">
        <v>10</v>
      </c>
      <c r="H160" s="16">
        <v>8.6666666666666661</v>
      </c>
      <c r="I160" s="16">
        <v>8.6666666666666661</v>
      </c>
      <c r="J160" s="16">
        <f t="shared" si="2"/>
        <v>93.333333333333343</v>
      </c>
      <c r="K160" t="str" cm="1">
        <f t="array" ref="K160">_xlfn.IFS(J160&gt;=90,"Excelente",J160&gt;=80,"Muy Bueno",J160&gt;=75,"Bueno",J160&gt;=65,"Regular",J160&gt;=55,"Insuficiente")</f>
        <v>Excelente</v>
      </c>
    </row>
    <row r="161" spans="1:11" hidden="1">
      <c r="A161" t="s">
        <v>238</v>
      </c>
      <c r="B161" s="16">
        <v>3</v>
      </c>
      <c r="C161" s="16">
        <v>18.666666666666668</v>
      </c>
      <c r="D161" s="16">
        <v>18.666666666666668</v>
      </c>
      <c r="E161" s="16">
        <v>16</v>
      </c>
      <c r="F161" s="16">
        <v>7.333333333333333</v>
      </c>
      <c r="G161" s="16">
        <v>8.6666666666666661</v>
      </c>
      <c r="H161" s="16">
        <v>8</v>
      </c>
      <c r="I161" s="16">
        <v>8</v>
      </c>
      <c r="J161" s="16">
        <f t="shared" si="2"/>
        <v>85.333333333333343</v>
      </c>
      <c r="K161" t="str" cm="1">
        <f t="array" ref="K161">_xlfn.IFS(J161&gt;=90,"Excelente",J161&gt;=80,"Muy Bueno",J161&gt;=75,"Bueno",J161&gt;=65,"Regular",J161&gt;=55,"Insuficiente")</f>
        <v>Muy Bueno</v>
      </c>
    </row>
    <row r="162" spans="1:11" hidden="1">
      <c r="A162" t="s">
        <v>147</v>
      </c>
      <c r="B162" s="16">
        <v>3</v>
      </c>
      <c r="C162" s="16">
        <v>20</v>
      </c>
      <c r="D162" s="16">
        <v>20</v>
      </c>
      <c r="E162" s="16">
        <v>20</v>
      </c>
      <c r="F162" s="16">
        <v>9.3333333333333339</v>
      </c>
      <c r="G162" s="16">
        <v>9.3333333333333339</v>
      </c>
      <c r="H162" s="16">
        <v>9.3333333333333339</v>
      </c>
      <c r="I162" s="16">
        <v>9.3333333333333339</v>
      </c>
      <c r="J162" s="16">
        <f t="shared" si="2"/>
        <v>97.333333333333314</v>
      </c>
      <c r="K162" t="str" cm="1">
        <f t="array" ref="K162">_xlfn.IFS(J162&gt;=90,"Excelente",J162&gt;=80,"Muy Bueno",J162&gt;=75,"Bueno",J162&gt;=65,"Regular",J162&gt;=55,"Insuficiente")</f>
        <v>Excelente</v>
      </c>
    </row>
    <row r="163" spans="1:11" hidden="1">
      <c r="A163" t="s">
        <v>279</v>
      </c>
      <c r="B163" s="16">
        <v>3</v>
      </c>
      <c r="C163" s="16">
        <v>20</v>
      </c>
      <c r="D163" s="16">
        <v>18.666666666666668</v>
      </c>
      <c r="E163" s="16">
        <v>17.333333333333332</v>
      </c>
      <c r="F163" s="16">
        <v>8</v>
      </c>
      <c r="G163" s="16">
        <v>10</v>
      </c>
      <c r="H163" s="16">
        <v>10</v>
      </c>
      <c r="I163" s="16">
        <v>8.6666666666666661</v>
      </c>
      <c r="J163" s="16">
        <f t="shared" si="2"/>
        <v>92.666666666666671</v>
      </c>
      <c r="K163" t="str" cm="1">
        <f t="array" ref="K163">_xlfn.IFS(J163&gt;=90,"Excelente",J163&gt;=80,"Muy Bueno",J163&gt;=75,"Bueno",J163&gt;=65,"Regular",J163&gt;=55,"Insuficiente")</f>
        <v>Excelente</v>
      </c>
    </row>
    <row r="164" spans="1:11" hidden="1">
      <c r="A164" t="s">
        <v>302</v>
      </c>
      <c r="B164" s="16">
        <v>3</v>
      </c>
      <c r="C164" s="16">
        <v>20</v>
      </c>
      <c r="D164" s="16">
        <v>18.666666666666668</v>
      </c>
      <c r="E164" s="16">
        <v>18.666666666666668</v>
      </c>
      <c r="F164" s="16">
        <v>10</v>
      </c>
      <c r="G164" s="16">
        <v>9.3333333333333339</v>
      </c>
      <c r="H164" s="16">
        <v>8.6666666666666661</v>
      </c>
      <c r="I164" s="16">
        <v>9.3333333333333339</v>
      </c>
      <c r="J164" s="16">
        <f t="shared" si="2"/>
        <v>94.666666666666671</v>
      </c>
      <c r="K164" t="str" cm="1">
        <f t="array" ref="K164">_xlfn.IFS(J164&gt;=90,"Excelente",J164&gt;=80,"Muy Bueno",J164&gt;=75,"Bueno",J164&gt;=65,"Regular",J164&gt;=55,"Insuficiente")</f>
        <v>Excelente</v>
      </c>
    </row>
    <row r="165" spans="1:11" hidden="1">
      <c r="A165" t="s">
        <v>148</v>
      </c>
      <c r="B165" s="16">
        <v>3</v>
      </c>
      <c r="C165" s="16">
        <v>20</v>
      </c>
      <c r="D165" s="16">
        <v>20</v>
      </c>
      <c r="E165" s="16">
        <v>20</v>
      </c>
      <c r="F165" s="16">
        <v>10</v>
      </c>
      <c r="G165" s="16">
        <v>8.6666666666666661</v>
      </c>
      <c r="H165" s="16">
        <v>8.6666666666666661</v>
      </c>
      <c r="I165" s="16">
        <v>9.3333333333333339</v>
      </c>
      <c r="J165" s="16">
        <f t="shared" si="2"/>
        <v>96.666666666666671</v>
      </c>
      <c r="K165" t="str" cm="1">
        <f t="array" ref="K165">_xlfn.IFS(J165&gt;=90,"Excelente",J165&gt;=80,"Muy Bueno",J165&gt;=75,"Bueno",J165&gt;=65,"Regular",J165&gt;=55,"Insuficiente")</f>
        <v>Excelente</v>
      </c>
    </row>
    <row r="166" spans="1:11" hidden="1">
      <c r="A166" t="s">
        <v>296</v>
      </c>
      <c r="B166" s="16">
        <v>3</v>
      </c>
      <c r="C166" s="16">
        <v>20</v>
      </c>
      <c r="D166" s="16">
        <v>20</v>
      </c>
      <c r="E166" s="16">
        <v>18.666666666666668</v>
      </c>
      <c r="F166" s="16">
        <v>9.3333333333333339</v>
      </c>
      <c r="G166" s="16">
        <v>10</v>
      </c>
      <c r="H166" s="16">
        <v>10</v>
      </c>
      <c r="I166" s="16">
        <v>9.3333333333333339</v>
      </c>
      <c r="J166" s="16">
        <f t="shared" si="2"/>
        <v>97.333333333333329</v>
      </c>
      <c r="K166" t="str" cm="1">
        <f t="array" ref="K166">_xlfn.IFS(J166&gt;=90,"Excelente",J166&gt;=80,"Muy Bueno",J166&gt;=75,"Bueno",J166&gt;=65,"Regular",J166&gt;=55,"Insuficiente")</f>
        <v>Excelente</v>
      </c>
    </row>
    <row r="167" spans="1:11" hidden="1">
      <c r="A167" t="s">
        <v>269</v>
      </c>
      <c r="B167" s="16">
        <v>3</v>
      </c>
      <c r="C167" s="16">
        <v>20</v>
      </c>
      <c r="D167" s="16">
        <v>20</v>
      </c>
      <c r="E167" s="16">
        <v>20</v>
      </c>
      <c r="F167" s="16">
        <v>9.3333333333333339</v>
      </c>
      <c r="G167" s="16">
        <v>10</v>
      </c>
      <c r="H167" s="16">
        <v>8.6666666666666661</v>
      </c>
      <c r="I167" s="16">
        <v>10</v>
      </c>
      <c r="J167" s="16">
        <f t="shared" si="2"/>
        <v>98</v>
      </c>
      <c r="K167" t="str" cm="1">
        <f t="array" ref="K167">_xlfn.IFS(J167&gt;=90,"Excelente",J167&gt;=80,"Muy Bueno",J167&gt;=75,"Bueno",J167&gt;=65,"Regular",J167&gt;=55,"Insuficiente")</f>
        <v>Excelente</v>
      </c>
    </row>
    <row r="168" spans="1:11" hidden="1">
      <c r="A168" t="s">
        <v>43</v>
      </c>
      <c r="B168" s="16">
        <v>3</v>
      </c>
      <c r="C168" s="16">
        <v>20</v>
      </c>
      <c r="D168" s="16">
        <v>20</v>
      </c>
      <c r="E168" s="16">
        <v>20</v>
      </c>
      <c r="F168" s="16">
        <v>9.3333333333333339</v>
      </c>
      <c r="G168" s="16">
        <v>10</v>
      </c>
      <c r="H168" s="16">
        <v>10</v>
      </c>
      <c r="I168" s="16">
        <v>10</v>
      </c>
      <c r="J168" s="16">
        <f t="shared" si="2"/>
        <v>99.333333333333329</v>
      </c>
      <c r="K168" t="str" cm="1">
        <f t="array" ref="K168">_xlfn.IFS(J168&gt;=90,"Excelente",J168&gt;=80,"Muy Bueno",J168&gt;=75,"Bueno",J168&gt;=65,"Regular",J168&gt;=55,"Insuficiente")</f>
        <v>Excelente</v>
      </c>
    </row>
    <row r="169" spans="1:11" hidden="1">
      <c r="A169" t="s">
        <v>196</v>
      </c>
      <c r="B169" s="16">
        <v>3</v>
      </c>
      <c r="C169" s="16">
        <v>20</v>
      </c>
      <c r="D169" s="16">
        <v>20</v>
      </c>
      <c r="E169" s="16">
        <v>18.666666666666668</v>
      </c>
      <c r="F169" s="16">
        <v>10</v>
      </c>
      <c r="G169" s="16">
        <v>10</v>
      </c>
      <c r="H169" s="16">
        <v>8.6666666666666661</v>
      </c>
      <c r="I169" s="16">
        <v>10</v>
      </c>
      <c r="J169" s="16">
        <f t="shared" si="2"/>
        <v>97.333333333333343</v>
      </c>
      <c r="K169" t="str" cm="1">
        <f t="array" ref="K169">_xlfn.IFS(J169&gt;=90,"Excelente",J169&gt;=80,"Muy Bueno",J169&gt;=75,"Bueno",J169&gt;=65,"Regular",J169&gt;=55,"Insuficiente")</f>
        <v>Excelente</v>
      </c>
    </row>
    <row r="170" spans="1:11" hidden="1">
      <c r="A170" t="s">
        <v>146</v>
      </c>
      <c r="B170" s="16">
        <v>3</v>
      </c>
      <c r="C170" s="16">
        <v>20</v>
      </c>
      <c r="D170" s="16">
        <v>20</v>
      </c>
      <c r="E170" s="16">
        <v>20</v>
      </c>
      <c r="F170" s="16">
        <v>10</v>
      </c>
      <c r="G170" s="16">
        <v>10</v>
      </c>
      <c r="H170" s="16">
        <v>9.3333333333333339</v>
      </c>
      <c r="I170" s="16">
        <v>9.3333333333333339</v>
      </c>
      <c r="J170" s="16">
        <f t="shared" si="2"/>
        <v>98.666666666666657</v>
      </c>
      <c r="K170" t="str" cm="1">
        <f t="array" ref="K170">_xlfn.IFS(J170&gt;=90,"Excelente",J170&gt;=80,"Muy Bueno",J170&gt;=75,"Bueno",J170&gt;=65,"Regular",J170&gt;=55,"Insuficiente")</f>
        <v>Excelente</v>
      </c>
    </row>
    <row r="171" spans="1:11" hidden="1">
      <c r="A171" t="s">
        <v>178</v>
      </c>
      <c r="B171" s="16">
        <v>3</v>
      </c>
      <c r="C171" s="16">
        <v>20</v>
      </c>
      <c r="D171" s="16">
        <v>18.666666666666668</v>
      </c>
      <c r="E171" s="16">
        <v>20</v>
      </c>
      <c r="F171" s="16">
        <v>8</v>
      </c>
      <c r="G171" s="16">
        <v>10</v>
      </c>
      <c r="H171" s="16">
        <v>10</v>
      </c>
      <c r="I171" s="16">
        <v>10</v>
      </c>
      <c r="J171" s="16">
        <f t="shared" si="2"/>
        <v>96.666666666666671</v>
      </c>
      <c r="K171" t="str" cm="1">
        <f t="array" ref="K171">_xlfn.IFS(J171&gt;=90,"Excelente",J171&gt;=80,"Muy Bueno",J171&gt;=75,"Bueno",J171&gt;=65,"Regular",J171&gt;=55,"Insuficiente")</f>
        <v>Excelente</v>
      </c>
    </row>
    <row r="172" spans="1:11" hidden="1">
      <c r="A172" t="s">
        <v>264</v>
      </c>
      <c r="B172" s="16">
        <v>3</v>
      </c>
      <c r="C172" s="16">
        <v>20</v>
      </c>
      <c r="D172" s="16">
        <v>20</v>
      </c>
      <c r="E172" s="16">
        <v>20</v>
      </c>
      <c r="F172" s="16">
        <v>10</v>
      </c>
      <c r="G172" s="16">
        <v>10</v>
      </c>
      <c r="H172" s="16">
        <v>10</v>
      </c>
      <c r="I172" s="16">
        <v>10</v>
      </c>
      <c r="J172" s="16">
        <f t="shared" si="2"/>
        <v>100</v>
      </c>
      <c r="K172" t="str" cm="1">
        <f t="array" ref="K172">_xlfn.IFS(J172&gt;=90,"Excelente",J172&gt;=80,"Muy Bueno",J172&gt;=75,"Bueno",J172&gt;=65,"Regular",J172&gt;=55,"Insuficiente")</f>
        <v>Excelente</v>
      </c>
    </row>
    <row r="173" spans="1:11" hidden="1">
      <c r="A173" t="s">
        <v>72</v>
      </c>
      <c r="B173" s="16">
        <v>3</v>
      </c>
      <c r="C173" s="16">
        <v>18.666666666666668</v>
      </c>
      <c r="D173" s="16">
        <v>20</v>
      </c>
      <c r="E173" s="16">
        <v>18.666666666666668</v>
      </c>
      <c r="F173" s="16">
        <v>10</v>
      </c>
      <c r="G173" s="16">
        <v>10</v>
      </c>
      <c r="H173" s="16">
        <v>10</v>
      </c>
      <c r="I173" s="16">
        <v>8.6666666666666661</v>
      </c>
      <c r="J173" s="16">
        <f t="shared" si="2"/>
        <v>96.000000000000014</v>
      </c>
      <c r="K173" t="str" cm="1">
        <f t="array" ref="K173">_xlfn.IFS(J173&gt;=90,"Excelente",J173&gt;=80,"Muy Bueno",J173&gt;=75,"Bueno",J173&gt;=65,"Regular",J173&gt;=55,"Insuficiente")</f>
        <v>Excelente</v>
      </c>
    </row>
    <row r="174" spans="1:11" hidden="1">
      <c r="A174" t="s">
        <v>288</v>
      </c>
      <c r="B174" s="16">
        <v>3</v>
      </c>
      <c r="C174" s="16">
        <v>18.666666666666668</v>
      </c>
      <c r="D174" s="16">
        <v>17.333333333333332</v>
      </c>
      <c r="E174" s="16">
        <v>20</v>
      </c>
      <c r="F174" s="16">
        <v>7.333333333333333</v>
      </c>
      <c r="G174" s="16">
        <v>9.3333333333333339</v>
      </c>
      <c r="H174" s="16">
        <v>10</v>
      </c>
      <c r="I174" s="16">
        <v>9.3333333333333339</v>
      </c>
      <c r="J174" s="16">
        <f t="shared" si="2"/>
        <v>92</v>
      </c>
      <c r="K174" t="str" cm="1">
        <f t="array" ref="K174">_xlfn.IFS(J174&gt;=90,"Excelente",J174&gt;=80,"Muy Bueno",J174&gt;=75,"Bueno",J174&gt;=65,"Regular",J174&gt;=55,"Insuficiente")</f>
        <v>Excelente</v>
      </c>
    </row>
    <row r="175" spans="1:11" hidden="1">
      <c r="A175" t="s">
        <v>202</v>
      </c>
      <c r="B175" s="16">
        <v>3</v>
      </c>
      <c r="C175" s="16">
        <v>18.666666666666668</v>
      </c>
      <c r="D175" s="16">
        <v>16</v>
      </c>
      <c r="E175" s="16">
        <v>17.333333333333332</v>
      </c>
      <c r="F175" s="16">
        <v>8.6666666666666661</v>
      </c>
      <c r="G175" s="16">
        <v>8.6666666666666661</v>
      </c>
      <c r="H175" s="16">
        <v>8.6666666666666661</v>
      </c>
      <c r="I175" s="16">
        <v>8.6666666666666661</v>
      </c>
      <c r="J175" s="16">
        <f t="shared" si="2"/>
        <v>86.666666666666671</v>
      </c>
      <c r="K175" t="str" cm="1">
        <f t="array" ref="K175">_xlfn.IFS(J175&gt;=90,"Excelente",J175&gt;=80,"Muy Bueno",J175&gt;=75,"Bueno",J175&gt;=65,"Regular",J175&gt;=55,"Insuficiente")</f>
        <v>Muy Bueno</v>
      </c>
    </row>
    <row r="176" spans="1:11" hidden="1">
      <c r="A176" t="s">
        <v>157</v>
      </c>
      <c r="B176" s="16">
        <v>3</v>
      </c>
      <c r="C176" s="16">
        <v>20</v>
      </c>
      <c r="D176" s="16">
        <v>20</v>
      </c>
      <c r="E176" s="16">
        <v>20</v>
      </c>
      <c r="F176" s="16">
        <v>7.333333333333333</v>
      </c>
      <c r="G176" s="16">
        <v>9.3333333333333339</v>
      </c>
      <c r="H176" s="16">
        <v>10</v>
      </c>
      <c r="I176" s="16">
        <v>10</v>
      </c>
      <c r="J176" s="16">
        <f t="shared" si="2"/>
        <v>96.666666666666657</v>
      </c>
      <c r="K176" t="str" cm="1">
        <f t="array" ref="K176">_xlfn.IFS(J176&gt;=90,"Excelente",J176&gt;=80,"Muy Bueno",J176&gt;=75,"Bueno",J176&gt;=65,"Regular",J176&gt;=55,"Insuficiente")</f>
        <v>Excelente</v>
      </c>
    </row>
    <row r="177" spans="1:11" hidden="1">
      <c r="A177" t="s">
        <v>278</v>
      </c>
      <c r="B177" s="16">
        <v>3</v>
      </c>
      <c r="C177" s="16">
        <v>20</v>
      </c>
      <c r="D177" s="16">
        <v>18.666666666666668</v>
      </c>
      <c r="E177" s="16">
        <v>20</v>
      </c>
      <c r="F177" s="16">
        <v>10</v>
      </c>
      <c r="G177" s="16">
        <v>9.3333333333333339</v>
      </c>
      <c r="H177" s="16">
        <v>9.3333333333333339</v>
      </c>
      <c r="I177" s="16">
        <v>10</v>
      </c>
      <c r="J177" s="16">
        <f t="shared" si="2"/>
        <v>97.333333333333329</v>
      </c>
      <c r="K177" t="str" cm="1">
        <f t="array" ref="K177">_xlfn.IFS(J177&gt;=90,"Excelente",J177&gt;=80,"Muy Bueno",J177&gt;=75,"Bueno",J177&gt;=65,"Regular",J177&gt;=55,"Insuficiente")</f>
        <v>Excelente</v>
      </c>
    </row>
    <row r="178" spans="1:11" hidden="1">
      <c r="A178" t="s">
        <v>258</v>
      </c>
      <c r="B178" s="16">
        <v>3</v>
      </c>
      <c r="C178" s="16">
        <v>20</v>
      </c>
      <c r="D178" s="16">
        <v>18.666666666666668</v>
      </c>
      <c r="E178" s="16">
        <v>18.666666666666668</v>
      </c>
      <c r="F178" s="16">
        <v>10</v>
      </c>
      <c r="G178" s="16">
        <v>10</v>
      </c>
      <c r="H178" s="16">
        <v>8.6666666666666661</v>
      </c>
      <c r="I178" s="16">
        <v>9.3333333333333339</v>
      </c>
      <c r="J178" s="16">
        <f t="shared" si="2"/>
        <v>95.333333333333343</v>
      </c>
      <c r="K178" t="str" cm="1">
        <f t="array" ref="K178">_xlfn.IFS(J178&gt;=90,"Excelente",J178&gt;=80,"Muy Bueno",J178&gt;=75,"Bueno",J178&gt;=65,"Regular",J178&gt;=55,"Insuficiente")</f>
        <v>Excelente</v>
      </c>
    </row>
    <row r="179" spans="1:11" hidden="1">
      <c r="A179" t="s">
        <v>228</v>
      </c>
      <c r="B179" s="16">
        <v>3</v>
      </c>
      <c r="C179" s="16">
        <v>20</v>
      </c>
      <c r="D179" s="16">
        <v>20</v>
      </c>
      <c r="E179" s="16">
        <v>20</v>
      </c>
      <c r="F179" s="16">
        <v>10</v>
      </c>
      <c r="G179" s="16">
        <v>10</v>
      </c>
      <c r="H179" s="16">
        <v>10</v>
      </c>
      <c r="I179" s="16">
        <v>10</v>
      </c>
      <c r="J179" s="16">
        <f t="shared" si="2"/>
        <v>100</v>
      </c>
      <c r="K179" t="str" cm="1">
        <f t="array" ref="K179">_xlfn.IFS(J179&gt;=90,"Excelente",J179&gt;=80,"Muy Bueno",J179&gt;=75,"Bueno",J179&gt;=65,"Regular",J179&gt;=55,"Insuficiente")</f>
        <v>Excelente</v>
      </c>
    </row>
    <row r="180" spans="1:11" hidden="1">
      <c r="A180" t="s">
        <v>161</v>
      </c>
      <c r="B180" s="16">
        <v>3</v>
      </c>
      <c r="C180" s="16">
        <v>20</v>
      </c>
      <c r="D180" s="16">
        <v>20</v>
      </c>
      <c r="E180" s="16">
        <v>18.666666666666668</v>
      </c>
      <c r="F180" s="16">
        <v>9.3333333333333339</v>
      </c>
      <c r="G180" s="16">
        <v>9.3333333333333339</v>
      </c>
      <c r="H180" s="16">
        <v>10</v>
      </c>
      <c r="I180" s="16">
        <v>10</v>
      </c>
      <c r="J180" s="16">
        <f t="shared" si="2"/>
        <v>97.333333333333329</v>
      </c>
      <c r="K180" t="str" cm="1">
        <f t="array" ref="K180">_xlfn.IFS(J180&gt;=90,"Excelente",J180&gt;=80,"Muy Bueno",J180&gt;=75,"Bueno",J180&gt;=65,"Regular",J180&gt;=55,"Insuficiente")</f>
        <v>Excelente</v>
      </c>
    </row>
    <row r="181" spans="1:11" hidden="1">
      <c r="A181" t="s">
        <v>193</v>
      </c>
      <c r="B181" s="16">
        <v>3</v>
      </c>
      <c r="C181" s="16">
        <v>18.666666666666668</v>
      </c>
      <c r="D181" s="16">
        <v>18.666666666666668</v>
      </c>
      <c r="E181" s="16">
        <v>17.333333333333332</v>
      </c>
      <c r="F181" s="16">
        <v>9.3333333333333339</v>
      </c>
      <c r="G181" s="16">
        <v>8.6666666666666661</v>
      </c>
      <c r="H181" s="16">
        <v>8.6666666666666661</v>
      </c>
      <c r="I181" s="16">
        <v>8.6666666666666661</v>
      </c>
      <c r="J181" s="16">
        <f t="shared" si="2"/>
        <v>90.000000000000014</v>
      </c>
      <c r="K181" t="str" cm="1">
        <f t="array" ref="K181">_xlfn.IFS(J181&gt;=90,"Excelente",J181&gt;=80,"Muy Bueno",J181&gt;=75,"Bueno",J181&gt;=65,"Regular",J181&gt;=55,"Insuficiente")</f>
        <v>Excelente</v>
      </c>
    </row>
    <row r="182" spans="1:11" hidden="1">
      <c r="A182" t="s">
        <v>197</v>
      </c>
      <c r="B182" s="16">
        <v>3</v>
      </c>
      <c r="C182" s="16">
        <v>20</v>
      </c>
      <c r="D182" s="16">
        <v>20</v>
      </c>
      <c r="E182" s="16">
        <v>18.666666666666668</v>
      </c>
      <c r="F182" s="16">
        <v>10</v>
      </c>
      <c r="G182" s="16">
        <v>10</v>
      </c>
      <c r="H182" s="16">
        <v>9.3333333333333339</v>
      </c>
      <c r="I182" s="16">
        <v>9.3333333333333339</v>
      </c>
      <c r="J182" s="16">
        <f t="shared" si="2"/>
        <v>97.333333333333329</v>
      </c>
      <c r="K182" t="str" cm="1">
        <f t="array" ref="K182">_xlfn.IFS(J182&gt;=90,"Excelente",J182&gt;=80,"Muy Bueno",J182&gt;=75,"Bueno",J182&gt;=65,"Regular",J182&gt;=55,"Insuficiente")</f>
        <v>Excelente</v>
      </c>
    </row>
    <row r="183" spans="1:11" hidden="1">
      <c r="A183" t="s">
        <v>207</v>
      </c>
      <c r="B183" s="16">
        <v>3</v>
      </c>
      <c r="C183" s="16">
        <v>18.666666666666668</v>
      </c>
      <c r="D183" s="16">
        <v>18.666666666666668</v>
      </c>
      <c r="E183" s="16">
        <v>18.666666666666668</v>
      </c>
      <c r="F183" s="16">
        <v>9.3333333333333339</v>
      </c>
      <c r="G183" s="16">
        <v>9.3333333333333339</v>
      </c>
      <c r="H183" s="16">
        <v>7.333333333333333</v>
      </c>
      <c r="I183" s="16">
        <v>8</v>
      </c>
      <c r="J183" s="16">
        <f t="shared" si="2"/>
        <v>89.999999999999986</v>
      </c>
      <c r="K183" t="str" cm="1">
        <f t="array" ref="K183">_xlfn.IFS(J183&gt;=90,"Excelente",J183&gt;=80,"Muy Bueno",J183&gt;=75,"Bueno",J183&gt;=65,"Regular",J183&gt;=55,"Insuficiente")</f>
        <v>Excelente</v>
      </c>
    </row>
    <row r="184" spans="1:11" hidden="1">
      <c r="A184" t="s">
        <v>294</v>
      </c>
      <c r="B184" s="16">
        <v>3</v>
      </c>
      <c r="C184" s="16">
        <v>20</v>
      </c>
      <c r="D184" s="16">
        <v>20</v>
      </c>
      <c r="E184" s="16">
        <v>20</v>
      </c>
      <c r="F184" s="16">
        <v>10</v>
      </c>
      <c r="G184" s="16">
        <v>10</v>
      </c>
      <c r="H184" s="16">
        <v>9.3333333333333339</v>
      </c>
      <c r="I184" s="16">
        <v>9.3333333333333339</v>
      </c>
      <c r="J184" s="16">
        <f t="shared" si="2"/>
        <v>98.666666666666657</v>
      </c>
      <c r="K184" t="str" cm="1">
        <f t="array" ref="K184">_xlfn.IFS(J184&gt;=90,"Excelente",J184&gt;=80,"Muy Bueno",J184&gt;=75,"Bueno",J184&gt;=65,"Regular",J184&gt;=55,"Insuficiente")</f>
        <v>Excelente</v>
      </c>
    </row>
    <row r="185" spans="1:11" hidden="1">
      <c r="A185" t="s">
        <v>136</v>
      </c>
      <c r="B185" s="16">
        <v>3</v>
      </c>
      <c r="C185" s="16">
        <v>20</v>
      </c>
      <c r="D185" s="16">
        <v>20</v>
      </c>
      <c r="E185" s="16">
        <v>20</v>
      </c>
      <c r="F185" s="16">
        <v>10</v>
      </c>
      <c r="G185" s="16">
        <v>8.6666666666666661</v>
      </c>
      <c r="H185" s="16">
        <v>9.3333333333333339</v>
      </c>
      <c r="I185" s="16">
        <v>10</v>
      </c>
      <c r="J185" s="16">
        <f t="shared" si="2"/>
        <v>98</v>
      </c>
      <c r="K185" t="str" cm="1">
        <f t="array" ref="K185">_xlfn.IFS(J185&gt;=90,"Excelente",J185&gt;=80,"Muy Bueno",J185&gt;=75,"Bueno",J185&gt;=65,"Regular",J185&gt;=55,"Insuficiente")</f>
        <v>Excelente</v>
      </c>
    </row>
    <row r="186" spans="1:11" hidden="1">
      <c r="A186" t="s">
        <v>149</v>
      </c>
      <c r="B186" s="16">
        <v>3</v>
      </c>
      <c r="C186" s="16">
        <v>20</v>
      </c>
      <c r="D186" s="16">
        <v>20</v>
      </c>
      <c r="E186" s="16">
        <v>20</v>
      </c>
      <c r="F186" s="16">
        <v>9.3333333333333339</v>
      </c>
      <c r="G186" s="16">
        <v>9.3333333333333339</v>
      </c>
      <c r="H186" s="16">
        <v>10</v>
      </c>
      <c r="I186" s="16">
        <v>8.6666666666666661</v>
      </c>
      <c r="J186" s="16">
        <f t="shared" si="2"/>
        <v>97.333333333333329</v>
      </c>
      <c r="K186" t="str" cm="1">
        <f t="array" ref="K186">_xlfn.IFS(J186&gt;=90,"Excelente",J186&gt;=80,"Muy Bueno",J186&gt;=75,"Bueno",J186&gt;=65,"Regular",J186&gt;=55,"Insuficiente")</f>
        <v>Excelente</v>
      </c>
    </row>
    <row r="187" spans="1:11" hidden="1">
      <c r="A187" t="s">
        <v>120</v>
      </c>
      <c r="B187" s="16">
        <v>3</v>
      </c>
      <c r="C187" s="16">
        <v>20</v>
      </c>
      <c r="D187" s="16">
        <v>20</v>
      </c>
      <c r="E187" s="16">
        <v>20</v>
      </c>
      <c r="F187" s="16">
        <v>10</v>
      </c>
      <c r="G187" s="16">
        <v>10</v>
      </c>
      <c r="H187" s="16">
        <v>10</v>
      </c>
      <c r="I187" s="16">
        <v>10</v>
      </c>
      <c r="J187" s="16">
        <f t="shared" si="2"/>
        <v>100</v>
      </c>
      <c r="K187" t="str" cm="1">
        <f t="array" ref="K187">_xlfn.IFS(J187&gt;=90,"Excelente",J187&gt;=80,"Muy Bueno",J187&gt;=75,"Bueno",J187&gt;=65,"Regular",J187&gt;=55,"Insuficiente")</f>
        <v>Excelente</v>
      </c>
    </row>
    <row r="188" spans="1:11" hidden="1">
      <c r="A188" t="s">
        <v>313</v>
      </c>
      <c r="B188" s="16">
        <v>3</v>
      </c>
      <c r="C188" s="16">
        <v>20</v>
      </c>
      <c r="D188" s="16">
        <v>20</v>
      </c>
      <c r="E188" s="16">
        <v>20</v>
      </c>
      <c r="F188" s="16">
        <v>10</v>
      </c>
      <c r="G188" s="16">
        <v>10</v>
      </c>
      <c r="H188" s="16">
        <v>9.3333333333333339</v>
      </c>
      <c r="I188" s="16">
        <v>10</v>
      </c>
      <c r="J188" s="16">
        <f t="shared" si="2"/>
        <v>99.333333333333329</v>
      </c>
      <c r="K188" t="str" cm="1">
        <f t="array" ref="K188">_xlfn.IFS(J188&gt;=90,"Excelente",J188&gt;=80,"Muy Bueno",J188&gt;=75,"Bueno",J188&gt;=65,"Regular",J188&gt;=55,"Insuficiente")</f>
        <v>Excelente</v>
      </c>
    </row>
    <row r="189" spans="1:11" hidden="1">
      <c r="A189" t="s">
        <v>298</v>
      </c>
      <c r="B189" s="16">
        <v>3</v>
      </c>
      <c r="C189" s="16">
        <v>20</v>
      </c>
      <c r="D189" s="16">
        <v>20</v>
      </c>
      <c r="E189" s="16">
        <v>17.333333333333332</v>
      </c>
      <c r="F189" s="16">
        <v>9.3333333333333339</v>
      </c>
      <c r="G189" s="16">
        <v>10</v>
      </c>
      <c r="H189" s="16">
        <v>8.6666666666666661</v>
      </c>
      <c r="I189" s="16">
        <v>10</v>
      </c>
      <c r="J189" s="16">
        <f t="shared" si="2"/>
        <v>95.333333333333329</v>
      </c>
      <c r="K189" t="str" cm="1">
        <f t="array" ref="K189">_xlfn.IFS(J189&gt;=90,"Excelente",J189&gt;=80,"Muy Bueno",J189&gt;=75,"Bueno",J189&gt;=65,"Regular",J189&gt;=55,"Insuficiente")</f>
        <v>Excelente</v>
      </c>
    </row>
    <row r="190" spans="1:11" hidden="1">
      <c r="A190" t="s">
        <v>275</v>
      </c>
      <c r="B190" s="16">
        <v>3</v>
      </c>
      <c r="C190" s="16">
        <v>18.666666666666668</v>
      </c>
      <c r="D190" s="16">
        <v>18.666666666666668</v>
      </c>
      <c r="E190" s="16">
        <v>17.333333333333332</v>
      </c>
      <c r="F190" s="16">
        <v>7.333333333333333</v>
      </c>
      <c r="G190" s="16">
        <v>8</v>
      </c>
      <c r="H190" s="16">
        <v>6.666666666666667</v>
      </c>
      <c r="I190" s="16">
        <v>8.6666666666666661</v>
      </c>
      <c r="J190" s="16">
        <f t="shared" si="2"/>
        <v>85.333333333333343</v>
      </c>
      <c r="K190" t="str" cm="1">
        <f t="array" ref="K190">_xlfn.IFS(J190&gt;=90,"Excelente",J190&gt;=80,"Muy Bueno",J190&gt;=75,"Bueno",J190&gt;=65,"Regular",J190&gt;=55,"Insuficiente")</f>
        <v>Muy Bueno</v>
      </c>
    </row>
    <row r="191" spans="1:11" hidden="1">
      <c r="A191" t="s">
        <v>208</v>
      </c>
      <c r="B191" s="16">
        <v>3</v>
      </c>
      <c r="C191" s="16">
        <v>18.666666666666668</v>
      </c>
      <c r="D191" s="16">
        <v>18.666666666666668</v>
      </c>
      <c r="E191" s="16">
        <v>18.666666666666668</v>
      </c>
      <c r="F191" s="16">
        <v>9.3333333333333339</v>
      </c>
      <c r="G191" s="16">
        <v>9.3333333333333339</v>
      </c>
      <c r="H191" s="16">
        <v>8.6666666666666661</v>
      </c>
      <c r="I191" s="16">
        <v>8.6666666666666661</v>
      </c>
      <c r="J191" s="16">
        <f t="shared" si="2"/>
        <v>92</v>
      </c>
      <c r="K191" t="str" cm="1">
        <f t="array" ref="K191">_xlfn.IFS(J191&gt;=90,"Excelente",J191&gt;=80,"Muy Bueno",J191&gt;=75,"Bueno",J191&gt;=65,"Regular",J191&gt;=55,"Insuficiente")</f>
        <v>Excelente</v>
      </c>
    </row>
    <row r="192" spans="1:11" hidden="1">
      <c r="A192" t="s">
        <v>137</v>
      </c>
      <c r="B192" s="16">
        <v>3</v>
      </c>
      <c r="C192" s="16">
        <v>20</v>
      </c>
      <c r="D192" s="16">
        <v>20</v>
      </c>
      <c r="E192" s="16">
        <v>20</v>
      </c>
      <c r="F192" s="16">
        <v>10</v>
      </c>
      <c r="G192" s="16">
        <v>8.6666666666666661</v>
      </c>
      <c r="H192" s="16">
        <v>9.3333333333333339</v>
      </c>
      <c r="I192" s="16">
        <v>10</v>
      </c>
      <c r="J192" s="16">
        <f t="shared" si="2"/>
        <v>98</v>
      </c>
      <c r="K192" t="str" cm="1">
        <f t="array" ref="K192">_xlfn.IFS(J192&gt;=90,"Excelente",J192&gt;=80,"Muy Bueno",J192&gt;=75,"Bueno",J192&gt;=65,"Regular",J192&gt;=55,"Insuficiente")</f>
        <v>Excelente</v>
      </c>
    </row>
    <row r="193" spans="1:11" hidden="1">
      <c r="A193" t="s">
        <v>77</v>
      </c>
      <c r="B193" s="16">
        <v>3</v>
      </c>
      <c r="C193" s="16">
        <v>18.666666666666668</v>
      </c>
      <c r="D193" s="16">
        <v>20</v>
      </c>
      <c r="E193" s="16">
        <v>18.666666666666668</v>
      </c>
      <c r="F193" s="16">
        <v>8</v>
      </c>
      <c r="G193" s="16">
        <v>9.3333333333333339</v>
      </c>
      <c r="H193" s="16">
        <v>10</v>
      </c>
      <c r="I193" s="16">
        <v>8.6666666666666661</v>
      </c>
      <c r="J193" s="16">
        <f t="shared" si="2"/>
        <v>93.333333333333343</v>
      </c>
      <c r="K193" t="str" cm="1">
        <f t="array" ref="K193">_xlfn.IFS(J193&gt;=90,"Excelente",J193&gt;=80,"Muy Bueno",J193&gt;=75,"Bueno",J193&gt;=65,"Regular",J193&gt;=55,"Insuficiente")</f>
        <v>Excelente</v>
      </c>
    </row>
    <row r="194" spans="1:11" hidden="1">
      <c r="A194" t="s">
        <v>295</v>
      </c>
      <c r="B194" s="16">
        <v>3</v>
      </c>
      <c r="C194" s="16">
        <v>20</v>
      </c>
      <c r="D194" s="16">
        <v>20</v>
      </c>
      <c r="E194" s="16">
        <v>20</v>
      </c>
      <c r="F194" s="16">
        <v>10</v>
      </c>
      <c r="G194" s="16">
        <v>10</v>
      </c>
      <c r="H194" s="16">
        <v>9.3333333333333339</v>
      </c>
      <c r="I194" s="16">
        <v>10</v>
      </c>
      <c r="J194" s="16">
        <f t="shared" si="2"/>
        <v>99.333333333333329</v>
      </c>
      <c r="K194" t="str" cm="1">
        <f t="array" ref="K194">_xlfn.IFS(J194&gt;=90,"Excelente",J194&gt;=80,"Muy Bueno",J194&gt;=75,"Bueno",J194&gt;=65,"Regular",J194&gt;=55,"Insuficiente")</f>
        <v>Excelente</v>
      </c>
    </row>
    <row r="195" spans="1:11" hidden="1">
      <c r="A195" t="s">
        <v>61</v>
      </c>
      <c r="B195" s="16">
        <v>3</v>
      </c>
      <c r="C195" s="16">
        <v>20</v>
      </c>
      <c r="D195" s="16">
        <v>20</v>
      </c>
      <c r="E195" s="16">
        <v>20</v>
      </c>
      <c r="F195" s="16">
        <v>8.6666666666666661</v>
      </c>
      <c r="G195" s="16">
        <v>9.3333333333333339</v>
      </c>
      <c r="H195" s="16">
        <v>8.6666666666666661</v>
      </c>
      <c r="I195" s="16">
        <v>10</v>
      </c>
      <c r="J195" s="16">
        <f t="shared" ref="J195:J201" si="3">(C195+D195+E195+F195+G195+H195+I195)</f>
        <v>96.666666666666671</v>
      </c>
      <c r="K195" t="str" cm="1">
        <f t="array" ref="K195">_xlfn.IFS(J195&gt;=90,"Excelente",J195&gt;=80,"Muy Bueno",J195&gt;=75,"Bueno",J195&gt;=65,"Regular",J195&gt;=55,"Insuficiente")</f>
        <v>Excelente</v>
      </c>
    </row>
    <row r="196" spans="1:11" hidden="1">
      <c r="A196" t="s">
        <v>244</v>
      </c>
      <c r="B196" s="16">
        <v>3</v>
      </c>
      <c r="C196" s="16">
        <v>20</v>
      </c>
      <c r="D196" s="16">
        <v>20</v>
      </c>
      <c r="E196" s="16">
        <v>20</v>
      </c>
      <c r="F196" s="16">
        <v>10</v>
      </c>
      <c r="G196" s="16">
        <v>10</v>
      </c>
      <c r="H196" s="16">
        <v>9.3333333333333339</v>
      </c>
      <c r="I196" s="16">
        <v>10</v>
      </c>
      <c r="J196" s="16">
        <f t="shared" si="3"/>
        <v>99.333333333333329</v>
      </c>
      <c r="K196" t="str" cm="1">
        <f t="array" ref="K196">_xlfn.IFS(J196&gt;=90,"Excelente",J196&gt;=80,"Muy Bueno",J196&gt;=75,"Bueno",J196&gt;=65,"Regular",J196&gt;=55,"Insuficiente")</f>
        <v>Excelente</v>
      </c>
    </row>
    <row r="197" spans="1:11" hidden="1">
      <c r="A197" t="s">
        <v>324</v>
      </c>
      <c r="B197" s="16">
        <v>3</v>
      </c>
      <c r="C197" s="16">
        <v>18.666666666666668</v>
      </c>
      <c r="D197" s="16">
        <v>17.333333333333332</v>
      </c>
      <c r="E197" s="16">
        <v>17.333333333333332</v>
      </c>
      <c r="F197" s="16">
        <v>9.3333333333333339</v>
      </c>
      <c r="G197" s="16">
        <v>9.3333333333333339</v>
      </c>
      <c r="H197" s="16">
        <v>8</v>
      </c>
      <c r="I197" s="16">
        <v>9.3333333333333339</v>
      </c>
      <c r="J197" s="16">
        <f t="shared" si="3"/>
        <v>89.333333333333329</v>
      </c>
      <c r="K197" t="str" cm="1">
        <f t="array" ref="K197">_xlfn.IFS(J197&gt;=90,"Excelente",J197&gt;=80,"Muy Bueno",J197&gt;=75,"Bueno",J197&gt;=65,"Regular",J197&gt;=55,"Insuficiente")</f>
        <v>Muy Bueno</v>
      </c>
    </row>
    <row r="198" spans="1:11" hidden="1">
      <c r="A198" t="s">
        <v>151</v>
      </c>
      <c r="B198" s="16">
        <v>3</v>
      </c>
      <c r="C198" s="16">
        <v>18.666666666666668</v>
      </c>
      <c r="D198" s="16">
        <v>18.666666666666668</v>
      </c>
      <c r="E198" s="16">
        <v>17.333333333333332</v>
      </c>
      <c r="F198" s="16">
        <v>10</v>
      </c>
      <c r="G198" s="16">
        <v>9.3333333333333339</v>
      </c>
      <c r="H198" s="16">
        <v>9.3333333333333339</v>
      </c>
      <c r="I198" s="16">
        <v>10</v>
      </c>
      <c r="J198" s="16">
        <f t="shared" si="3"/>
        <v>93.333333333333329</v>
      </c>
      <c r="K198" t="str" cm="1">
        <f t="array" ref="K198">_xlfn.IFS(J198&gt;=90,"Excelente",J198&gt;=80,"Muy Bueno",J198&gt;=75,"Bueno",J198&gt;=65,"Regular",J198&gt;=55,"Insuficiente")</f>
        <v>Excelente</v>
      </c>
    </row>
    <row r="199" spans="1:11" hidden="1">
      <c r="A199" t="s">
        <v>65</v>
      </c>
      <c r="B199" s="16">
        <v>3</v>
      </c>
      <c r="C199" s="16">
        <v>20</v>
      </c>
      <c r="D199" s="16">
        <v>20</v>
      </c>
      <c r="E199" s="16">
        <v>20</v>
      </c>
      <c r="F199" s="16">
        <v>10</v>
      </c>
      <c r="G199" s="16">
        <v>10</v>
      </c>
      <c r="H199" s="16">
        <v>10</v>
      </c>
      <c r="I199" s="16">
        <v>10</v>
      </c>
      <c r="J199" s="16">
        <f t="shared" si="3"/>
        <v>100</v>
      </c>
      <c r="K199" t="str" cm="1">
        <f t="array" ref="K199">_xlfn.IFS(J199&gt;=90,"Excelente",J199&gt;=80,"Muy Bueno",J199&gt;=75,"Bueno",J199&gt;=65,"Regular",J199&gt;=55,"Insuficiente")</f>
        <v>Excelente</v>
      </c>
    </row>
    <row r="200" spans="1:11" hidden="1">
      <c r="A200" t="s">
        <v>80</v>
      </c>
      <c r="B200" s="16">
        <v>3</v>
      </c>
      <c r="C200" s="16">
        <v>20</v>
      </c>
      <c r="D200" s="16">
        <v>20</v>
      </c>
      <c r="E200" s="16">
        <v>20</v>
      </c>
      <c r="F200" s="16">
        <v>9.3333333333333339</v>
      </c>
      <c r="G200" s="16">
        <v>9.3333333333333339</v>
      </c>
      <c r="H200" s="16">
        <v>10</v>
      </c>
      <c r="I200" s="16">
        <v>10</v>
      </c>
      <c r="J200" s="16">
        <f t="shared" si="3"/>
        <v>98.666666666666657</v>
      </c>
      <c r="K200" t="str" cm="1">
        <f t="array" ref="K200">_xlfn.IFS(J200&gt;=90,"Excelente",J200&gt;=80,"Muy Bueno",J200&gt;=75,"Bueno",J200&gt;=65,"Regular",J200&gt;=55,"Insuficiente")</f>
        <v>Excelente</v>
      </c>
    </row>
    <row r="201" spans="1:11" hidden="1">
      <c r="A201" t="s">
        <v>184</v>
      </c>
      <c r="B201" s="16">
        <v>3</v>
      </c>
      <c r="C201" s="16">
        <v>16</v>
      </c>
      <c r="D201" s="16">
        <v>16</v>
      </c>
      <c r="E201" s="16">
        <v>16</v>
      </c>
      <c r="F201" s="16">
        <v>6</v>
      </c>
      <c r="G201" s="16">
        <v>8</v>
      </c>
      <c r="H201" s="16">
        <v>6</v>
      </c>
      <c r="I201" s="16">
        <v>6</v>
      </c>
      <c r="J201" s="16">
        <f t="shared" si="3"/>
        <v>74</v>
      </c>
      <c r="K201" t="str" cm="1">
        <f t="array" ref="K201">_xlfn.IFS(J201&gt;=90,"Excelente",J201&gt;=80,"Muy Bueno",J201&gt;=75,"Bueno",J201&gt;=65,"Regular",J201&gt;=55,"Insuficiente")</f>
        <v>Regular</v>
      </c>
    </row>
    <row r="202" spans="1:11" hidden="1">
      <c r="A202" t="s">
        <v>390</v>
      </c>
      <c r="B202" s="16">
        <v>600</v>
      </c>
      <c r="C202" s="16">
        <v>19.466666666666665</v>
      </c>
      <c r="D202" s="16">
        <v>19.173333333333332</v>
      </c>
      <c r="E202" s="16">
        <v>18.966666666666665</v>
      </c>
      <c r="F202" s="16">
        <v>9.3766666666666669</v>
      </c>
      <c r="G202" s="16">
        <v>9.4533333333333331</v>
      </c>
      <c r="H202" s="16">
        <v>9.1133333333333333</v>
      </c>
      <c r="I202" s="16">
        <v>9.4533333333333331</v>
      </c>
    </row>
  </sheetData>
  <autoFilter ref="A1:K202" xr:uid="{D36E1D25-6762-854B-9D81-9A4F71ADDB2A}">
    <filterColumn colId="1">
      <filters>
        <filter val="1"/>
      </filters>
    </filterColumn>
  </autoFilter>
  <conditionalFormatting sqref="B1">
    <cfRule type="cellIs" dxfId="18" priority="3" operator="equal">
      <formula>3</formula>
    </cfRule>
  </conditionalFormatting>
  <conditionalFormatting pivot="1" sqref="B2:B202">
    <cfRule type="colorScale" priority="2">
      <colorScale>
        <cfvo type="num" val="1"/>
        <cfvo type="num" val="2"/>
        <cfvo type="num" val="3"/>
        <color theme="5" tint="-0.249977111117893"/>
        <color rgb="FFFFEB84"/>
        <color theme="9" tint="0.39997558519241921"/>
      </colorScale>
    </cfRule>
  </conditionalFormatting>
  <conditionalFormatting sqref="C1:E1">
    <cfRule type="cellIs" dxfId="17" priority="1" operator="equal">
      <formula>3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AE8D0-3343-2C4B-8960-6BC83E783B4C}">
  <dimension ref="A1:E40"/>
  <sheetViews>
    <sheetView workbookViewId="0">
      <selection activeCell="F18" sqref="F18"/>
    </sheetView>
  </sheetViews>
  <sheetFormatPr baseColWidth="10" defaultColWidth="11.5" defaultRowHeight="15"/>
  <cols>
    <col min="1" max="1" width="36.1640625" bestFit="1" customWidth="1"/>
    <col min="2" max="2" width="103.5" bestFit="1" customWidth="1"/>
    <col min="3" max="3" width="21.1640625" bestFit="1" customWidth="1"/>
  </cols>
  <sheetData>
    <row r="1" spans="1:5">
      <c r="A1" s="25" t="s">
        <v>392</v>
      </c>
      <c r="B1" s="25" t="s">
        <v>393</v>
      </c>
      <c r="C1" s="25" t="s">
        <v>394</v>
      </c>
      <c r="D1" s="25" t="s">
        <v>395</v>
      </c>
      <c r="E1" s="25" t="s">
        <v>396</v>
      </c>
    </row>
    <row r="2" spans="1:5">
      <c r="A2" s="23" t="s">
        <v>71</v>
      </c>
      <c r="B2" s="3" t="s">
        <v>397</v>
      </c>
      <c r="C2" s="3" t="s">
        <v>398</v>
      </c>
      <c r="D2" s="24">
        <v>0.4375</v>
      </c>
      <c r="E2" s="3" t="s">
        <v>399</v>
      </c>
    </row>
    <row r="3" spans="1:5">
      <c r="A3" s="23" t="s">
        <v>71</v>
      </c>
      <c r="B3" s="3" t="s">
        <v>400</v>
      </c>
      <c r="C3" s="3" t="s">
        <v>401</v>
      </c>
      <c r="D3" s="24">
        <v>0.5625</v>
      </c>
      <c r="E3" s="3" t="s">
        <v>402</v>
      </c>
    </row>
    <row r="4" spans="1:5">
      <c r="A4" s="23" t="s">
        <v>88</v>
      </c>
      <c r="B4" s="3" t="s">
        <v>249</v>
      </c>
      <c r="C4" s="3" t="s">
        <v>403</v>
      </c>
      <c r="D4" s="24">
        <v>0.4375</v>
      </c>
      <c r="E4" s="3" t="s">
        <v>399</v>
      </c>
    </row>
    <row r="5" spans="1:5">
      <c r="A5" s="23" t="s">
        <v>88</v>
      </c>
      <c r="B5" s="3" t="s">
        <v>404</v>
      </c>
      <c r="C5" s="3" t="s">
        <v>401</v>
      </c>
      <c r="D5" s="24">
        <v>0.33333333333333331</v>
      </c>
      <c r="E5" s="3" t="s">
        <v>399</v>
      </c>
    </row>
    <row r="6" spans="1:5">
      <c r="A6" s="23" t="s">
        <v>88</v>
      </c>
      <c r="B6" s="3" t="s">
        <v>405</v>
      </c>
      <c r="C6" s="3" t="s">
        <v>401</v>
      </c>
      <c r="D6" s="24">
        <v>0.5</v>
      </c>
      <c r="E6" s="3" t="s">
        <v>402</v>
      </c>
    </row>
    <row r="7" spans="1:5">
      <c r="A7" s="23" t="s">
        <v>88</v>
      </c>
      <c r="B7" s="3" t="s">
        <v>406</v>
      </c>
      <c r="C7" s="3" t="s">
        <v>401</v>
      </c>
      <c r="D7" s="24">
        <v>0.54166666666666663</v>
      </c>
      <c r="E7" s="3" t="s">
        <v>407</v>
      </c>
    </row>
    <row r="8" spans="1:5">
      <c r="A8" s="23" t="s">
        <v>214</v>
      </c>
      <c r="B8" s="3" t="s">
        <v>263</v>
      </c>
      <c r="C8" s="3" t="s">
        <v>401</v>
      </c>
      <c r="D8" s="24">
        <v>0.52083333333333337</v>
      </c>
      <c r="E8" s="3" t="s">
        <v>402</v>
      </c>
    </row>
    <row r="9" spans="1:5">
      <c r="A9" s="23" t="s">
        <v>102</v>
      </c>
      <c r="B9" s="3" t="s">
        <v>408</v>
      </c>
      <c r="C9" s="3" t="s">
        <v>403</v>
      </c>
      <c r="D9" s="24">
        <v>0.33333333333333331</v>
      </c>
      <c r="E9" s="3" t="s">
        <v>399</v>
      </c>
    </row>
    <row r="10" spans="1:5">
      <c r="A10" s="23" t="s">
        <v>102</v>
      </c>
      <c r="B10" s="3" t="s">
        <v>253</v>
      </c>
      <c r="C10" s="3" t="s">
        <v>403</v>
      </c>
      <c r="D10" s="24">
        <v>0.41666666666666669</v>
      </c>
      <c r="E10" s="3" t="s">
        <v>399</v>
      </c>
    </row>
    <row r="11" spans="1:5">
      <c r="A11" s="23" t="s">
        <v>227</v>
      </c>
      <c r="B11" s="3" t="s">
        <v>409</v>
      </c>
      <c r="C11" s="3" t="s">
        <v>403</v>
      </c>
      <c r="D11" s="24">
        <v>0.47916666666666669</v>
      </c>
      <c r="E11" s="3" t="s">
        <v>399</v>
      </c>
    </row>
    <row r="12" spans="1:5">
      <c r="A12" s="23" t="s">
        <v>347</v>
      </c>
      <c r="B12" s="3" t="s">
        <v>410</v>
      </c>
      <c r="C12" s="3" t="s">
        <v>401</v>
      </c>
      <c r="D12" s="24">
        <v>0.39583333333333331</v>
      </c>
      <c r="E12" s="3" t="s">
        <v>407</v>
      </c>
    </row>
    <row r="13" spans="1:5">
      <c r="A13" s="23" t="s">
        <v>340</v>
      </c>
      <c r="B13" s="3" t="s">
        <v>411</v>
      </c>
      <c r="C13" s="3" t="s">
        <v>401</v>
      </c>
      <c r="D13" s="24">
        <v>0.35416666666666669</v>
      </c>
      <c r="E13" s="3" t="s">
        <v>399</v>
      </c>
    </row>
    <row r="14" spans="1:5">
      <c r="A14" s="23" t="s">
        <v>340</v>
      </c>
      <c r="B14" s="3" t="s">
        <v>412</v>
      </c>
      <c r="C14" s="3" t="s">
        <v>401</v>
      </c>
      <c r="D14" s="24">
        <v>0.41666666666666669</v>
      </c>
      <c r="E14" s="3" t="s">
        <v>407</v>
      </c>
    </row>
    <row r="15" spans="1:5">
      <c r="A15" s="23" t="s">
        <v>344</v>
      </c>
      <c r="B15" s="3" t="s">
        <v>413</v>
      </c>
      <c r="C15" s="3" t="s">
        <v>403</v>
      </c>
      <c r="D15" s="24">
        <v>0.41666666666666669</v>
      </c>
      <c r="E15" s="3" t="s">
        <v>407</v>
      </c>
    </row>
    <row r="16" spans="1:5">
      <c r="A16" s="23" t="s">
        <v>56</v>
      </c>
      <c r="B16" s="3" t="s">
        <v>414</v>
      </c>
      <c r="C16" s="3" t="s">
        <v>415</v>
      </c>
      <c r="D16" s="24">
        <v>0.35416666666666669</v>
      </c>
      <c r="E16" s="3" t="s">
        <v>407</v>
      </c>
    </row>
    <row r="17" spans="1:5">
      <c r="A17" s="23" t="s">
        <v>354</v>
      </c>
      <c r="B17" s="3" t="s">
        <v>416</v>
      </c>
      <c r="C17" s="3" t="s">
        <v>401</v>
      </c>
      <c r="D17" s="24">
        <v>0.35416666666666669</v>
      </c>
      <c r="E17" s="3" t="s">
        <v>402</v>
      </c>
    </row>
    <row r="18" spans="1:5">
      <c r="A18" s="23" t="s">
        <v>354</v>
      </c>
      <c r="B18" s="3" t="s">
        <v>417</v>
      </c>
      <c r="C18" s="3" t="s">
        <v>401</v>
      </c>
      <c r="D18" s="24">
        <v>0.375</v>
      </c>
      <c r="E18" s="3" t="s">
        <v>402</v>
      </c>
    </row>
    <row r="19" spans="1:5">
      <c r="A19" s="23" t="s">
        <v>354</v>
      </c>
      <c r="B19" s="3" t="s">
        <v>405</v>
      </c>
      <c r="C19" s="3" t="s">
        <v>401</v>
      </c>
      <c r="D19" s="24">
        <v>0.5</v>
      </c>
      <c r="E19" s="3" t="s">
        <v>402</v>
      </c>
    </row>
    <row r="20" spans="1:5">
      <c r="A20" s="23" t="s">
        <v>352</v>
      </c>
      <c r="B20" s="3" t="s">
        <v>414</v>
      </c>
      <c r="C20" s="3" t="s">
        <v>415</v>
      </c>
      <c r="D20" s="24">
        <v>0.35416666666666669</v>
      </c>
      <c r="E20" s="3" t="s">
        <v>407</v>
      </c>
    </row>
    <row r="21" spans="1:5">
      <c r="A21" s="23" t="s">
        <v>352</v>
      </c>
      <c r="B21" s="3" t="s">
        <v>400</v>
      </c>
      <c r="C21" s="3" t="s">
        <v>401</v>
      </c>
      <c r="D21" s="24">
        <v>0.5625</v>
      </c>
      <c r="E21" s="3" t="s">
        <v>402</v>
      </c>
    </row>
    <row r="22" spans="1:5">
      <c r="A22" s="23" t="s">
        <v>342</v>
      </c>
      <c r="B22" s="3" t="s">
        <v>418</v>
      </c>
      <c r="C22" s="3" t="s">
        <v>415</v>
      </c>
      <c r="D22" s="24">
        <v>0.5</v>
      </c>
      <c r="E22" s="3" t="s">
        <v>407</v>
      </c>
    </row>
    <row r="23" spans="1:5">
      <c r="A23" s="23" t="s">
        <v>342</v>
      </c>
      <c r="B23" s="3" t="s">
        <v>419</v>
      </c>
      <c r="C23" s="3" t="s">
        <v>403</v>
      </c>
      <c r="D23" s="24">
        <v>0.4375</v>
      </c>
      <c r="E23" s="3" t="s">
        <v>402</v>
      </c>
    </row>
    <row r="24" spans="1:5">
      <c r="A24" s="23" t="s">
        <v>342</v>
      </c>
      <c r="B24" s="3" t="s">
        <v>406</v>
      </c>
      <c r="C24" s="3" t="s">
        <v>401</v>
      </c>
      <c r="D24" s="24">
        <v>0.54166666666666663</v>
      </c>
      <c r="E24" s="3" t="s">
        <v>407</v>
      </c>
    </row>
    <row r="25" spans="1:5">
      <c r="A25" s="23" t="s">
        <v>125</v>
      </c>
      <c r="B25" s="3" t="s">
        <v>327</v>
      </c>
      <c r="C25" s="3" t="s">
        <v>401</v>
      </c>
      <c r="D25" s="24">
        <v>0.54166666666666663</v>
      </c>
      <c r="E25" s="3" t="s">
        <v>399</v>
      </c>
    </row>
    <row r="26" spans="1:5">
      <c r="A26" s="23" t="s">
        <v>95</v>
      </c>
      <c r="B26" s="3" t="s">
        <v>138</v>
      </c>
      <c r="C26" s="3" t="s">
        <v>415</v>
      </c>
      <c r="D26" s="24">
        <v>0.52083333333333337</v>
      </c>
      <c r="E26" s="3" t="s">
        <v>402</v>
      </c>
    </row>
    <row r="27" spans="1:5">
      <c r="A27" s="23" t="s">
        <v>95</v>
      </c>
      <c r="B27" s="3" t="s">
        <v>420</v>
      </c>
      <c r="C27" s="3" t="s">
        <v>403</v>
      </c>
      <c r="D27" s="24">
        <v>0.375</v>
      </c>
      <c r="E27" s="3" t="s">
        <v>399</v>
      </c>
    </row>
    <row r="28" spans="1:5">
      <c r="A28" s="23" t="s">
        <v>95</v>
      </c>
      <c r="B28" s="3" t="s">
        <v>413</v>
      </c>
      <c r="C28" s="3" t="s">
        <v>403</v>
      </c>
      <c r="D28" s="24">
        <v>0.41666666666666669</v>
      </c>
      <c r="E28" s="3" t="s">
        <v>407</v>
      </c>
    </row>
    <row r="29" spans="1:5">
      <c r="A29" s="23" t="s">
        <v>338</v>
      </c>
      <c r="B29" s="3" t="s">
        <v>159</v>
      </c>
      <c r="C29" s="3" t="s">
        <v>398</v>
      </c>
      <c r="D29" s="24">
        <v>0.35416666666666669</v>
      </c>
      <c r="E29" s="3" t="s">
        <v>399</v>
      </c>
    </row>
    <row r="30" spans="1:5">
      <c r="A30" s="23" t="s">
        <v>338</v>
      </c>
      <c r="B30" s="3" t="s">
        <v>265</v>
      </c>
      <c r="C30" s="3" t="s">
        <v>403</v>
      </c>
      <c r="D30" s="24">
        <v>0.5</v>
      </c>
      <c r="E30" s="3" t="s">
        <v>399</v>
      </c>
    </row>
    <row r="31" spans="1:5">
      <c r="A31" s="23" t="s">
        <v>338</v>
      </c>
      <c r="B31" s="3" t="s">
        <v>303</v>
      </c>
      <c r="C31" s="3" t="s">
        <v>401</v>
      </c>
      <c r="D31" s="24">
        <v>0.39583333333333331</v>
      </c>
      <c r="E31" s="3" t="s">
        <v>399</v>
      </c>
    </row>
    <row r="32" spans="1:5">
      <c r="A32" s="23" t="s">
        <v>421</v>
      </c>
      <c r="B32" s="3" t="s">
        <v>422</v>
      </c>
      <c r="C32" s="3" t="s">
        <v>401</v>
      </c>
      <c r="D32" s="24">
        <v>0.47916666666666669</v>
      </c>
      <c r="E32" s="3" t="s">
        <v>407</v>
      </c>
    </row>
    <row r="33" spans="1:5">
      <c r="A33" s="23" t="s">
        <v>174</v>
      </c>
      <c r="B33" s="3" t="s">
        <v>423</v>
      </c>
      <c r="C33" s="3" t="s">
        <v>403</v>
      </c>
      <c r="D33" s="24">
        <v>0.39583333333333331</v>
      </c>
      <c r="E33" s="3" t="s">
        <v>407</v>
      </c>
    </row>
    <row r="34" spans="1:5">
      <c r="A34" s="23" t="s">
        <v>60</v>
      </c>
      <c r="B34" s="3" t="s">
        <v>414</v>
      </c>
      <c r="C34" s="3" t="s">
        <v>415</v>
      </c>
      <c r="D34" s="24">
        <v>0.35416666666666669</v>
      </c>
      <c r="E34" s="3" t="s">
        <v>407</v>
      </c>
    </row>
    <row r="35" spans="1:5">
      <c r="A35" s="23" t="s">
        <v>60</v>
      </c>
      <c r="B35" s="3" t="s">
        <v>157</v>
      </c>
      <c r="C35" s="3" t="s">
        <v>398</v>
      </c>
      <c r="D35" s="24">
        <v>0.33333333333333331</v>
      </c>
      <c r="E35" s="3" t="s">
        <v>407</v>
      </c>
    </row>
    <row r="36" spans="1:5">
      <c r="A36" s="23" t="s">
        <v>60</v>
      </c>
      <c r="B36" s="3" t="s">
        <v>413</v>
      </c>
      <c r="C36" s="3" t="s">
        <v>403</v>
      </c>
      <c r="D36" s="24">
        <v>0.41666666666666669</v>
      </c>
      <c r="E36" s="3" t="s">
        <v>407</v>
      </c>
    </row>
    <row r="37" spans="1:5">
      <c r="A37" s="23" t="s">
        <v>99</v>
      </c>
      <c r="B37" s="3" t="s">
        <v>424</v>
      </c>
      <c r="C37" s="3" t="s">
        <v>415</v>
      </c>
      <c r="D37" s="24">
        <v>0.33333333333333331</v>
      </c>
      <c r="E37" s="3" t="s">
        <v>399</v>
      </c>
    </row>
    <row r="38" spans="1:5">
      <c r="A38" s="23" t="s">
        <v>99</v>
      </c>
      <c r="B38" s="3" t="s">
        <v>425</v>
      </c>
      <c r="C38" s="3" t="s">
        <v>398</v>
      </c>
      <c r="D38" s="24">
        <v>0.35416666666666669</v>
      </c>
      <c r="E38" s="3" t="s">
        <v>402</v>
      </c>
    </row>
    <row r="39" spans="1:5">
      <c r="A39" s="23" t="s">
        <v>40</v>
      </c>
      <c r="B39" s="3" t="s">
        <v>52</v>
      </c>
      <c r="C39" s="3" t="s">
        <v>415</v>
      </c>
      <c r="D39" s="24">
        <v>0.35416666666666669</v>
      </c>
      <c r="E39" s="3" t="s">
        <v>402</v>
      </c>
    </row>
    <row r="40" spans="1:5">
      <c r="A40" s="23" t="s">
        <v>40</v>
      </c>
      <c r="B40" s="3" t="s">
        <v>406</v>
      </c>
      <c r="C40" s="3" t="s">
        <v>401</v>
      </c>
      <c r="D40" s="24">
        <v>0.54166666666666663</v>
      </c>
      <c r="E40" s="3" t="s">
        <v>407</v>
      </c>
    </row>
  </sheetData>
  <autoFilter ref="A1:E1" xr:uid="{254AE8D0-3343-2C4B-8960-6BC83E783B4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Sheet1</vt:lpstr>
      <vt:lpstr>PESOS</vt:lpstr>
      <vt:lpstr>Detalle1</vt:lpstr>
      <vt:lpstr>Calculo</vt:lpstr>
      <vt:lpstr>Seguimiento</vt:lpstr>
      <vt:lpstr>CALIFICACION-DOCENTE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Patricio David Ponce</cp:lastModifiedBy>
  <cp:revision/>
  <dcterms:created xsi:type="dcterms:W3CDTF">2026-04-23T20:25:43Z</dcterms:created>
  <dcterms:modified xsi:type="dcterms:W3CDTF">2026-05-27T00:37:57Z</dcterms:modified>
  <cp:category/>
  <cp:contentStatus/>
</cp:coreProperties>
</file>